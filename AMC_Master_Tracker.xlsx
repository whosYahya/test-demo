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est Case Register" sheetId="1" r:id="rId1"/>
    <sheet name="Run Tracker" sheetId="2" r:id="rId2"/>
    <sheet name="Run Summary" sheetId="3" r:id="rId3"/>
    <sheet name="Priority Analysis" sheetId="4" r:id="rId4"/>
    <sheet name="Business Rules" sheetId="5" r:id="rId5"/>
    <sheet name="Data-Driven Results" sheetId="6" r:id="rId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General"/>
    <numFmt numFmtId="165" formatCode="General"/>
    <numFmt numFmtId="166" formatCode="0%"/>
    <numFmt numFmtId="167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31"/>
  <sheetViews>
    <sheetView workbookViewId="0" rightToLeft="0"/>
  </sheetViews>
  <sheetData>
    <row r="1">
      <c r="A1" s="1" t="str">
        <v>AMC Core — Master Business Scenarios Test Case Register</v>
      </c>
    </row>
    <row r="2">
      <c r="A2" s="1" t="str">
        <v>DocTypes: AMC Customers | AMC Contract | Vendor | Attendance | Expense Claim | Leave Application | Service Call  |  Total: 320 test cases  |  27 Feb 2026</v>
      </c>
    </row>
    <row r="4">
      <c r="A4" s="1" t="str">
        <v>Test ID</v>
      </c>
      <c r="B4" s="1" t="str">
        <v>DocType</v>
      </c>
      <c r="C4" s="1" t="str">
        <v>Module</v>
      </c>
      <c r="D4" s="1" t="str">
        <v>Test Case Title</v>
      </c>
      <c r="E4" s="1" t="str">
        <v>Priority</v>
      </c>
      <c r="F4" s="1" t="str">
        <v>Business Rule</v>
      </c>
      <c r="G4" s="1" t="str">
        <v>Status</v>
      </c>
      <c r="H4" s="1" t="str">
        <v>Executed By</v>
      </c>
      <c r="I4" s="1" t="str">
        <v>Execution Date</v>
      </c>
      <c r="J4" s="1" t="str">
        <v>Actual Result</v>
      </c>
      <c r="K4" s="1" t="str">
        <v>Defect ID</v>
      </c>
      <c r="L4" s="1" t="str">
        <v>Notes</v>
      </c>
    </row>
    <row r="5">
      <c r="A5" s="1" t="str">
        <v>▌ AMC Customers</v>
      </c>
    </row>
    <row r="6">
      <c r="A6" s="1" t="str">
        <v>CUST-001</v>
      </c>
      <c r="B6" s="1" t="str">
        <v>AMC Customers</v>
      </c>
      <c r="C6" s="1" t="str">
        <v>Customer Creation &amp; Basic Details</v>
      </c>
      <c r="D6" s="1" t="str">
        <v>Create customer with Customer Name only (minimum required)</v>
      </c>
      <c r="E6" s="1" t="str">
        <v>Critical</v>
      </c>
      <c r="F6" s="1" t="str">
        <v>BR-CUST-01</v>
      </c>
      <c r="G6" s="1" t="str">
        <v>Not Run</v>
      </c>
    </row>
    <row r="7">
      <c r="A7" s="1" t="str">
        <v>CUST-002</v>
      </c>
      <c r="B7" s="1" t="str">
        <v>AMC Customers</v>
      </c>
      <c r="C7" s="1" t="str">
        <v>Customer Creation &amp; Basic Details</v>
      </c>
      <c r="D7" s="1" t="str">
        <v>Create Company customer with all basic fields (Name, Type, GST, PAN)</v>
      </c>
      <c r="E7" s="1" t="str">
        <v>Critical</v>
      </c>
      <c r="F7" s="1" t="str">
        <v>BR-CUST-01, BR-CUST-02</v>
      </c>
      <c r="G7" s="1" t="str">
        <v>Not Run</v>
      </c>
    </row>
    <row r="8">
      <c r="A8" s="1" t="str">
        <v>CUST-003</v>
      </c>
      <c r="B8" s="1" t="str">
        <v>AMC Customers</v>
      </c>
      <c r="C8" s="1" t="str">
        <v>Customer Creation &amp; Basic Details</v>
      </c>
      <c r="D8" s="1" t="str">
        <v>Create Individual customer type</v>
      </c>
      <c r="E8" s="1" t="str">
        <v>High</v>
      </c>
      <c r="F8" s="1" t="str">
        <v>BR-CUST-02</v>
      </c>
      <c r="G8" s="1" t="str">
        <v>Not Run</v>
      </c>
    </row>
    <row r="9">
      <c r="A9" s="1" t="str">
        <v>CUST-004</v>
      </c>
      <c r="B9" s="1" t="str">
        <v>AMC Customers</v>
      </c>
      <c r="C9" s="1" t="str">
        <v>Customer Creation &amp; Basic Details</v>
      </c>
      <c r="D9" s="1" t="str">
        <v>Create Partnership customer type</v>
      </c>
      <c r="E9" s="1" t="str">
        <v>High</v>
      </c>
      <c r="F9" s="1" t="str">
        <v>BR-CUST-02</v>
      </c>
      <c r="G9" s="1" t="str">
        <v>Not Run</v>
      </c>
    </row>
    <row r="10">
      <c r="A10" s="1" t="str">
        <v>CUST-005</v>
      </c>
      <c r="B10" s="1" t="str">
        <v>AMC Customers</v>
      </c>
      <c r="C10" s="1" t="str">
        <v>GST Validation</v>
      </c>
      <c r="D10" s="1" t="str">
        <v>Valid 15-character GSTIN is accepted</v>
      </c>
      <c r="E10" s="1" t="str">
        <v>Critical</v>
      </c>
      <c r="F10" s="1" t="str">
        <v>BR-CUST-03</v>
      </c>
      <c r="G10" s="1" t="str">
        <v>Not Run</v>
      </c>
    </row>
    <row r="11">
      <c r="A11" s="1" t="str">
        <v>CUST-006</v>
      </c>
      <c r="B11" s="1" t="str">
        <v>AMC Customers</v>
      </c>
      <c r="C11" s="1" t="str">
        <v>GST Validation</v>
      </c>
      <c r="D11" s="1" t="str">
        <v>Invalid GST format is rejected with specific error message</v>
      </c>
      <c r="E11" s="1" t="str">
        <v>Critical</v>
      </c>
      <c r="F11" s="1" t="str">
        <v>BR-CUST-03</v>
      </c>
      <c r="G11" s="1" t="str">
        <v>Not Run</v>
      </c>
    </row>
    <row r="12">
      <c r="A12" s="1" t="str">
        <v>CUST-007</v>
      </c>
      <c r="B12" s="1" t="str">
        <v>AMC Customers</v>
      </c>
      <c r="C12" s="1" t="str">
        <v>GST Validation</v>
      </c>
      <c r="D12" s="1" t="str">
        <v>Duplicate GSTIN across two customers is blocked</v>
      </c>
      <c r="E12" s="1" t="str">
        <v>Critical</v>
      </c>
      <c r="F12" s="1" t="str">
        <v>BR-CUST-04</v>
      </c>
      <c r="G12" s="1" t="str">
        <v>Not Run</v>
      </c>
    </row>
    <row r="13">
      <c r="A13" s="1" t="str">
        <v>CUST-008</v>
      </c>
      <c r="B13" s="1" t="str">
        <v>AMC Customers</v>
      </c>
      <c r="C13" s="1" t="str">
        <v>GST Validation</v>
      </c>
      <c r="D13" s="1" t="str">
        <v>GST field can be left blank (optional for Individual)</v>
      </c>
      <c r="E13" s="1" t="str">
        <v>High</v>
      </c>
      <c r="F13" s="1" t="str">
        <v>BR-CUST-03</v>
      </c>
      <c r="G13" s="1" t="str">
        <v>Not Run</v>
      </c>
    </row>
    <row r="14">
      <c r="A14" s="1" t="str">
        <v>CUST-009</v>
      </c>
      <c r="B14" s="1" t="str">
        <v>AMC Customers</v>
      </c>
      <c r="C14" s="1" t="str">
        <v>GST Validation</v>
      </c>
      <c r="D14" s="1" t="str">
        <v>Duplicate PAN across two customers is blocked</v>
      </c>
      <c r="E14" s="1" t="str">
        <v>High</v>
      </c>
      <c r="F14" s="1" t="str">
        <v>BR-CUST-05</v>
      </c>
      <c r="G14" s="1" t="str">
        <v>Not Run</v>
      </c>
    </row>
    <row r="15">
      <c r="A15" s="1" t="str">
        <v>CUST-010</v>
      </c>
      <c r="B15" s="1" t="str">
        <v>AMC Customers</v>
      </c>
      <c r="C15" s="1" t="str">
        <v>Branch Locations</v>
      </c>
      <c r="D15" s="1" t="str">
        <v>Add single branch location to customer</v>
      </c>
      <c r="E15" s="1" t="str">
        <v>Critical</v>
      </c>
      <c r="F15" s="1" t="str">
        <v>BR-CUST-06</v>
      </c>
      <c r="G15" s="1" t="str">
        <v>Not Run</v>
      </c>
    </row>
    <row r="16">
      <c r="A16" s="1" t="str">
        <v>CUST-011</v>
      </c>
      <c r="B16" s="1" t="str">
        <v>AMC Customers</v>
      </c>
      <c r="C16" s="1" t="str">
        <v>Branch Locations</v>
      </c>
      <c r="D16" s="1" t="str">
        <v>Add multiple branch locations to same customer</v>
      </c>
      <c r="E16" s="1" t="str">
        <v>High</v>
      </c>
      <c r="F16" s="1" t="str">
        <v>BR-CUST-06</v>
      </c>
      <c r="G16" s="1" t="str">
        <v>Not Run</v>
      </c>
    </row>
    <row r="17">
      <c r="A17" s="1" t="str">
        <v>CUST-012</v>
      </c>
      <c r="B17" s="1" t="str">
        <v>AMC Customers</v>
      </c>
      <c r="C17" s="1" t="str">
        <v>Branch Locations</v>
      </c>
      <c r="D17" s="1" t="str">
        <v>Delete a branch location row</v>
      </c>
      <c r="E17" s="1" t="str">
        <v>Medium</v>
      </c>
      <c r="F17" s="1" t="str">
        <v>BR-CUST-06</v>
      </c>
      <c r="G17" s="1" t="str">
        <v>Not Run</v>
      </c>
    </row>
    <row r="18">
      <c r="A18" s="1" t="str">
        <v>CUST-013</v>
      </c>
      <c r="B18" s="1" t="str">
        <v>AMC Customers</v>
      </c>
      <c r="C18" s="1" t="str">
        <v>Branch Locations</v>
      </c>
      <c r="D18" s="1" t="str">
        <v>Branch on AMC Contract is filtered by selected customer</v>
      </c>
      <c r="E18" s="1" t="str">
        <v>High</v>
      </c>
      <c r="F18" s="1" t="str">
        <v>BR-CUST-06, BR-CON-06</v>
      </c>
      <c r="G18" s="1" t="str">
        <v>Not Run</v>
      </c>
    </row>
    <row r="19">
      <c r="A19" s="1" t="str">
        <v>CUST-014</v>
      </c>
      <c r="B19" s="1" t="str">
        <v>AMC Customers</v>
      </c>
      <c r="C19" s="1" t="str">
        <v>Contact Details</v>
      </c>
      <c r="D19" s="1" t="str">
        <v>Add primary contact to customer</v>
      </c>
      <c r="E19" s="1" t="str">
        <v>Critical</v>
      </c>
      <c r="F19" s="1" t="str">
        <v>BR-CUST-07</v>
      </c>
      <c r="G19" s="1" t="str">
        <v>Not Run</v>
      </c>
    </row>
    <row r="20">
      <c r="A20" s="1" t="str">
        <v>CUST-015</v>
      </c>
      <c r="B20" s="1" t="str">
        <v>AMC Customers</v>
      </c>
      <c r="C20" s="1" t="str">
        <v>Contact Details</v>
      </c>
      <c r="D20" s="1" t="str">
        <v>Only one contact marked as Is Primary per customer</v>
      </c>
      <c r="E20" s="1" t="str">
        <v>High</v>
      </c>
      <c r="F20" s="1" t="str">
        <v>BR-CUST-08</v>
      </c>
      <c r="G20" s="1" t="str">
        <v>Not Run</v>
      </c>
    </row>
    <row r="21">
      <c r="A21" s="1" t="str">
        <v>CUST-016</v>
      </c>
      <c r="B21" s="1" t="str">
        <v>AMC Customers</v>
      </c>
      <c r="C21" s="1" t="str">
        <v>Contact Details</v>
      </c>
      <c r="D21" s="1" t="str">
        <v>Contact Person on AMC Contract filtered by selected Branch</v>
      </c>
      <c r="E21" s="1" t="str">
        <v>High</v>
      </c>
      <c r="F21" s="1" t="str">
        <v>BR-CUST-07, BR-CON-07</v>
      </c>
      <c r="G21" s="1" t="str">
        <v>Not Run</v>
      </c>
    </row>
    <row r="22">
      <c r="A22" s="1" t="str">
        <v>CUST-017</v>
      </c>
      <c r="B22" s="1" t="str">
        <v>AMC Customers</v>
      </c>
      <c r="C22" s="1" t="str">
        <v>Contact Details</v>
      </c>
      <c r="D22" s="1" t="str">
        <v>Mobile auto-fetched when Contact Person selected on Contract</v>
      </c>
      <c r="E22" s="1" t="str">
        <v>Medium</v>
      </c>
      <c r="F22" s="1" t="str">
        <v>BR-CON-07</v>
      </c>
      <c r="G22" s="1" t="str">
        <v>Not Run</v>
      </c>
    </row>
    <row r="23">
      <c r="A23" s="1" t="str">
        <v>CUST-018</v>
      </c>
      <c r="B23" s="1" t="str">
        <v>AMC Customers</v>
      </c>
      <c r="C23" s="1" t="str">
        <v>Connections Tab</v>
      </c>
      <c r="D23" s="1" t="str">
        <v>Connections tab shows linked AMC Contracts for customer</v>
      </c>
      <c r="E23" s="1" t="str">
        <v>High</v>
      </c>
      <c r="F23" s="1" t="str">
        <v>BR-CUST-09</v>
      </c>
      <c r="G23" s="1" t="str">
        <v>Not Run</v>
      </c>
    </row>
    <row r="24">
      <c r="A24" s="1" t="str">
        <v>CUST-019</v>
      </c>
      <c r="B24" s="1" t="str">
        <v>AMC Customers</v>
      </c>
      <c r="C24" s="1" t="str">
        <v>Connections Tab</v>
      </c>
      <c r="D24" s="1" t="str">
        <v>Connections tab shows linked Service Calls for customer</v>
      </c>
      <c r="E24" s="1" t="str">
        <v>Medium</v>
      </c>
      <c r="F24" s="1" t="str">
        <v>BR-CUST-09</v>
      </c>
      <c r="G24" s="1" t="str">
        <v>Not Run</v>
      </c>
    </row>
    <row r="25">
      <c r="A25" s="1" t="str">
        <v>CUST-020</v>
      </c>
      <c r="B25" s="1" t="str">
        <v>AMC Customers</v>
      </c>
      <c r="C25" s="1" t="str">
        <v>Permissions</v>
      </c>
      <c r="D25" s="1" t="str">
        <v>Technician role can only READ AMC Customers</v>
      </c>
      <c r="E25" s="1" t="str">
        <v>Critical</v>
      </c>
      <c r="F25" s="1" t="str">
        <v>BR-CUST-11</v>
      </c>
      <c r="G25" s="1" t="str">
        <v>Not Run</v>
      </c>
    </row>
    <row r="26">
      <c r="A26" s="1" t="str">
        <v>CUST-021</v>
      </c>
      <c r="B26" s="1" t="str">
        <v>AMC Customers</v>
      </c>
      <c r="C26" s="1" t="str">
        <v>Data Integrity</v>
      </c>
      <c r="D26" s="1" t="str">
        <v>Deleting customer with active contracts is blocked</v>
      </c>
      <c r="E26" s="1" t="str">
        <v>High</v>
      </c>
      <c r="F26" s="1" t="str">
        <v>BR-CUST-10</v>
      </c>
      <c r="G26" s="1" t="str">
        <v>Not Run</v>
      </c>
    </row>
    <row r="27">
      <c r="A27" s="1" t="str">
        <v>▌ AMC Contract</v>
      </c>
    </row>
    <row r="28">
      <c r="A28" s="1" t="str">
        <v>CON-001</v>
      </c>
      <c r="B28" s="1" t="str">
        <v>AMC Contract</v>
      </c>
      <c r="C28" s="1" t="str">
        <v>Contract Creation</v>
      </c>
      <c r="D28" s="1" t="str">
        <v>Create AMC Contract with all mandatory fields</v>
      </c>
      <c r="E28" s="1" t="str">
        <v>Critical</v>
      </c>
      <c r="F28" s="1" t="str">
        <v>BR-CON-01</v>
      </c>
      <c r="G28" s="1" t="str">
        <v>Not Run</v>
      </c>
    </row>
    <row r="29">
      <c r="A29" s="1" t="str">
        <v>CON-002</v>
      </c>
      <c r="B29" s="1" t="str">
        <v>AMC Contract</v>
      </c>
      <c r="C29" s="1" t="str">
        <v>Contract Creation</v>
      </c>
      <c r="D29" s="1" t="str">
        <v>Start Date is mandatory — save fails without it</v>
      </c>
      <c r="E29" s="1" t="str">
        <v>Critical</v>
      </c>
      <c r="F29" s="1" t="str">
        <v>BR-CON-01</v>
      </c>
      <c r="G29" s="1" t="str">
        <v>Not Run</v>
      </c>
    </row>
    <row r="30">
      <c r="A30" s="1" t="str">
        <v>CON-003</v>
      </c>
      <c r="B30" s="1" t="str">
        <v>AMC Contract</v>
      </c>
      <c r="C30" s="1" t="str">
        <v>Contract Creation</v>
      </c>
      <c r="D30" s="1" t="str">
        <v>End Date is mandatory — save fails without it</v>
      </c>
      <c r="E30" s="1" t="str">
        <v>Critical</v>
      </c>
      <c r="F30" s="1" t="str">
        <v>BR-CON-01</v>
      </c>
      <c r="G30" s="1" t="str">
        <v>Not Run</v>
      </c>
    </row>
    <row r="31">
      <c r="A31" s="1" t="str">
        <v>CON-004</v>
      </c>
      <c r="B31" s="1" t="str">
        <v>AMC Contract</v>
      </c>
      <c r="C31" s="1" t="str">
        <v>Contract Creation</v>
      </c>
      <c r="D31" s="1" t="str">
        <v>No of Services is mandatory — save fails without it</v>
      </c>
      <c r="E31" s="1" t="str">
        <v>Critical</v>
      </c>
      <c r="F31" s="1" t="str">
        <v>BR-CON-01</v>
      </c>
      <c r="G31" s="1" t="str">
        <v>Not Run</v>
      </c>
    </row>
    <row r="32">
      <c r="A32" s="1" t="str">
        <v>CON-005</v>
      </c>
      <c r="B32" s="1" t="str">
        <v>AMC Contract</v>
      </c>
      <c r="C32" s="1" t="str">
        <v>Contract Creation</v>
      </c>
      <c r="D32" s="1" t="str">
        <v>Auto-naming follows AMC-.YY.MM.-.#### series</v>
      </c>
      <c r="E32" s="1" t="str">
        <v>High</v>
      </c>
      <c r="F32" s="1" t="str">
        <v>BR-CON-02</v>
      </c>
      <c r="G32" s="1" t="str">
        <v>Not Run</v>
      </c>
    </row>
    <row r="33">
      <c r="A33" s="1" t="str">
        <v>CON-006</v>
      </c>
      <c r="B33" s="1" t="str">
        <v>AMC Contract</v>
      </c>
      <c r="C33" s="1" t="str">
        <v>Contract Date Logic</v>
      </c>
      <c r="D33" s="1" t="str">
        <v>End Date before Start Date is rejected</v>
      </c>
      <c r="E33" s="1" t="str">
        <v>Critical</v>
      </c>
      <c r="F33" s="1" t="str">
        <v>BR-CON-03</v>
      </c>
      <c r="G33" s="1" t="str">
        <v>Not Run</v>
      </c>
    </row>
    <row r="34">
      <c r="A34" s="1" t="str">
        <v>CON-007</v>
      </c>
      <c r="B34" s="1" t="str">
        <v>AMC Contract</v>
      </c>
      <c r="C34" s="1" t="str">
        <v>Contract Date Logic</v>
      </c>
      <c r="D34" s="1" t="str">
        <v>Same Start and End Date is valid (single-day contract)</v>
      </c>
      <c r="E34" s="1" t="str">
        <v>High</v>
      </c>
      <c r="F34" s="1" t="str">
        <v>BR-CON-03</v>
      </c>
      <c r="G34" s="1" t="str">
        <v>Not Run</v>
      </c>
    </row>
    <row r="35">
      <c r="A35" s="1" t="str">
        <v>CON-008</v>
      </c>
      <c r="B35" s="1" t="str">
        <v>AMC Contract</v>
      </c>
      <c r="C35" s="1" t="str">
        <v>Contract Date Logic</v>
      </c>
      <c r="D35" s="1" t="str">
        <v>Multi-year contract is valid (e.g., 2 years)</v>
      </c>
      <c r="E35" s="1" t="str">
        <v>High</v>
      </c>
      <c r="F35" s="1" t="str">
        <v>BR-CON-03</v>
      </c>
      <c r="G35" s="1" t="str">
        <v>Not Run</v>
      </c>
    </row>
    <row r="36">
      <c r="A36" s="1" t="str">
        <v>CON-009</v>
      </c>
      <c r="B36" s="1" t="str">
        <v>AMC Contract</v>
      </c>
      <c r="C36" s="1" t="str">
        <v>Service Count &amp; Schedule</v>
      </c>
      <c r="D36" s="1" t="str">
        <v>4 services Jan-Dec creates exactly 4 Maintenance Schedule rows</v>
      </c>
      <c r="E36" s="1" t="str">
        <v>Critical</v>
      </c>
      <c r="F36" s="1" t="str">
        <v>BR-CON-04</v>
      </c>
      <c r="G36" s="1" t="str">
        <v>Not Run</v>
      </c>
    </row>
    <row r="37">
      <c r="A37" s="1" t="str">
        <v>CON-010</v>
      </c>
      <c r="B37" s="1" t="str">
        <v>AMC Contract</v>
      </c>
      <c r="C37" s="1" t="str">
        <v>Service Count &amp; Schedule</v>
      </c>
      <c r="D37" s="1" t="str">
        <v>12 services creates 12 monthly Maintenance Schedule rows</v>
      </c>
      <c r="E37" s="1" t="str">
        <v>Critical</v>
      </c>
      <c r="F37" s="1" t="str">
        <v>BR-CON-04</v>
      </c>
      <c r="G37" s="1" t="str">
        <v>Not Run</v>
      </c>
    </row>
    <row r="38">
      <c r="A38" s="1" t="str">
        <v>CON-011</v>
      </c>
      <c r="B38" s="1" t="str">
        <v>AMC Contract</v>
      </c>
      <c r="C38" s="1" t="str">
        <v>Service Count &amp; Schedule</v>
      </c>
      <c r="D38" s="1" t="str">
        <v>1 service creates exactly 1 Maintenance Schedule row</v>
      </c>
      <c r="E38" s="1" t="str">
        <v>Critical</v>
      </c>
      <c r="F38" s="1" t="str">
        <v>BR-CON-04</v>
      </c>
      <c r="G38" s="1" t="str">
        <v>Not Run</v>
      </c>
    </row>
    <row r="39">
      <c r="A39" s="1" t="str">
        <v>CON-012</v>
      </c>
      <c r="B39" s="1" t="str">
        <v>AMC Contract</v>
      </c>
      <c r="C39" s="1" t="str">
        <v>Service Count &amp; Schedule</v>
      </c>
      <c r="D39" s="1" t="str">
        <v>All schedule dates fall within contract Start-End range</v>
      </c>
      <c r="E39" s="1" t="str">
        <v>Critical</v>
      </c>
      <c r="F39" s="1" t="str">
        <v>BR-CON-05</v>
      </c>
      <c r="G39" s="1" t="str">
        <v>Not Run</v>
      </c>
    </row>
    <row r="40">
      <c r="A40" s="1" t="str">
        <v>CON-013</v>
      </c>
      <c r="B40" s="1" t="str">
        <v>AMC Contract</v>
      </c>
      <c r="C40" s="1" t="str">
        <v>Service Count &amp; Schedule</v>
      </c>
      <c r="D40" s="1" t="str">
        <v>Changing No of Services from 4 to 6 regenerates 6 rows</v>
      </c>
      <c r="E40" s="1" t="str">
        <v>High</v>
      </c>
      <c r="F40" s="1" t="str">
        <v>BR-CON-04</v>
      </c>
      <c r="G40" s="1" t="str">
        <v>Not Run</v>
      </c>
    </row>
    <row r="41">
      <c r="A41" s="1" t="str">
        <v>CON-014</v>
      </c>
      <c r="B41" s="1" t="str">
        <v>AMC Contract</v>
      </c>
      <c r="C41" s="1" t="str">
        <v>Service Count &amp; Schedule</v>
      </c>
      <c r="D41" s="1" t="str">
        <v>Maintenance Schedule Equipment column filled per row</v>
      </c>
      <c r="E41" s="1" t="str">
        <v>High</v>
      </c>
      <c r="F41" s="1" t="str">
        <v>BR-CON-08</v>
      </c>
      <c r="G41" s="1" t="str">
        <v>Not Run</v>
      </c>
    </row>
    <row r="42">
      <c r="A42" s="1" t="str">
        <v>CON-015</v>
      </c>
      <c r="B42" s="1" t="str">
        <v>AMC Contract</v>
      </c>
      <c r="C42" s="1" t="str">
        <v>Customer &amp; Branch Linkage</v>
      </c>
      <c r="D42" s="1" t="str">
        <v>Contract cannot reference non-existent AMC Customer</v>
      </c>
      <c r="E42" s="1" t="str">
        <v>Critical</v>
      </c>
      <c r="F42" s="1" t="str">
        <v>BR-CON-06</v>
      </c>
      <c r="G42" s="1" t="str">
        <v>Not Run</v>
      </c>
    </row>
    <row r="43">
      <c r="A43" s="1" t="str">
        <v>CON-016</v>
      </c>
      <c r="B43" s="1" t="str">
        <v>AMC Contract</v>
      </c>
      <c r="C43" s="1" t="str">
        <v>Customer &amp; Branch Linkage</v>
      </c>
      <c r="D43" s="1" t="str">
        <v>Branch dropdown is empty until Customer is selected</v>
      </c>
      <c r="E43" s="1" t="str">
        <v>High</v>
      </c>
      <c r="F43" s="1" t="str">
        <v>BR-CON-06</v>
      </c>
      <c r="G43" s="1" t="str">
        <v>Not Run</v>
      </c>
    </row>
    <row r="44">
      <c r="A44" s="1" t="str">
        <v>CON-017</v>
      </c>
      <c r="B44" s="1" t="str">
        <v>AMC Contract</v>
      </c>
      <c r="C44" s="1" t="str">
        <v>Customer &amp; Branch Linkage</v>
      </c>
      <c r="D44" s="1" t="str">
        <v>Changing Customer clears Branch and Contact Person</v>
      </c>
      <c r="E44" s="1" t="str">
        <v>High</v>
      </c>
      <c r="F44" s="1" t="str">
        <v>BR-CON-06</v>
      </c>
      <c r="G44" s="1" t="str">
        <v>Not Run</v>
      </c>
    </row>
    <row r="45">
      <c r="A45" s="1" t="str">
        <v>CON-018</v>
      </c>
      <c r="B45" s="1" t="str">
        <v>AMC Contract</v>
      </c>
      <c r="C45" s="1" t="str">
        <v>Customer &amp; Branch Linkage</v>
      </c>
      <c r="D45" s="1" t="str">
        <v>Contact Person dropdown filtered by selected Branch</v>
      </c>
      <c r="E45" s="1" t="str">
        <v>High</v>
      </c>
      <c r="F45" s="1" t="str">
        <v>BR-CON-07</v>
      </c>
      <c r="G45" s="1" t="str">
        <v>Not Run</v>
      </c>
    </row>
    <row r="46">
      <c r="A46" s="1" t="str">
        <v>CON-019</v>
      </c>
      <c r="B46" s="1" t="str">
        <v>AMC Contract</v>
      </c>
      <c r="C46" s="1" t="str">
        <v>Contract Status</v>
      </c>
      <c r="D46" s="1" t="str">
        <v>Status field accepts Active value</v>
      </c>
      <c r="E46" s="1" t="str">
        <v>High</v>
      </c>
      <c r="F46" s="1" t="str">
        <v>BR-CON-09</v>
      </c>
      <c r="G46" s="1" t="str">
        <v>Not Run</v>
      </c>
    </row>
    <row r="47">
      <c r="A47" s="1" t="str">
        <v>CON-020</v>
      </c>
      <c r="B47" s="1" t="str">
        <v>AMC Contract</v>
      </c>
      <c r="C47" s="1" t="str">
        <v>Contract Status</v>
      </c>
      <c r="D47" s="1" t="str">
        <v>Status field accepts Inactive value</v>
      </c>
      <c r="E47" s="1" t="str">
        <v>High</v>
      </c>
      <c r="F47" s="1" t="str">
        <v>BR-CON-09</v>
      </c>
      <c r="G47" s="1" t="str">
        <v>Not Run</v>
      </c>
    </row>
    <row r="48">
      <c r="A48" s="1" t="str">
        <v>CON-021</v>
      </c>
      <c r="B48" s="1" t="str">
        <v>AMC Contract</v>
      </c>
      <c r="C48" s="1" t="str">
        <v>Contract Status</v>
      </c>
      <c r="D48" s="1" t="str">
        <v>Status is blank by default on new contract</v>
      </c>
      <c r="E48" s="1" t="str">
        <v>Medium</v>
      </c>
      <c r="F48" s="1" t="str">
        <v>BR-CON-09</v>
      </c>
      <c r="G48" s="1" t="str">
        <v>Not Run</v>
      </c>
    </row>
    <row r="49">
      <c r="A49" s="1" t="str">
        <v>CON-022</v>
      </c>
      <c r="B49" s="1" t="str">
        <v>AMC Contract</v>
      </c>
      <c r="C49" s="1" t="str">
        <v>Submit &amp; Amend Workflow</v>
      </c>
      <c r="D49" s="1" t="str">
        <v>Draft contract can be submitted</v>
      </c>
      <c r="E49" s="1" t="str">
        <v>Critical</v>
      </c>
      <c r="F49" s="1" t="str">
        <v>BR-CON-10</v>
      </c>
      <c r="G49" s="1" t="str">
        <v>Not Run</v>
      </c>
    </row>
    <row r="50">
      <c r="A50" s="1" t="str">
        <v>CON-023</v>
      </c>
      <c r="B50" s="1" t="str">
        <v>AMC Contract</v>
      </c>
      <c r="C50" s="1" t="str">
        <v>Submit &amp; Amend Workflow</v>
      </c>
      <c r="D50" s="1" t="str">
        <v>Submitted contract fields are read-only</v>
      </c>
      <c r="E50" s="1" t="str">
        <v>Critical</v>
      </c>
      <c r="F50" s="1" t="str">
        <v>BR-CON-10</v>
      </c>
      <c r="G50" s="1" t="str">
        <v>Not Run</v>
      </c>
    </row>
    <row r="51">
      <c r="A51" s="1" t="str">
        <v>CON-024</v>
      </c>
      <c r="B51" s="1" t="str">
        <v>AMC Contract</v>
      </c>
      <c r="C51" s="1" t="str">
        <v>Submit &amp; Amend Workflow</v>
      </c>
      <c r="D51" s="1" t="str">
        <v>Submitted contract can be amended to create new draft</v>
      </c>
      <c r="E51" s="1" t="str">
        <v>Critical</v>
      </c>
      <c r="F51" s="1" t="str">
        <v>BR-CON-11</v>
      </c>
      <c r="G51" s="1" t="str">
        <v>Not Run</v>
      </c>
    </row>
    <row r="52">
      <c r="A52" s="1" t="str">
        <v>CON-025</v>
      </c>
      <c r="B52" s="1" t="str">
        <v>AMC Contract</v>
      </c>
      <c r="C52" s="1" t="str">
        <v>Submit &amp; Amend Workflow</v>
      </c>
      <c r="D52" s="1" t="str">
        <v>Submitted contract can be cancelled</v>
      </c>
      <c r="E52" s="1" t="str">
        <v>High</v>
      </c>
      <c r="F52" s="1" t="str">
        <v>BR-CON-10</v>
      </c>
      <c r="G52" s="1" t="str">
        <v>Not Run</v>
      </c>
    </row>
    <row r="53">
      <c r="A53" s="1" t="str">
        <v>CON-026</v>
      </c>
      <c r="B53" s="1" t="str">
        <v>AMC Contract</v>
      </c>
      <c r="C53" s="1" t="str">
        <v>Company Branch</v>
      </c>
      <c r="D53" s="1" t="str">
        <v>Company Branch saved independently of Customer Branch</v>
      </c>
      <c r="E53" s="1" t="str">
        <v>High</v>
      </c>
      <c r="F53" s="1" t="str">
        <v>BR-CON-08</v>
      </c>
      <c r="G53" s="1" t="str">
        <v>Not Run</v>
      </c>
    </row>
    <row r="54">
      <c r="A54" s="1" t="str">
        <v>CON-027</v>
      </c>
      <c r="B54" s="1" t="str">
        <v>AMC Contract</v>
      </c>
      <c r="C54" s="1" t="str">
        <v>Service Calls Tab</v>
      </c>
      <c r="D54" s="1" t="str">
        <v>Service Calls tab shows generated calls after submission</v>
      </c>
      <c r="E54" s="1" t="str">
        <v>Critical</v>
      </c>
      <c r="F54" s="1" t="str">
        <v>BR-CON-12</v>
      </c>
      <c r="G54" s="1" t="str">
        <v>Not Run</v>
      </c>
    </row>
    <row r="55">
      <c r="A55" s="1" t="str">
        <v>CON-028</v>
      </c>
      <c r="B55" s="1" t="str">
        <v>AMC Contract</v>
      </c>
      <c r="C55" s="1" t="str">
        <v>Service Calls Tab</v>
      </c>
      <c r="D55" s="1" t="str">
        <v>Service Calls tab is empty for unsaved draft contract</v>
      </c>
      <c r="E55" s="1" t="str">
        <v>High</v>
      </c>
      <c r="F55" s="1" t="str">
        <v>BR-CON-12</v>
      </c>
      <c r="G55" s="1" t="str">
        <v>Not Run</v>
      </c>
    </row>
    <row r="56">
      <c r="A56" s="1" t="str">
        <v>CON-029</v>
      </c>
      <c r="B56" s="1" t="str">
        <v>AMC Contract</v>
      </c>
      <c r="C56" s="1" t="str">
        <v>Service Calls Tab</v>
      </c>
      <c r="D56" s="1" t="str">
        <v>Service Call count equals No of Services on contract</v>
      </c>
      <c r="E56" s="1" t="str">
        <v>Critical</v>
      </c>
      <c r="F56" s="1" t="str">
        <v>BR-CON-04, BR-CON-12</v>
      </c>
      <c r="G56" s="1" t="str">
        <v>Not Run</v>
      </c>
    </row>
    <row r="57">
      <c r="A57" s="1" t="str">
        <v>CON-030</v>
      </c>
      <c r="B57" s="1" t="str">
        <v>AMC Contract</v>
      </c>
      <c r="C57" s="1" t="str">
        <v>Cross-DocType Integration</v>
      </c>
      <c r="D57" s="1" t="str">
        <v>One customer can have contracts for multiple branches</v>
      </c>
      <c r="E57" s="1" t="str">
        <v>Critical</v>
      </c>
      <c r="F57" s="1" t="str">
        <v>BR-CON-13</v>
      </c>
      <c r="G57" s="1" t="str">
        <v>Not Run</v>
      </c>
    </row>
    <row r="58">
      <c r="A58" s="1" t="str">
        <v>CON-031</v>
      </c>
      <c r="B58" s="1" t="str">
        <v>AMC Contract</v>
      </c>
      <c r="C58" s="1" t="str">
        <v>Cross-DocType Integration</v>
      </c>
      <c r="D58" s="1" t="str">
        <v>Deleting customer with active contracts is blocked</v>
      </c>
      <c r="E58" s="1" t="str">
        <v>High</v>
      </c>
      <c r="F58" s="1" t="str">
        <v>BR-CUST-10</v>
      </c>
      <c r="G58" s="1" t="str">
        <v>Not Run</v>
      </c>
    </row>
    <row r="59">
      <c r="A59" s="1" t="str">
        <v>CON-032</v>
      </c>
      <c r="B59" s="1" t="str">
        <v>AMC Contract</v>
      </c>
      <c r="C59" s="1" t="str">
        <v>Cross-DocType Integration</v>
      </c>
      <c r="D59" s="1" t="str">
        <v>Technician cannot cancel or delete AMC Contract</v>
      </c>
      <c r="E59" s="1" t="str">
        <v>Critical</v>
      </c>
      <c r="F59" s="1" t="str">
        <v>BR-CON-14</v>
      </c>
      <c r="G59" s="1" t="str">
        <v>Not Run</v>
      </c>
    </row>
    <row r="60">
      <c r="A60" s="1" t="str">
        <v>▌ Vendor</v>
      </c>
    </row>
    <row r="61">
      <c r="A61" s="1" t="str">
        <v>VEN-001</v>
      </c>
      <c r="B61" s="1" t="str">
        <v>Vendor</v>
      </c>
      <c r="C61" s="1" t="str">
        <v>Vendor Creation &amp; Basic Details</v>
      </c>
      <c r="D61" s="1" t="str">
        <v>Create Vendor with Vendor Name only (mandatory field)</v>
      </c>
      <c r="E61" s="1" t="str">
        <v>Critical</v>
      </c>
      <c r="F61" s="1" t="str">
        <v>BR-VEN-01</v>
      </c>
      <c r="G61" s="1" t="str">
        <v>Not Run</v>
      </c>
    </row>
    <row r="62">
      <c r="A62" s="1" t="str">
        <v>VEN-002</v>
      </c>
      <c r="B62" s="1" t="str">
        <v>Vendor</v>
      </c>
      <c r="C62" s="1" t="str">
        <v>Vendor Creation &amp; Basic Details</v>
      </c>
      <c r="D62" s="1" t="str">
        <v>Create Vendor with all basic fields (Name, Type, PAN)</v>
      </c>
      <c r="E62" s="1" t="str">
        <v>Critical</v>
      </c>
      <c r="F62" s="1" t="str">
        <v>BR-VEN-01, BR-VEN-02</v>
      </c>
      <c r="G62" s="1" t="str">
        <v>Not Run</v>
      </c>
    </row>
    <row r="63">
      <c r="A63" s="1" t="str">
        <v>VEN-003</v>
      </c>
      <c r="B63" s="1" t="str">
        <v>Vendor</v>
      </c>
      <c r="C63" s="1" t="str">
        <v>Vendor Creation &amp; Basic Details</v>
      </c>
      <c r="D63" s="1" t="str">
        <v>Create Vendor with Type as Company</v>
      </c>
      <c r="E63" s="1" t="str">
        <v>High</v>
      </c>
      <c r="F63" s="1" t="str">
        <v>BR-VEN-02</v>
      </c>
      <c r="G63" s="1" t="str">
        <v>Not Run</v>
      </c>
    </row>
    <row r="64">
      <c r="A64" s="1" t="str">
        <v>VEN-004</v>
      </c>
      <c r="B64" s="1" t="str">
        <v>Vendor</v>
      </c>
      <c r="C64" s="1" t="str">
        <v>Vendor Creation &amp; Basic Details</v>
      </c>
      <c r="D64" s="1" t="str">
        <v>Create Vendor with Type as Individual</v>
      </c>
      <c r="E64" s="1" t="str">
        <v>High</v>
      </c>
      <c r="F64" s="1" t="str">
        <v>BR-VEN-02</v>
      </c>
      <c r="G64" s="1" t="str">
        <v>Not Run</v>
      </c>
    </row>
    <row r="65">
      <c r="A65" s="1" t="str">
        <v>VEN-005</v>
      </c>
      <c r="B65" s="1" t="str">
        <v>Vendor</v>
      </c>
      <c r="C65" s="1" t="str">
        <v>Primary Contact Details</v>
      </c>
      <c r="D65" s="1" t="str">
        <v>Add Primary Contact Person</v>
      </c>
      <c r="E65" s="1" t="str">
        <v>Critical</v>
      </c>
      <c r="F65" s="1" t="str">
        <v>BR-VEN-03</v>
      </c>
      <c r="G65" s="1" t="str">
        <v>Not Run</v>
      </c>
    </row>
    <row r="66">
      <c r="A66" s="1" t="str">
        <v>VEN-006</v>
      </c>
      <c r="B66" s="1" t="str">
        <v>Vendor</v>
      </c>
      <c r="C66" s="1" t="str">
        <v>Primary Contact Details</v>
      </c>
      <c r="D66" s="1" t="str">
        <v>Valid phone number format in Mobile No field</v>
      </c>
      <c r="E66" s="1" t="str">
        <v>High</v>
      </c>
      <c r="F66" s="1" t="str">
        <v>BR-VEN-03</v>
      </c>
      <c r="G66" s="1" t="str">
        <v>Not Run</v>
      </c>
    </row>
    <row r="67">
      <c r="A67" s="1" t="str">
        <v>VEN-007</v>
      </c>
      <c r="B67" s="1" t="str">
        <v>Vendor</v>
      </c>
      <c r="C67" s="1" t="str">
        <v>Primary Contact Details</v>
      </c>
      <c r="D67" s="1" t="str">
        <v>Invalid phone number format is rejected</v>
      </c>
      <c r="E67" s="1" t="str">
        <v>Critical</v>
      </c>
      <c r="F67" s="1" t="str">
        <v>BR-VEN-03</v>
      </c>
      <c r="G67" s="1" t="str">
        <v>Not Run</v>
      </c>
    </row>
    <row r="68">
      <c r="A68" s="1" t="str">
        <v>VEN-008</v>
      </c>
      <c r="B68" s="1" t="str">
        <v>Vendor</v>
      </c>
      <c r="C68" s="1" t="str">
        <v>Primary Contact Details</v>
      </c>
      <c r="D68" s="1" t="str">
        <v>Valid email format is accepted</v>
      </c>
      <c r="E68" s="1" t="str">
        <v>High</v>
      </c>
      <c r="F68" s="1" t="str">
        <v>BR-VEN-03</v>
      </c>
      <c r="G68" s="1" t="str">
        <v>Not Run</v>
      </c>
    </row>
    <row r="69">
      <c r="A69" s="1" t="str">
        <v>VEN-009</v>
      </c>
      <c r="B69" s="1" t="str">
        <v>Vendor</v>
      </c>
      <c r="C69" s="1" t="str">
        <v>Primary Contact Details</v>
      </c>
      <c r="D69" s="1" t="str">
        <v>Invalid email format is rejected with error message</v>
      </c>
      <c r="E69" s="1" t="str">
        <v>Critical</v>
      </c>
      <c r="F69" s="1" t="str">
        <v>BR-VEN-03</v>
      </c>
      <c r="G69" s="1" t="str">
        <v>Not Run</v>
      </c>
    </row>
    <row r="70">
      <c r="A70" s="1" t="str">
        <v>VEN-010</v>
      </c>
      <c r="B70" s="1" t="str">
        <v>Vendor</v>
      </c>
      <c r="C70" s="1" t="str">
        <v>Tax Identification</v>
      </c>
      <c r="D70" s="1" t="str">
        <v>Valid PAN number format is accepted</v>
      </c>
      <c r="E70" s="1" t="str">
        <v>Critical</v>
      </c>
      <c r="F70" s="1" t="str">
        <v>BR-VEN-04</v>
      </c>
      <c r="G70" s="1" t="str">
        <v>Not Run</v>
      </c>
    </row>
    <row r="71">
      <c r="A71" s="1" t="str">
        <v>VEN-011</v>
      </c>
      <c r="B71" s="1" t="str">
        <v>Vendor</v>
      </c>
      <c r="C71" s="1" t="str">
        <v>Tax Identification</v>
      </c>
      <c r="D71" s="1" t="str">
        <v>Invalid PAN format is rejected</v>
      </c>
      <c r="E71" s="1" t="str">
        <v>Critical</v>
      </c>
      <c r="F71" s="1" t="str">
        <v>BR-VEN-04</v>
      </c>
      <c r="G71" s="1" t="str">
        <v>Not Run</v>
      </c>
    </row>
    <row r="72">
      <c r="A72" s="1" t="str">
        <v>VEN-012</v>
      </c>
      <c r="B72" s="1" t="str">
        <v>Vendor</v>
      </c>
      <c r="C72" s="1" t="str">
        <v>Tax Identification</v>
      </c>
      <c r="D72" s="1" t="str">
        <v>Duplicate PAN across two vendors is blocked</v>
      </c>
      <c r="E72" s="1" t="str">
        <v>Critical</v>
      </c>
      <c r="F72" s="1" t="str">
        <v>BR-VEN-05</v>
      </c>
      <c r="G72" s="1" t="str">
        <v>Not Run</v>
      </c>
    </row>
    <row r="73">
      <c r="A73" s="1" t="str">
        <v>VEN-013</v>
      </c>
      <c r="B73" s="1" t="str">
        <v>Vendor</v>
      </c>
      <c r="C73" s="1" t="str">
        <v>Tax Identification</v>
      </c>
      <c r="D73" s="1" t="str">
        <v>PAN field can be left blank (optional)</v>
      </c>
      <c r="E73" s="1" t="str">
        <v>High</v>
      </c>
      <c r="F73" s="1" t="str">
        <v>BR-VEN-04</v>
      </c>
      <c r="G73" s="1" t="str">
        <v>Not Run</v>
      </c>
    </row>
    <row r="74">
      <c r="A74" s="1" t="str">
        <v>VEN-014</v>
      </c>
      <c r="B74" s="1" t="str">
        <v>Vendor</v>
      </c>
      <c r="C74" s="1" t="str">
        <v>Registered Address</v>
      </c>
      <c r="D74" s="1" t="str">
        <v>Add Registered Address to Vendor</v>
      </c>
      <c r="E74" s="1" t="str">
        <v>High</v>
      </c>
      <c r="F74" s="1" t="str">
        <v>BR-VEN-06</v>
      </c>
      <c r="G74" s="1" t="str">
        <v>Not Run</v>
      </c>
    </row>
    <row r="75">
      <c r="A75" s="1" t="str">
        <v>VEN-015</v>
      </c>
      <c r="B75" s="1" t="str">
        <v>Vendor</v>
      </c>
      <c r="C75" s="1" t="str">
        <v>Registered Address</v>
      </c>
      <c r="D75" s="1" t="str">
        <v>Registered Address text is saved correctly</v>
      </c>
      <c r="E75" s="1" t="str">
        <v>High</v>
      </c>
      <c r="F75" s="1" t="str">
        <v>BR-VEN-06</v>
      </c>
      <c r="G75" s="1" t="str">
        <v>Not Run</v>
      </c>
    </row>
    <row r="76">
      <c r="A76" s="1" t="str">
        <v>VEN-016</v>
      </c>
      <c r="B76" s="1" t="str">
        <v>Vendor</v>
      </c>
      <c r="C76" s="1" t="str">
        <v>Registered Address</v>
      </c>
      <c r="D76" s="1" t="str">
        <v>Registered Address with special characters is accepted</v>
      </c>
      <c r="E76" s="1" t="str">
        <v>Medium</v>
      </c>
      <c r="F76" s="1" t="str">
        <v>BR-VEN-06</v>
      </c>
      <c r="G76" s="1" t="str">
        <v>Not Run</v>
      </c>
    </row>
    <row r="77">
      <c r="A77" s="1" t="str">
        <v>VEN-017</v>
      </c>
      <c r="B77" s="1" t="str">
        <v>Vendor</v>
      </c>
      <c r="C77" s="1" t="str">
        <v>Address Table</v>
      </c>
      <c r="D77" s="1" t="str">
        <v>Add single address row to Vendor</v>
      </c>
      <c r="E77" s="1" t="str">
        <v>Critical</v>
      </c>
      <c r="F77" s="1" t="str">
        <v>BR-VEN-07</v>
      </c>
      <c r="G77" s="1" t="str">
        <v>Not Run</v>
      </c>
    </row>
    <row r="78">
      <c r="A78" s="1" t="str">
        <v>VEN-018</v>
      </c>
      <c r="B78" s="1" t="str">
        <v>Vendor</v>
      </c>
      <c r="C78" s="1" t="str">
        <v>Address Table</v>
      </c>
      <c r="D78" s="1" t="str">
        <v>Add multiple address rows to same Vendor</v>
      </c>
      <c r="E78" s="1" t="str">
        <v>High</v>
      </c>
      <c r="F78" s="1" t="str">
        <v>BR-VEN-07</v>
      </c>
      <c r="G78" s="1" t="str">
        <v>Not Run</v>
      </c>
    </row>
    <row r="79">
      <c r="A79" s="1" t="str">
        <v>VEN-019</v>
      </c>
      <c r="B79" s="1" t="str">
        <v>Vendor</v>
      </c>
      <c r="C79" s="1" t="str">
        <v>Address Table</v>
      </c>
      <c r="D79" s="1" t="str">
        <v>Delete address row from table</v>
      </c>
      <c r="E79" s="1" t="str">
        <v>Medium</v>
      </c>
      <c r="F79" s="1" t="str">
        <v>BR-VEN-07</v>
      </c>
      <c r="G79" s="1" t="str">
        <v>Not Run</v>
      </c>
    </row>
    <row r="80">
      <c r="A80" s="1" t="str">
        <v>VEN-020</v>
      </c>
      <c r="B80" s="1" t="str">
        <v>Vendor</v>
      </c>
      <c r="C80" s="1" t="str">
        <v>Address Table</v>
      </c>
      <c r="D80" s="1" t="str">
        <v>Address row Name field is populated correctly</v>
      </c>
      <c r="E80" s="1" t="str">
        <v>High</v>
      </c>
      <c r="F80" s="1" t="str">
        <v>BR-VEN-07</v>
      </c>
      <c r="G80" s="1" t="str">
        <v>Not Run</v>
      </c>
    </row>
    <row r="81">
      <c r="A81" s="1" t="str">
        <v>VEN-021</v>
      </c>
      <c r="B81" s="1" t="str">
        <v>Vendor</v>
      </c>
      <c r="C81" s="1" t="str">
        <v>Address Table</v>
      </c>
      <c r="D81" s="1" t="str">
        <v>Address row City field is populated correctly</v>
      </c>
      <c r="E81" s="1" t="str">
        <v>High</v>
      </c>
      <c r="F81" s="1" t="str">
        <v>BR-VEN-07</v>
      </c>
      <c r="G81" s="1" t="str">
        <v>Not Run</v>
      </c>
    </row>
    <row r="82">
      <c r="A82" s="1" t="str">
        <v>VEN-022</v>
      </c>
      <c r="B82" s="1" t="str">
        <v>Vendor</v>
      </c>
      <c r="C82" s="1" t="str">
        <v>Address Table</v>
      </c>
      <c r="D82" s="1" t="str">
        <v>Address row State field is populated correctly</v>
      </c>
      <c r="E82" s="1" t="str">
        <v>High</v>
      </c>
      <c r="F82" s="1" t="str">
        <v>BR-VEN-07</v>
      </c>
      <c r="G82" s="1" t="str">
        <v>Not Run</v>
      </c>
    </row>
    <row r="83">
      <c r="A83" s="1" t="str">
        <v>VEN-023</v>
      </c>
      <c r="B83" s="1" t="str">
        <v>Vendor</v>
      </c>
      <c r="C83" s="1" t="str">
        <v>Address Table</v>
      </c>
      <c r="D83" s="1" t="str">
        <v>Address row GST No is validated and accepted</v>
      </c>
      <c r="E83" s="1" t="str">
        <v>Critical</v>
      </c>
      <c r="F83" s="1" t="str">
        <v>BR-VEN-08</v>
      </c>
      <c r="G83" s="1" t="str">
        <v>Not Run</v>
      </c>
    </row>
    <row r="84">
      <c r="A84" s="1" t="str">
        <v>VEN-024</v>
      </c>
      <c r="B84" s="1" t="str">
        <v>Vendor</v>
      </c>
      <c r="C84" s="1" t="str">
        <v>Address Table</v>
      </c>
      <c r="D84" s="1" t="str">
        <v>Invalid GST No in address row is rejected</v>
      </c>
      <c r="E84" s="1" t="str">
        <v>Critical</v>
      </c>
      <c r="F84" s="1" t="str">
        <v>BR-VEN-08</v>
      </c>
      <c r="G84" s="1" t="str">
        <v>Not Run</v>
      </c>
    </row>
    <row r="85">
      <c r="A85" s="1" t="str">
        <v>VEN-025</v>
      </c>
      <c r="B85" s="1" t="str">
        <v>Vendor</v>
      </c>
      <c r="C85" s="1" t="str">
        <v>Address Table</v>
      </c>
      <c r="D85" s="1" t="str">
        <v>Address row Mobile No field validation</v>
      </c>
      <c r="E85" s="1" t="str">
        <v>High</v>
      </c>
      <c r="F85" s="1" t="str">
        <v>BR-VEN-07</v>
      </c>
      <c r="G85" s="1" t="str">
        <v>Not Run</v>
      </c>
    </row>
    <row r="86">
      <c r="A86" s="1" t="str">
        <v>VEN-026</v>
      </c>
      <c r="B86" s="1" t="str">
        <v>Vendor</v>
      </c>
      <c r="C86" s="1" t="str">
        <v>Address Table</v>
      </c>
      <c r="D86" s="1" t="str">
        <v>Duplicate GST No across address rows is blocked</v>
      </c>
      <c r="E86" s="1" t="str">
        <v>Critical</v>
      </c>
      <c r="F86" s="1" t="str">
        <v>BR-VEN-09</v>
      </c>
      <c r="G86" s="1" t="str">
        <v>Not Run</v>
      </c>
    </row>
    <row r="87">
      <c r="A87" s="1" t="str">
        <v>VEN-027</v>
      </c>
      <c r="B87" s="1" t="str">
        <v>Vendor</v>
      </c>
      <c r="C87" s="1" t="str">
        <v>Data Validation</v>
      </c>
      <c r="D87" s="1" t="str">
        <v>Vendor cannot be saved without Vendor Name</v>
      </c>
      <c r="E87" s="1" t="str">
        <v>Critical</v>
      </c>
      <c r="F87" s="1" t="str">
        <v>BR-VEN-01</v>
      </c>
      <c r="G87" s="1" t="str">
        <v>Not Run</v>
      </c>
    </row>
    <row r="88">
      <c r="A88" s="1" t="str">
        <v>VEN-028</v>
      </c>
      <c r="B88" s="1" t="str">
        <v>Vendor</v>
      </c>
      <c r="C88" s="1" t="str">
        <v>Data Validation</v>
      </c>
      <c r="D88" s="1" t="str">
        <v>Vendor Name with special characters is accepted</v>
      </c>
      <c r="E88" s="1" t="str">
        <v>Medium</v>
      </c>
      <c r="F88" s="1" t="str">
        <v>BR-VEN-01</v>
      </c>
      <c r="G88" s="1" t="str">
        <v>Not Run</v>
      </c>
    </row>
    <row r="89">
      <c r="A89" s="1" t="str">
        <v>VEN-029</v>
      </c>
      <c r="B89" s="1" t="str">
        <v>Vendor</v>
      </c>
      <c r="C89" s="1" t="str">
        <v>Data Validation</v>
      </c>
      <c r="D89" s="1" t="str">
        <v>Type field dropdown shows all available options</v>
      </c>
      <c r="E89" s="1" t="str">
        <v>Medium</v>
      </c>
      <c r="F89" s="1" t="str">
        <v>BR-VEN-02</v>
      </c>
      <c r="G89" s="1" t="str">
        <v>Not Run</v>
      </c>
    </row>
    <row r="90">
      <c r="A90" s="1" t="str">
        <v>VEN-030</v>
      </c>
      <c r="B90" s="1" t="str">
        <v>Vendor</v>
      </c>
      <c r="C90" s="1" t="str">
        <v>Data Validation</v>
      </c>
      <c r="D90" s="1" t="str">
        <v>Empty Type field defaults to Company</v>
      </c>
      <c r="E90" s="1" t="str">
        <v>High</v>
      </c>
      <c r="F90" s="1" t="str">
        <v>BR-VEN-02</v>
      </c>
      <c r="G90" s="1" t="str">
        <v>Not Run</v>
      </c>
    </row>
    <row r="91">
      <c r="A91" s="1" t="str">
        <v>VEN-031</v>
      </c>
      <c r="B91" s="1" t="str">
        <v>Vendor</v>
      </c>
      <c r="C91" s="1" t="str">
        <v>Editing &amp; Updates</v>
      </c>
      <c r="D91" s="1" t="str">
        <v>Edit existing Vendor Name</v>
      </c>
      <c r="E91" s="1" t="str">
        <v>High</v>
      </c>
      <c r="F91" s="1" t="str">
        <v>BR-VEN-10</v>
      </c>
      <c r="G91" s="1" t="str">
        <v>Not Run</v>
      </c>
    </row>
    <row r="92">
      <c r="A92" s="1" t="str">
        <v>VEN-032</v>
      </c>
      <c r="B92" s="1" t="str">
        <v>Vendor</v>
      </c>
      <c r="C92" s="1" t="str">
        <v>Editing &amp; Updates</v>
      </c>
      <c r="D92" s="1" t="str">
        <v>Edit Primary Contact Person details</v>
      </c>
      <c r="E92" s="1" t="str">
        <v>High</v>
      </c>
      <c r="F92" s="1" t="str">
        <v>BR-VEN-10</v>
      </c>
      <c r="G92" s="1" t="str">
        <v>Not Run</v>
      </c>
    </row>
    <row r="93">
      <c r="A93" s="1" t="str">
        <v>VEN-033</v>
      </c>
      <c r="B93" s="1" t="str">
        <v>Vendor</v>
      </c>
      <c r="C93" s="1" t="str">
        <v>Editing &amp; Updates</v>
      </c>
      <c r="D93" s="1" t="str">
        <v>Edit PAN number</v>
      </c>
      <c r="E93" s="1" t="str">
        <v>High</v>
      </c>
      <c r="F93" s="1" t="str">
        <v>BR-VEN-10</v>
      </c>
      <c r="G93" s="1" t="str">
        <v>Not Run</v>
      </c>
    </row>
    <row r="94">
      <c r="A94" s="1" t="str">
        <v>VEN-034</v>
      </c>
      <c r="B94" s="1" t="str">
        <v>Vendor</v>
      </c>
      <c r="C94" s="1" t="str">
        <v>Editing &amp; Updates</v>
      </c>
      <c r="D94" s="1" t="str">
        <v>Edit Registered Address</v>
      </c>
      <c r="E94" s="1" t="str">
        <v>Medium</v>
      </c>
      <c r="F94" s="1" t="str">
        <v>BR-VEN-10</v>
      </c>
      <c r="G94" s="1" t="str">
        <v>Not Run</v>
      </c>
    </row>
    <row r="95">
      <c r="A95" s="1" t="str">
        <v>VEN-035</v>
      </c>
      <c r="B95" s="1" t="str">
        <v>Vendor</v>
      </c>
      <c r="C95" s="1" t="str">
        <v>Editing &amp; Updates</v>
      </c>
      <c r="D95" s="1" t="str">
        <v>Edit address table rows</v>
      </c>
      <c r="E95" s="1" t="str">
        <v>Medium</v>
      </c>
      <c r="F95" s="1" t="str">
        <v>BR-VEN-10</v>
      </c>
      <c r="G95" s="1" t="str">
        <v>Not Run</v>
      </c>
    </row>
    <row r="96">
      <c r="A96" s="1" t="str">
        <v>VEN-036</v>
      </c>
      <c r="B96" s="1" t="str">
        <v>Vendor</v>
      </c>
      <c r="C96" s="1" t="str">
        <v>Form Actions</v>
      </c>
      <c r="D96" s="1" t="str">
        <v>Save Vendor successfully</v>
      </c>
      <c r="E96" s="1" t="str">
        <v>Critical</v>
      </c>
      <c r="F96" s="1" t="str">
        <v>BR-VEN-01</v>
      </c>
      <c r="G96" s="1" t="str">
        <v>Not Run</v>
      </c>
    </row>
    <row r="97">
      <c r="A97" s="1" t="str">
        <v>VEN-037</v>
      </c>
      <c r="B97" s="1" t="str">
        <v>Vendor</v>
      </c>
      <c r="C97" s="1" t="str">
        <v>Form Actions</v>
      </c>
      <c r="D97" s="1" t="str">
        <v>Form shows "Not Saved" status before save</v>
      </c>
      <c r="E97" s="1" t="str">
        <v>Medium</v>
      </c>
      <c r="F97" s="1" t="str">
        <v>BR-VEN-11</v>
      </c>
      <c r="G97" s="1" t="str">
        <v>Not Run</v>
      </c>
    </row>
    <row r="98">
      <c r="A98" s="1" t="str">
        <v>VEN-038</v>
      </c>
      <c r="B98" s="1" t="str">
        <v>Vendor</v>
      </c>
      <c r="C98" s="1" t="str">
        <v>Form Actions</v>
      </c>
      <c r="D98" s="1" t="str">
        <v>Form shows "Saved" status after successful save</v>
      </c>
      <c r="E98" s="1" t="str">
        <v>Medium</v>
      </c>
      <c r="F98" s="1" t="str">
        <v>BR-VEN-11</v>
      </c>
      <c r="G98" s="1" t="str">
        <v>Not Run</v>
      </c>
    </row>
    <row r="99">
      <c r="A99" s="1" t="str">
        <v>VEN-039</v>
      </c>
      <c r="B99" s="1" t="str">
        <v>Vendor</v>
      </c>
      <c r="C99" s="1" t="str">
        <v>Form Actions</v>
      </c>
      <c r="D99" s="1" t="str">
        <v>Duplicate existing Vendor</v>
      </c>
      <c r="E99" s="1" t="str">
        <v>High</v>
      </c>
      <c r="F99" s="1" t="str">
        <v>BR-VEN-11</v>
      </c>
      <c r="G99" s="1" t="str">
        <v>Not Run</v>
      </c>
    </row>
    <row r="100">
      <c r="A100" s="1" t="str">
        <v>VEN-040</v>
      </c>
      <c r="B100" s="1" t="str">
        <v>Vendor</v>
      </c>
      <c r="C100" s="1" t="str">
        <v>Form Actions</v>
      </c>
      <c r="D100" s="1" t="str">
        <v>Delete Vendor (if permitted)</v>
      </c>
      <c r="E100" s="1" t="str">
        <v>High</v>
      </c>
      <c r="F100" s="1" t="str">
        <v>BR-VEN-11</v>
      </c>
      <c r="G100" s="1" t="str">
        <v>Not Run</v>
      </c>
    </row>
    <row r="101">
      <c r="A101" s="1" t="str">
        <v>▌ Attendance</v>
      </c>
    </row>
    <row r="102">
      <c r="A102" s="1" t="str">
        <v>ATT-001</v>
      </c>
      <c r="B102" s="1" t="str">
        <v>Attendance</v>
      </c>
      <c r="C102" s="1" t="str">
        <v>Attendance Creation &amp; Basic Details</v>
      </c>
      <c r="D102" s="1" t="str">
        <v>Create Attendance with mandatory fields only (Employee, Status, Attendance Date)</v>
      </c>
      <c r="E102" s="1" t="str">
        <v>Critical</v>
      </c>
      <c r="F102" s="1" t="str">
        <v>BR-ATT-01</v>
      </c>
      <c r="G102" s="1" t="str">
        <v>Not Run</v>
      </c>
    </row>
    <row r="103">
      <c r="A103" s="1" t="str">
        <v>ATT-002</v>
      </c>
      <c r="B103" s="1" t="str">
        <v>Attendance</v>
      </c>
      <c r="C103" s="1" t="str">
        <v>Attendance Creation &amp; Basic Details</v>
      </c>
      <c r="D103" s="1" t="str">
        <v>Create Attendance with all basic fields (Employee, Status, Date, Company, Shift)</v>
      </c>
      <c r="E103" s="1" t="str">
        <v>Critical</v>
      </c>
      <c r="F103" s="1" t="str">
        <v>BR-ATT-01, BR-ATT-02</v>
      </c>
      <c r="G103" s="1" t="str">
        <v>Not Run</v>
      </c>
    </row>
    <row r="104">
      <c r="A104" s="1" t="str">
        <v>ATT-003</v>
      </c>
      <c r="B104" s="1" t="str">
        <v>Attendance</v>
      </c>
      <c r="C104" s="1" t="str">
        <v>Attendance Creation &amp; Basic Details</v>
      </c>
      <c r="D104" s="1" t="str">
        <v>Create Attendance with Status as Present</v>
      </c>
      <c r="E104" s="1" t="str">
        <v>Critical</v>
      </c>
      <c r="F104" s="1" t="str">
        <v>BR-ATT-03</v>
      </c>
      <c r="G104" s="1" t="str">
        <v>Not Run</v>
      </c>
    </row>
    <row r="105">
      <c r="A105" s="1" t="str">
        <v>ATT-004</v>
      </c>
      <c r="B105" s="1" t="str">
        <v>Attendance</v>
      </c>
      <c r="C105" s="1" t="str">
        <v>Attendance Creation &amp; Basic Details</v>
      </c>
      <c r="D105" s="1" t="str">
        <v>Create Attendance with Status as Absent</v>
      </c>
      <c r="E105" s="1" t="str">
        <v>Critical</v>
      </c>
      <c r="F105" s="1" t="str">
        <v>BR-ATT-03</v>
      </c>
      <c r="G105" s="1" t="str">
        <v>Not Run</v>
      </c>
    </row>
    <row r="106">
      <c r="A106" s="1" t="str">
        <v>ATT-005</v>
      </c>
      <c r="B106" s="1" t="str">
        <v>Attendance</v>
      </c>
      <c r="C106" s="1" t="str">
        <v>Attendance Creation &amp; Basic Details</v>
      </c>
      <c r="D106" s="1" t="str">
        <v>Create Attendance with Status as Leave</v>
      </c>
      <c r="E106" s="1" t="str">
        <v>High</v>
      </c>
      <c r="F106" s="1" t="str">
        <v>BR-ATT-03</v>
      </c>
      <c r="G106" s="1" t="str">
        <v>Not Run</v>
      </c>
    </row>
    <row r="107">
      <c r="A107" s="1" t="str">
        <v>ATT-006</v>
      </c>
      <c r="B107" s="1" t="str">
        <v>Attendance</v>
      </c>
      <c r="C107" s="1" t="str">
        <v>Attendance Creation &amp; Basic Details</v>
      </c>
      <c r="D107" s="1" t="str">
        <v>Create Attendance with Status as Half Day</v>
      </c>
      <c r="E107" s="1" t="str">
        <v>High</v>
      </c>
      <c r="F107" s="1" t="str">
        <v>BR-ATT-03</v>
      </c>
      <c r="G107" s="1" t="str">
        <v>Not Run</v>
      </c>
    </row>
    <row r="108">
      <c r="A108" s="1" t="str">
        <v>ATT-007</v>
      </c>
      <c r="B108" s="1" t="str">
        <v>Attendance</v>
      </c>
      <c r="C108" s="1" t="str">
        <v>Series &amp; Auto-generation</v>
      </c>
      <c r="D108" s="1" t="str">
        <v>Series field is auto-generated in format HR-ATT-.YYYY.-</v>
      </c>
      <c r="E108" s="1" t="str">
        <v>Critical</v>
      </c>
      <c r="F108" s="1" t="str">
        <v>BR-ATT-04</v>
      </c>
      <c r="G108" s="1" t="str">
        <v>Not Run</v>
      </c>
    </row>
    <row r="109">
      <c r="A109" s="1" t="str">
        <v>ATT-008</v>
      </c>
      <c r="B109" s="1" t="str">
        <v>Attendance</v>
      </c>
      <c r="C109" s="1" t="str">
        <v>Series &amp; Auto-generation</v>
      </c>
      <c r="D109" s="1" t="str">
        <v>Series field cannot be manually edited</v>
      </c>
      <c r="E109" s="1" t="str">
        <v>High</v>
      </c>
      <c r="F109" s="1" t="str">
        <v>BR-ATT-04</v>
      </c>
      <c r="G109" s="1" t="str">
        <v>Not Run</v>
      </c>
    </row>
    <row r="110">
      <c r="A110" s="1" t="str">
        <v>ATT-009</v>
      </c>
      <c r="B110" s="1" t="str">
        <v>Attendance</v>
      </c>
      <c r="C110" s="1" t="str">
        <v>Series &amp; Auto-generation</v>
      </c>
      <c r="D110" s="1" t="str">
        <v>Unique Series is generated for each attendance record</v>
      </c>
      <c r="E110" s="1" t="str">
        <v>Critical</v>
      </c>
      <c r="F110" s="1" t="str">
        <v>BR-ATT-04</v>
      </c>
      <c r="G110" s="1" t="str">
        <v>Not Run</v>
      </c>
    </row>
    <row r="111">
      <c r="A111" s="1" t="str">
        <v>ATT-010</v>
      </c>
      <c r="B111" s="1" t="str">
        <v>Attendance</v>
      </c>
      <c r="C111" s="1" t="str">
        <v>Employee Selection</v>
      </c>
      <c r="D111" s="1" t="str">
        <v>Valid employee can be selected from dropdown</v>
      </c>
      <c r="E111" s="1" t="str">
        <v>Critical</v>
      </c>
      <c r="F111" s="1" t="str">
        <v>BR-ATT-05</v>
      </c>
      <c r="G111" s="1" t="str">
        <v>Not Run</v>
      </c>
    </row>
    <row r="112">
      <c r="A112" s="1" t="str">
        <v>ATT-011</v>
      </c>
      <c r="B112" s="1" t="str">
        <v>Attendance</v>
      </c>
      <c r="C112" s="1" t="str">
        <v>Employee Selection</v>
      </c>
      <c r="D112" s="1" t="str">
        <v>Invalid/non-existent employee is rejected</v>
      </c>
      <c r="E112" s="1" t="str">
        <v>Critical</v>
      </c>
      <c r="F112" s="1" t="str">
        <v>BR-ATT-05</v>
      </c>
      <c r="G112" s="1" t="str">
        <v>Not Run</v>
      </c>
    </row>
    <row r="113">
      <c r="A113" s="1" t="str">
        <v>ATT-012</v>
      </c>
      <c r="B113" s="1" t="str">
        <v>Attendance</v>
      </c>
      <c r="C113" s="1" t="str">
        <v>Employee Selection</v>
      </c>
      <c r="D113" s="1" t="str">
        <v>Employee field is mandatory and cannot be left blank</v>
      </c>
      <c r="E113" s="1" t="str">
        <v>Critical</v>
      </c>
      <c r="F113" s="1" t="str">
        <v>BR-ATT-05</v>
      </c>
      <c r="G113" s="1" t="str">
        <v>Not Run</v>
      </c>
    </row>
    <row r="114">
      <c r="A114" s="1" t="str">
        <v>ATT-013</v>
      </c>
      <c r="B114" s="1" t="str">
        <v>Attendance</v>
      </c>
      <c r="C114" s="1" t="str">
        <v>Employee Selection</v>
      </c>
      <c r="D114" s="1" t="str">
        <v>Duplicate attendance for same employee on same date is blocked</v>
      </c>
      <c r="E114" s="1" t="str">
        <v>Critical</v>
      </c>
      <c r="F114" s="1" t="str">
        <v>BR-ATT-06</v>
      </c>
      <c r="G114" s="1" t="str">
        <v>Not Run</v>
      </c>
    </row>
    <row r="115">
      <c r="A115" s="1" t="str">
        <v>ATT-014</v>
      </c>
      <c r="B115" s="1" t="str">
        <v>Attendance</v>
      </c>
      <c r="C115" s="1" t="str">
        <v>Attendance Date</v>
      </c>
      <c r="D115" s="1" t="str">
        <v>Valid attendance date is accepted</v>
      </c>
      <c r="E115" s="1" t="str">
        <v>Critical</v>
      </c>
      <c r="F115" s="1" t="str">
        <v>BR-ATT-07</v>
      </c>
      <c r="G115" s="1" t="str">
        <v>Not Run</v>
      </c>
    </row>
    <row r="116">
      <c r="A116" s="1" t="str">
        <v>ATT-015</v>
      </c>
      <c r="B116" s="1" t="str">
        <v>Attendance</v>
      </c>
      <c r="C116" s="1" t="str">
        <v>Attendance Date</v>
      </c>
      <c r="D116" s="1" t="str">
        <v>Attendance Date cannot be left blank (mandatory)</v>
      </c>
      <c r="E116" s="1" t="str">
        <v>Critical</v>
      </c>
      <c r="F116" s="1" t="str">
        <v>BR-ATT-07</v>
      </c>
      <c r="G116" s="1" t="str">
        <v>Not Run</v>
      </c>
    </row>
    <row r="117">
      <c r="A117" s="1" t="str">
        <v>ATT-016</v>
      </c>
      <c r="B117" s="1" t="str">
        <v>Attendance</v>
      </c>
      <c r="C117" s="1" t="str">
        <v>Attendance Date</v>
      </c>
      <c r="D117" s="1" t="str">
        <v>Future attendance date is accepted</v>
      </c>
      <c r="E117" s="1" t="str">
        <v>Medium</v>
      </c>
      <c r="F117" s="1" t="str">
        <v>BR-ATT-07</v>
      </c>
      <c r="G117" s="1" t="str">
        <v>Not Run</v>
      </c>
    </row>
    <row r="118">
      <c r="A118" s="1" t="str">
        <v>ATT-017</v>
      </c>
      <c r="B118" s="1" t="str">
        <v>Attendance</v>
      </c>
      <c r="C118" s="1" t="str">
        <v>Attendance Date</v>
      </c>
      <c r="D118" s="1" t="str">
        <v>Past attendance date is accepted</v>
      </c>
      <c r="E118" s="1" t="str">
        <v>High</v>
      </c>
      <c r="F118" s="1" t="str">
        <v>BR-ATT-07</v>
      </c>
      <c r="G118" s="1" t="str">
        <v>Not Run</v>
      </c>
    </row>
    <row r="119">
      <c r="A119" s="1" t="str">
        <v>ATT-018</v>
      </c>
      <c r="B119" s="1" t="str">
        <v>Attendance</v>
      </c>
      <c r="C119" s="1" t="str">
        <v>Attendance Date</v>
      </c>
      <c r="D119" s="1" t="str">
        <v>Invalid date format is rejected</v>
      </c>
      <c r="E119" s="1" t="str">
        <v>Critical</v>
      </c>
      <c r="F119" s="1" t="str">
        <v>BR-ATT-07</v>
      </c>
      <c r="G119" s="1" t="str">
        <v>Not Run</v>
      </c>
    </row>
    <row r="120">
      <c r="A120" s="1" t="str">
        <v>ATT-019</v>
      </c>
      <c r="B120" s="1" t="str">
        <v>Attendance</v>
      </c>
      <c r="C120" s="1" t="str">
        <v>Status Management</v>
      </c>
      <c r="D120" s="1" t="str">
        <v>Status dropdown shows all available options (Present, Absent, Leave, Half Day)</v>
      </c>
      <c r="E120" s="1" t="str">
        <v>High</v>
      </c>
      <c r="F120" s="1" t="str">
        <v>BR-ATT-03</v>
      </c>
      <c r="G120" s="1" t="str">
        <v>Not Run</v>
      </c>
    </row>
    <row r="121">
      <c r="A121" s="1" t="str">
        <v>ATT-020</v>
      </c>
      <c r="B121" s="1" t="str">
        <v>Attendance</v>
      </c>
      <c r="C121" s="1" t="str">
        <v>Status Management</v>
      </c>
      <c r="D121" s="1" t="str">
        <v>Status cannot be left blank (mandatory)</v>
      </c>
      <c r="E121" s="1" t="str">
        <v>Critical</v>
      </c>
      <c r="F121" s="1" t="str">
        <v>BR-ATT-03</v>
      </c>
      <c r="G121" s="1" t="str">
        <v>Not Run</v>
      </c>
    </row>
    <row r="122">
      <c r="A122" s="1" t="str">
        <v>ATT-021</v>
      </c>
      <c r="B122" s="1" t="str">
        <v>Attendance</v>
      </c>
      <c r="C122" s="1" t="str">
        <v>Status Management</v>
      </c>
      <c r="D122" s="1" t="str">
        <v>Status can be changed after creation</v>
      </c>
      <c r="E122" s="1" t="str">
        <v>High</v>
      </c>
      <c r="F122" s="1" t="str">
        <v>BR-ATT-03</v>
      </c>
      <c r="G122" s="1" t="str">
        <v>Not Run</v>
      </c>
    </row>
    <row r="123">
      <c r="A123" s="1" t="str">
        <v>ATT-022</v>
      </c>
      <c r="B123" s="1" t="str">
        <v>Attendance</v>
      </c>
      <c r="C123" s="1" t="str">
        <v>Company Assignment</v>
      </c>
      <c r="D123" s="1" t="str">
        <v>Valid company is selected and displayed</v>
      </c>
      <c r="E123" s="1" t="str">
        <v>High</v>
      </c>
      <c r="F123" s="1" t="str">
        <v>BR-ATT-08</v>
      </c>
      <c r="G123" s="1" t="str">
        <v>Not Run</v>
      </c>
    </row>
    <row r="124">
      <c r="A124" s="1" t="str">
        <v>ATT-023</v>
      </c>
      <c r="B124" s="1" t="str">
        <v>Attendance</v>
      </c>
      <c r="C124" s="1" t="str">
        <v>Company Assignment</v>
      </c>
      <c r="D124" s="1" t="str">
        <v>Company field is auto-populated based on employee</v>
      </c>
      <c r="E124" s="1" t="str">
        <v>High</v>
      </c>
      <c r="F124" s="1" t="str">
        <v>BR-ATT-08</v>
      </c>
      <c r="G124" s="1" t="str">
        <v>Not Run</v>
      </c>
    </row>
    <row r="125">
      <c r="A125" s="1" t="str">
        <v>ATT-024</v>
      </c>
      <c r="B125" s="1" t="str">
        <v>Attendance</v>
      </c>
      <c r="C125" s="1" t="str">
        <v>Company Assignment</v>
      </c>
      <c r="D125" s="1" t="str">
        <v>Company field can be manually changed</v>
      </c>
      <c r="E125" s="1" t="str">
        <v>Medium</v>
      </c>
      <c r="F125" s="1" t="str">
        <v>BR-ATT-08</v>
      </c>
      <c r="G125" s="1" t="str">
        <v>Not Run</v>
      </c>
    </row>
    <row r="126">
      <c r="A126" s="1" t="str">
        <v>ATT-025</v>
      </c>
      <c r="B126" s="1" t="str">
        <v>Attendance</v>
      </c>
      <c r="C126" s="1" t="str">
        <v>Shift Details</v>
      </c>
      <c r="D126" s="1" t="str">
        <v>Valid shift can be selected from dropdown</v>
      </c>
      <c r="E126" s="1" t="str">
        <v>High</v>
      </c>
      <c r="F126" s="1" t="str">
        <v>BR-ATT-09</v>
      </c>
      <c r="G126" s="1" t="str">
        <v>Not Run</v>
      </c>
    </row>
    <row r="127">
      <c r="A127" s="1" t="str">
        <v>ATT-026</v>
      </c>
      <c r="B127" s="1" t="str">
        <v>Attendance</v>
      </c>
      <c r="C127" s="1" t="str">
        <v>Shift Details</v>
      </c>
      <c r="D127" s="1" t="str">
        <v>Shift field is optional and can be left blank</v>
      </c>
      <c r="E127" s="1" t="str">
        <v>Medium</v>
      </c>
      <c r="F127" s="1" t="str">
        <v>BR-ATT-09</v>
      </c>
      <c r="G127" s="1" t="str">
        <v>Not Run</v>
      </c>
    </row>
    <row r="128">
      <c r="A128" s="1" t="str">
        <v>ATT-027</v>
      </c>
      <c r="B128" s="1" t="str">
        <v>Attendance</v>
      </c>
      <c r="C128" s="1" t="str">
        <v>Shift Details</v>
      </c>
      <c r="D128" s="1" t="str">
        <v>Shift auto-populates based on employee's assigned shift</v>
      </c>
      <c r="E128" s="1" t="str">
        <v>High</v>
      </c>
      <c r="F128" s="1" t="str">
        <v>BR-ATT-09</v>
      </c>
      <c r="G128" s="1" t="str">
        <v>Not Run</v>
      </c>
    </row>
    <row r="129">
      <c r="A129" s="1" t="str">
        <v>ATT-028</v>
      </c>
      <c r="B129" s="1" t="str">
        <v>Attendance</v>
      </c>
      <c r="C129" s="1" t="str">
        <v>Shift Details</v>
      </c>
      <c r="D129" s="1" t="str">
        <v>Multiple shifts can be assigned to same employee on different dates</v>
      </c>
      <c r="E129" s="1" t="str">
        <v>Medium</v>
      </c>
      <c r="F129" s="1" t="str">
        <v>BR-ATT-09</v>
      </c>
      <c r="G129" s="1" t="str">
        <v>Not Run</v>
      </c>
    </row>
    <row r="130">
      <c r="A130" s="1" t="str">
        <v>ATT-029</v>
      </c>
      <c r="B130" s="1" t="str">
        <v>Attendance</v>
      </c>
      <c r="C130" s="1" t="str">
        <v>Late Entry Tracking</v>
      </c>
      <c r="D130" s="1" t="str">
        <v>Late Entry checkbox can be marked</v>
      </c>
      <c r="E130" s="1" t="str">
        <v>High</v>
      </c>
      <c r="F130" s="1" t="str">
        <v>BR-ATT-10</v>
      </c>
      <c r="G130" s="1" t="str">
        <v>Not Run</v>
      </c>
    </row>
    <row r="131">
      <c r="A131" s="1" t="str">
        <v>ATT-030</v>
      </c>
      <c r="B131" s="1" t="str">
        <v>Attendance</v>
      </c>
      <c r="C131" s="1" t="str">
        <v>Late Entry Tracking</v>
      </c>
      <c r="D131" s="1" t="str">
        <v>Late Entry is checked when employee arrives after scheduled time</v>
      </c>
      <c r="E131" s="1" t="str">
        <v>High</v>
      </c>
      <c r="F131" s="1" t="str">
        <v>BR-ATT-10</v>
      </c>
      <c r="G131" s="1" t="str">
        <v>Not Run</v>
      </c>
    </row>
    <row r="132">
      <c r="A132" s="1" t="str">
        <v>ATT-031</v>
      </c>
      <c r="B132" s="1" t="str">
        <v>Attendance</v>
      </c>
      <c r="C132" s="1" t="str">
        <v>Late Entry Tracking</v>
      </c>
      <c r="D132" s="1" t="str">
        <v>Late Entry with Present status is valid</v>
      </c>
      <c r="E132" s="1" t="str">
        <v>Critical</v>
      </c>
      <c r="F132" s="1" t="str">
        <v>BR-ATT-10</v>
      </c>
      <c r="G132" s="1" t="str">
        <v>Not Run</v>
      </c>
    </row>
    <row r="133">
      <c r="A133" s="1" t="str">
        <v>ATT-032</v>
      </c>
      <c r="B133" s="1" t="str">
        <v>Attendance</v>
      </c>
      <c r="C133" s="1" t="str">
        <v>Late Entry Tracking</v>
      </c>
      <c r="D133" s="1" t="str">
        <v>Late Entry with Absent status is invalid</v>
      </c>
      <c r="E133" s="1" t="str">
        <v>Critical</v>
      </c>
      <c r="F133" s="1" t="str">
        <v>BR-ATT-10</v>
      </c>
      <c r="G133" s="1" t="str">
        <v>Not Run</v>
      </c>
    </row>
    <row r="134">
      <c r="A134" s="1" t="str">
        <v>ATT-033</v>
      </c>
      <c r="B134" s="1" t="str">
        <v>Attendance</v>
      </c>
      <c r="C134" s="1" t="str">
        <v>Late Entry Tracking</v>
      </c>
      <c r="D134" s="1" t="str">
        <v>Late Entry checkbox can be unchecked</v>
      </c>
      <c r="E134" s="1" t="str">
        <v>Medium</v>
      </c>
      <c r="F134" s="1" t="str">
        <v>BR-ATT-10</v>
      </c>
      <c r="G134" s="1" t="str">
        <v>Not Run</v>
      </c>
    </row>
    <row r="135">
      <c r="A135" s="1" t="str">
        <v>ATT-034</v>
      </c>
      <c r="B135" s="1" t="str">
        <v>Attendance</v>
      </c>
      <c r="C135" s="1" t="str">
        <v>Early Exit Tracking</v>
      </c>
      <c r="D135" s="1" t="str">
        <v>Early Exit checkbox can be marked</v>
      </c>
      <c r="E135" s="1" t="str">
        <v>High</v>
      </c>
      <c r="F135" s="1" t="str">
        <v>BR-ATT-11</v>
      </c>
      <c r="G135" s="1" t="str">
        <v>Not Run</v>
      </c>
    </row>
    <row r="136">
      <c r="A136" s="1" t="str">
        <v>ATT-035</v>
      </c>
      <c r="B136" s="1" t="str">
        <v>Attendance</v>
      </c>
      <c r="C136" s="1" t="str">
        <v>Early Exit Tracking</v>
      </c>
      <c r="D136" s="1" t="str">
        <v>Early Exit is checked when employee leaves before scheduled time</v>
      </c>
      <c r="E136" s="1" t="str">
        <v>High</v>
      </c>
      <c r="F136" s="1" t="str">
        <v>BR-ATT-11</v>
      </c>
      <c r="G136" s="1" t="str">
        <v>Not Run</v>
      </c>
    </row>
    <row r="137">
      <c r="A137" s="1" t="str">
        <v>ATT-036</v>
      </c>
      <c r="B137" s="1" t="str">
        <v>Attendance</v>
      </c>
      <c r="C137" s="1" t="str">
        <v>Early Exit Tracking</v>
      </c>
      <c r="D137" s="1" t="str">
        <v>Early Exit with Present status is valid</v>
      </c>
      <c r="E137" s="1" t="str">
        <v>Critical</v>
      </c>
      <c r="F137" s="1" t="str">
        <v>BR-ATT-11</v>
      </c>
      <c r="G137" s="1" t="str">
        <v>Not Run</v>
      </c>
    </row>
    <row r="138">
      <c r="A138" s="1" t="str">
        <v>ATT-037</v>
      </c>
      <c r="B138" s="1" t="str">
        <v>Attendance</v>
      </c>
      <c r="C138" s="1" t="str">
        <v>Early Exit Tracking</v>
      </c>
      <c r="D138" s="1" t="str">
        <v>Early Exit with Absent status is invalid</v>
      </c>
      <c r="E138" s="1" t="str">
        <v>Critical</v>
      </c>
      <c r="F138" s="1" t="str">
        <v>BR-ATT-11</v>
      </c>
      <c r="G138" s="1" t="str">
        <v>Not Run</v>
      </c>
    </row>
    <row r="139">
      <c r="A139" s="1" t="str">
        <v>ATT-038</v>
      </c>
      <c r="B139" s="1" t="str">
        <v>Attendance</v>
      </c>
      <c r="C139" s="1" t="str">
        <v>Early Exit Tracking</v>
      </c>
      <c r="D139" s="1" t="str">
        <v>Early Exit checkbox can be unchecked</v>
      </c>
      <c r="E139" s="1" t="str">
        <v>Medium</v>
      </c>
      <c r="F139" s="1" t="str">
        <v>BR-ATT-11</v>
      </c>
      <c r="G139" s="1" t="str">
        <v>Not Run</v>
      </c>
    </row>
    <row r="140">
      <c r="A140" s="1" t="str">
        <v>ATT-039</v>
      </c>
      <c r="B140" s="1" t="str">
        <v>Attendance</v>
      </c>
      <c r="C140" s="1" t="str">
        <v>Late Entry &amp; Early Exit Combination</v>
      </c>
      <c r="D140" s="1" t="str">
        <v>Both Late Entry and Early Exit can be checked together</v>
      </c>
      <c r="E140" s="1" t="str">
        <v>High</v>
      </c>
      <c r="F140" s="1" t="str">
        <v>BR-ATT-12</v>
      </c>
      <c r="G140" s="1" t="str">
        <v>Not Run</v>
      </c>
    </row>
    <row r="141">
      <c r="A141" s="1" t="str">
        <v>ATT-040</v>
      </c>
      <c r="B141" s="1" t="str">
        <v>Attendance</v>
      </c>
      <c r="C141" s="1" t="str">
        <v>Late Entry &amp; Early Exit Combination</v>
      </c>
      <c r="D141" s="1" t="str">
        <v>Both Late Entry and Early Exit cannot be checked with Absent status</v>
      </c>
      <c r="E141" s="1" t="str">
        <v>Critical</v>
      </c>
      <c r="F141" s="1" t="str">
        <v>BR-ATT-12</v>
      </c>
      <c r="G141" s="1" t="str">
        <v>Not Run</v>
      </c>
    </row>
    <row r="142">
      <c r="A142" s="1" t="str">
        <v>ATT-041</v>
      </c>
      <c r="B142" s="1" t="str">
        <v>Attendance</v>
      </c>
      <c r="C142" s="1" t="str">
        <v>Data Validation</v>
      </c>
      <c r="D142" s="1" t="str">
        <v>Attendance cannot be saved without Employee</v>
      </c>
      <c r="E142" s="1" t="str">
        <v>Critical</v>
      </c>
      <c r="F142" s="1" t="str">
        <v>BR-ATT-05</v>
      </c>
      <c r="G142" s="1" t="str">
        <v>Not Run</v>
      </c>
    </row>
    <row r="143">
      <c r="A143" s="1" t="str">
        <v>ATT-042</v>
      </c>
      <c r="B143" s="1" t="str">
        <v>Attendance</v>
      </c>
      <c r="C143" s="1" t="str">
        <v>Data Validation</v>
      </c>
      <c r="D143" s="1" t="str">
        <v>Attendance cannot be saved without Status</v>
      </c>
      <c r="E143" s="1" t="str">
        <v>Critical</v>
      </c>
      <c r="F143" s="1" t="str">
        <v>BR-ATT-03</v>
      </c>
      <c r="G143" s="1" t="str">
        <v>Not Run</v>
      </c>
    </row>
    <row r="144">
      <c r="A144" s="1" t="str">
        <v>ATT-043</v>
      </c>
      <c r="B144" s="1" t="str">
        <v>Attendance</v>
      </c>
      <c r="C144" s="1" t="str">
        <v>Data Validation</v>
      </c>
      <c r="D144" s="1" t="str">
        <v>Attendance cannot be saved without Attendance Date</v>
      </c>
      <c r="E144" s="1" t="str">
        <v>Critical</v>
      </c>
      <c r="F144" s="1" t="str">
        <v>BR-ATT-07</v>
      </c>
      <c r="G144" s="1" t="str">
        <v>Not Run</v>
      </c>
    </row>
    <row r="145">
      <c r="A145" s="1" t="str">
        <v>ATT-044</v>
      </c>
      <c r="B145" s="1" t="str">
        <v>Attendance</v>
      </c>
      <c r="C145" s="1" t="str">
        <v>Editing &amp; Updates</v>
      </c>
      <c r="D145" s="1" t="str">
        <v>Edit existing Attendance Status</v>
      </c>
      <c r="E145" s="1" t="str">
        <v>High</v>
      </c>
      <c r="F145" s="1" t="str">
        <v>BR-ATT-13</v>
      </c>
      <c r="G145" s="1" t="str">
        <v>Not Run</v>
      </c>
    </row>
    <row r="146">
      <c r="A146" s="1" t="str">
        <v>ATT-045</v>
      </c>
      <c r="B146" s="1" t="str">
        <v>Attendance</v>
      </c>
      <c r="C146" s="1" t="str">
        <v>Editing &amp; Updates</v>
      </c>
      <c r="D146" s="1" t="str">
        <v>Edit Employee in existing Attendance</v>
      </c>
      <c r="E146" s="1" t="str">
        <v>High</v>
      </c>
      <c r="F146" s="1" t="str">
        <v>BR-ATT-13</v>
      </c>
      <c r="G146" s="1" t="str">
        <v>Not Run</v>
      </c>
    </row>
    <row r="147">
      <c r="A147" s="1" t="str">
        <v>ATT-046</v>
      </c>
      <c r="B147" s="1" t="str">
        <v>Attendance</v>
      </c>
      <c r="C147" s="1" t="str">
        <v>Editing &amp; Updates</v>
      </c>
      <c r="D147" s="1" t="str">
        <v>Edit Attendance Date</v>
      </c>
      <c r="E147" s="1" t="str">
        <v>High</v>
      </c>
      <c r="F147" s="1" t="str">
        <v>BR-ATT-13</v>
      </c>
      <c r="G147" s="1" t="str">
        <v>Not Run</v>
      </c>
    </row>
    <row r="148">
      <c r="A148" s="1" t="str">
        <v>ATT-047</v>
      </c>
      <c r="B148" s="1" t="str">
        <v>Attendance</v>
      </c>
      <c r="C148" s="1" t="str">
        <v>Editing &amp; Updates</v>
      </c>
      <c r="D148" s="1" t="str">
        <v>Edit Shift details</v>
      </c>
      <c r="E148" s="1" t="str">
        <v>Medium</v>
      </c>
      <c r="F148" s="1" t="str">
        <v>BR-ATT-13</v>
      </c>
      <c r="G148" s="1" t="str">
        <v>Not Run</v>
      </c>
    </row>
    <row r="149">
      <c r="A149" s="1" t="str">
        <v>ATT-048</v>
      </c>
      <c r="B149" s="1" t="str">
        <v>Attendance</v>
      </c>
      <c r="C149" s="1" t="str">
        <v>Editing &amp; Updates</v>
      </c>
      <c r="D149" s="1" t="str">
        <v>Toggle Late Entry checkbox</v>
      </c>
      <c r="E149" s="1" t="str">
        <v>Medium</v>
      </c>
      <c r="F149" s="1" t="str">
        <v>BR-ATT-13</v>
      </c>
      <c r="G149" s="1" t="str">
        <v>Not Run</v>
      </c>
    </row>
    <row r="150">
      <c r="A150" s="1" t="str">
        <v>ATT-049</v>
      </c>
      <c r="B150" s="1" t="str">
        <v>Attendance</v>
      </c>
      <c r="C150" s="1" t="str">
        <v>Editing &amp; Updates</v>
      </c>
      <c r="D150" s="1" t="str">
        <v>Toggle Early Exit checkbox</v>
      </c>
      <c r="E150" s="1" t="str">
        <v>Medium</v>
      </c>
      <c r="F150" s="1" t="str">
        <v>BR-ATT-13</v>
      </c>
      <c r="G150" s="1" t="str">
        <v>Not Run</v>
      </c>
    </row>
    <row r="151">
      <c r="A151" s="1" t="str">
        <v>ATT-050</v>
      </c>
      <c r="B151" s="1" t="str">
        <v>Attendance</v>
      </c>
      <c r="C151" s="1" t="str">
        <v>Form Actions</v>
      </c>
      <c r="D151" s="1" t="str">
        <v>Save Attendance successfully</v>
      </c>
      <c r="E151" s="1" t="str">
        <v>Critical</v>
      </c>
      <c r="F151" s="1" t="str">
        <v>BR-ATT-01</v>
      </c>
      <c r="G151" s="1" t="str">
        <v>Not Run</v>
      </c>
    </row>
    <row r="152">
      <c r="A152" s="1" t="str">
        <v>ATT-051</v>
      </c>
      <c r="B152" s="1" t="str">
        <v>Attendance</v>
      </c>
      <c r="C152" s="1" t="str">
        <v>Form Actions</v>
      </c>
      <c r="D152" s="1" t="str">
        <v>Form shows "Not Saved" status before save</v>
      </c>
      <c r="E152" s="1" t="str">
        <v>Medium</v>
      </c>
      <c r="F152" s="1" t="str">
        <v>BR-ATT-14</v>
      </c>
      <c r="G152" s="1" t="str">
        <v>Not Run</v>
      </c>
    </row>
    <row r="153">
      <c r="A153" s="1" t="str">
        <v>ATT-052</v>
      </c>
      <c r="B153" s="1" t="str">
        <v>Attendance</v>
      </c>
      <c r="C153" s="1" t="str">
        <v>Form Actions</v>
      </c>
      <c r="D153" s="1" t="str">
        <v>Form shows "Saved" status after successful save</v>
      </c>
      <c r="E153" s="1" t="str">
        <v>Medium</v>
      </c>
      <c r="F153" s="1" t="str">
        <v>BR-ATT-14</v>
      </c>
      <c r="G153" s="1" t="str">
        <v>Not Run</v>
      </c>
    </row>
    <row r="154">
      <c r="A154" s="1" t="str">
        <v>▌ Expense Claim</v>
      </c>
    </row>
    <row r="155">
      <c r="A155" s="1" t="str">
        <v>EXP-001</v>
      </c>
      <c r="B155" s="1" t="str">
        <v>Expense Claim</v>
      </c>
      <c r="C155" s="1" t="str">
        <v>Expense Claim Creation &amp; Basic Details</v>
      </c>
      <c r="D155" s="1" t="str">
        <v>Create Expense Claim with mandatory fields only (From Employee, Expense Approver)</v>
      </c>
      <c r="E155" s="1" t="str">
        <v>Critical</v>
      </c>
      <c r="F155" s="1" t="str">
        <v>BR-EXP-01</v>
      </c>
      <c r="G155" s="1" t="str">
        <v>Not Run</v>
      </c>
    </row>
    <row r="156">
      <c r="A156" s="1" t="str">
        <v>EXP-002</v>
      </c>
      <c r="B156" s="1" t="str">
        <v>Expense Claim</v>
      </c>
      <c r="C156" s="1" t="str">
        <v>Expense Claim Creation &amp; Basic Details</v>
      </c>
      <c r="D156" s="1" t="str">
        <v>Create Expense Claim with all basic fields (Employee, Department, Company, Approver)</v>
      </c>
      <c r="E156" s="1" t="str">
        <v>Critical</v>
      </c>
      <c r="F156" s="1" t="str">
        <v>BR-EXP-01, BR-EXP-02</v>
      </c>
      <c r="G156" s="1" t="str">
        <v>Not Run</v>
      </c>
    </row>
    <row r="157">
      <c r="A157" s="1" t="str">
        <v>EXP-003</v>
      </c>
      <c r="B157" s="1" t="str">
        <v>Expense Claim</v>
      </c>
      <c r="C157" s="1" t="str">
        <v>Series &amp; Auto-generation</v>
      </c>
      <c r="D157" s="1" t="str">
        <v>Series field is auto-generated in format HR-EXP-.YYYY.-</v>
      </c>
      <c r="E157" s="1" t="str">
        <v>Critical</v>
      </c>
      <c r="F157" s="1" t="str">
        <v>BR-EXP-03</v>
      </c>
      <c r="G157" s="1" t="str">
        <v>Not Run</v>
      </c>
    </row>
    <row r="158">
      <c r="A158" s="1" t="str">
        <v>EXP-004</v>
      </c>
      <c r="B158" s="1" t="str">
        <v>Expense Claim</v>
      </c>
      <c r="C158" s="1" t="str">
        <v>Series &amp; Auto-generation</v>
      </c>
      <c r="D158" s="1" t="str">
        <v>Series field cannot be manually edited</v>
      </c>
      <c r="E158" s="1" t="str">
        <v>High</v>
      </c>
      <c r="F158" s="1" t="str">
        <v>BR-EXP-03</v>
      </c>
      <c r="G158" s="1" t="str">
        <v>Not Run</v>
      </c>
    </row>
    <row r="159">
      <c r="A159" s="1" t="str">
        <v>EXP-005</v>
      </c>
      <c r="B159" s="1" t="str">
        <v>Expense Claim</v>
      </c>
      <c r="C159" s="1" t="str">
        <v>Series &amp; Auto-generation</v>
      </c>
      <c r="D159" s="1" t="str">
        <v>Unique Series is generated for each expense claim record</v>
      </c>
      <c r="E159" s="1" t="str">
        <v>Critical</v>
      </c>
      <c r="F159" s="1" t="str">
        <v>BR-EXP-03</v>
      </c>
      <c r="G159" s="1" t="str">
        <v>Not Run</v>
      </c>
    </row>
    <row r="160">
      <c r="A160" s="1" t="str">
        <v>EXP-006</v>
      </c>
      <c r="B160" s="1" t="str">
        <v>Expense Claim</v>
      </c>
      <c r="C160" s="1" t="str">
        <v>Employee Selection</v>
      </c>
      <c r="D160" s="1" t="str">
        <v>Valid employee can be selected in From Employee field</v>
      </c>
      <c r="E160" s="1" t="str">
        <v>Critical</v>
      </c>
      <c r="F160" s="1" t="str">
        <v>BR-EXP-04</v>
      </c>
      <c r="G160" s="1" t="str">
        <v>Not Run</v>
      </c>
    </row>
    <row r="161">
      <c r="A161" s="1" t="str">
        <v>EXP-007</v>
      </c>
      <c r="B161" s="1" t="str">
        <v>Expense Claim</v>
      </c>
      <c r="C161" s="1" t="str">
        <v>Employee Selection</v>
      </c>
      <c r="D161" s="1" t="str">
        <v>Invalid/non-existent employee is rejected</v>
      </c>
      <c r="E161" s="1" t="str">
        <v>Critical</v>
      </c>
      <c r="F161" s="1" t="str">
        <v>BR-EXP-04</v>
      </c>
      <c r="G161" s="1" t="str">
        <v>Not Run</v>
      </c>
    </row>
    <row r="162">
      <c r="A162" s="1" t="str">
        <v>EXP-008</v>
      </c>
      <c r="B162" s="1" t="str">
        <v>Expense Claim</v>
      </c>
      <c r="C162" s="1" t="str">
        <v>Employee Selection</v>
      </c>
      <c r="D162" s="1" t="str">
        <v>From Employee field is mandatory and cannot be left blank</v>
      </c>
      <c r="E162" s="1" t="str">
        <v>Critical</v>
      </c>
      <c r="F162" s="1" t="str">
        <v>BR-EXP-04</v>
      </c>
      <c r="G162" s="1" t="str">
        <v>Not Run</v>
      </c>
    </row>
    <row r="163">
      <c r="A163" s="1" t="str">
        <v>EXP-009</v>
      </c>
      <c r="B163" s="1" t="str">
        <v>Expense Claim</v>
      </c>
      <c r="C163" s="1" t="str">
        <v>Employee Selection</v>
      </c>
      <c r="D163" s="1" t="str">
        <v>Department auto-populates based on selected employee</v>
      </c>
      <c r="E163" s="1" t="str">
        <v>High</v>
      </c>
      <c r="F163" s="1" t="str">
        <v>BR-EXP-04</v>
      </c>
      <c r="G163" s="1" t="str">
        <v>Not Run</v>
      </c>
    </row>
    <row r="164">
      <c r="A164" s="1" t="str">
        <v>EXP-010</v>
      </c>
      <c r="B164" s="1" t="str">
        <v>Expense Claim</v>
      </c>
      <c r="C164" s="1" t="str">
        <v>Company Details</v>
      </c>
      <c r="D164" s="1" t="str">
        <v>Valid company is selected and displayed</v>
      </c>
      <c r="E164" s="1" t="str">
        <v>Critical</v>
      </c>
      <c r="F164" s="1" t="str">
        <v>BR-EXP-05</v>
      </c>
      <c r="G164" s="1" t="str">
        <v>Not Run</v>
      </c>
    </row>
    <row r="165">
      <c r="A165" s="1" t="str">
        <v>EXP-011</v>
      </c>
      <c r="B165" s="1" t="str">
        <v>Expense Claim</v>
      </c>
      <c r="C165" s="1" t="str">
        <v>Company Details</v>
      </c>
      <c r="D165" s="1" t="str">
        <v>Company field is mandatory</v>
      </c>
      <c r="E165" s="1" t="str">
        <v>Critical</v>
      </c>
      <c r="F165" s="1" t="str">
        <v>BR-EXP-05</v>
      </c>
      <c r="G165" s="1" t="str">
        <v>Not Run</v>
      </c>
    </row>
    <row r="166">
      <c r="A166" s="1" t="str">
        <v>EXP-012</v>
      </c>
      <c r="B166" s="1" t="str">
        <v>Expense Claim</v>
      </c>
      <c r="C166" s="1" t="str">
        <v>Company Details</v>
      </c>
      <c r="D166" s="1" t="str">
        <v>Company GSTIN is auto-populated based on selected company</v>
      </c>
      <c r="E166" s="1" t="str">
        <v>High</v>
      </c>
      <c r="F166" s="1" t="str">
        <v>BR-EXP-05</v>
      </c>
      <c r="G166" s="1" t="str">
        <v>Not Run</v>
      </c>
    </row>
    <row r="167">
      <c r="A167" s="1" t="str">
        <v>EXP-013</v>
      </c>
      <c r="B167" s="1" t="str">
        <v>Expense Claim</v>
      </c>
      <c r="C167" s="1" t="str">
        <v>Company Details</v>
      </c>
      <c r="D167" s="1" t="str">
        <v>Company GSTIN field is read-only</v>
      </c>
      <c r="E167" s="1" t="str">
        <v>High</v>
      </c>
      <c r="F167" s="1" t="str">
        <v>BR-EXP-05</v>
      </c>
      <c r="G167" s="1" t="str">
        <v>Not Run</v>
      </c>
    </row>
    <row r="168">
      <c r="A168" s="1" t="str">
        <v>EXP-014</v>
      </c>
      <c r="B168" s="1" t="str">
        <v>Expense Claim</v>
      </c>
      <c r="C168" s="1" t="str">
        <v>Expense Approver</v>
      </c>
      <c r="D168" s="1" t="str">
        <v>Valid expense approver can be selected</v>
      </c>
      <c r="E168" s="1" t="str">
        <v>Critical</v>
      </c>
      <c r="F168" s="1" t="str">
        <v>BR-EXP-06</v>
      </c>
      <c r="G168" s="1" t="str">
        <v>Not Run</v>
      </c>
    </row>
    <row r="169">
      <c r="A169" s="1" t="str">
        <v>EXP-015</v>
      </c>
      <c r="B169" s="1" t="str">
        <v>Expense Claim</v>
      </c>
      <c r="C169" s="1" t="str">
        <v>Expense Approver</v>
      </c>
      <c r="D169" s="1" t="str">
        <v>Invalid approver is rejected</v>
      </c>
      <c r="E169" s="1" t="str">
        <v>Critical</v>
      </c>
      <c r="F169" s="1" t="str">
        <v>BR-EXP-06</v>
      </c>
      <c r="G169" s="1" t="str">
        <v>Not Run</v>
      </c>
    </row>
    <row r="170">
      <c r="A170" s="1" t="str">
        <v>EXP-016</v>
      </c>
      <c r="B170" s="1" t="str">
        <v>Expense Claim</v>
      </c>
      <c r="C170" s="1" t="str">
        <v>Expense Approver</v>
      </c>
      <c r="D170" s="1" t="str">
        <v>Expense Approver field is mandatory</v>
      </c>
      <c r="E170" s="1" t="str">
        <v>Critical</v>
      </c>
      <c r="F170" s="1" t="str">
        <v>BR-EXP-06</v>
      </c>
      <c r="G170" s="1" t="str">
        <v>Not Run</v>
      </c>
    </row>
    <row r="171">
      <c r="A171" s="1" t="str">
        <v>EXP-017</v>
      </c>
      <c r="B171" s="1" t="str">
        <v>Expense Claim</v>
      </c>
      <c r="C171" s="1" t="str">
        <v>Approval Status</v>
      </c>
      <c r="D171" s="1" t="str">
        <v>Approval Status defaults to Draft on creation</v>
      </c>
      <c r="E171" s="1" t="str">
        <v>Critical</v>
      </c>
      <c r="F171" s="1" t="str">
        <v>BR-EXP-07</v>
      </c>
      <c r="G171" s="1" t="str">
        <v>Not Run</v>
      </c>
    </row>
    <row r="172">
      <c r="A172" s="1" t="str">
        <v>EXP-018</v>
      </c>
      <c r="B172" s="1" t="str">
        <v>Expense Claim</v>
      </c>
      <c r="C172" s="1" t="str">
        <v>Approval Status</v>
      </c>
      <c r="D172" s="1" t="str">
        <v>Approval Status can be changed to Approved</v>
      </c>
      <c r="E172" s="1" t="str">
        <v>Critical</v>
      </c>
      <c r="F172" s="1" t="str">
        <v>BR-EXP-07</v>
      </c>
      <c r="G172" s="1" t="str">
        <v>Not Run</v>
      </c>
    </row>
    <row r="173">
      <c r="A173" s="1" t="str">
        <v>EXP-019</v>
      </c>
      <c r="B173" s="1" t="str">
        <v>Expense Claim</v>
      </c>
      <c r="C173" s="1" t="str">
        <v>Approval Status</v>
      </c>
      <c r="D173" s="1" t="str">
        <v>Approval Status can be changed to Rejected</v>
      </c>
      <c r="E173" s="1" t="str">
        <v>Critical</v>
      </c>
      <c r="F173" s="1" t="str">
        <v>BR-EXP-07</v>
      </c>
      <c r="G173" s="1" t="str">
        <v>Not Run</v>
      </c>
    </row>
    <row r="174">
      <c r="A174" s="1" t="str">
        <v>EXP-020</v>
      </c>
      <c r="B174" s="1" t="str">
        <v>Expense Claim</v>
      </c>
      <c r="C174" s="1" t="str">
        <v>Approval Status</v>
      </c>
      <c r="D174" s="1" t="str">
        <v>Approval Status can be changed to Returned</v>
      </c>
      <c r="E174" s="1" t="str">
        <v>High</v>
      </c>
      <c r="F174" s="1" t="str">
        <v>BR-EXP-07</v>
      </c>
      <c r="G174" s="1" t="str">
        <v>Not Run</v>
      </c>
    </row>
    <row r="175">
      <c r="A175" s="1" t="str">
        <v>EXP-021</v>
      </c>
      <c r="B175" s="1" t="str">
        <v>Expense Claim</v>
      </c>
      <c r="C175" s="1" t="str">
        <v>Expenses Table</v>
      </c>
      <c r="D175" s="1" t="str">
        <v>Add single expense row to claim</v>
      </c>
      <c r="E175" s="1" t="str">
        <v>Critical</v>
      </c>
      <c r="F175" s="1" t="str">
        <v>BR-EXP-08</v>
      </c>
      <c r="G175" s="1" t="str">
        <v>Not Run</v>
      </c>
    </row>
    <row r="176">
      <c r="A176" s="1" t="str">
        <v>EXP-022</v>
      </c>
      <c r="B176" s="1" t="str">
        <v>Expense Claim</v>
      </c>
      <c r="C176" s="1" t="str">
        <v>Expenses Table</v>
      </c>
      <c r="D176" s="1" t="str">
        <v>Add multiple expense rows to same claim</v>
      </c>
      <c r="E176" s="1" t="str">
        <v>High</v>
      </c>
      <c r="F176" s="1" t="str">
        <v>BR-EXP-08</v>
      </c>
      <c r="G176" s="1" t="str">
        <v>Not Run</v>
      </c>
    </row>
    <row r="177">
      <c r="A177" s="1" t="str">
        <v>EXP-023</v>
      </c>
      <c r="B177" s="1" t="str">
        <v>Expense Claim</v>
      </c>
      <c r="C177" s="1" t="str">
        <v>Expenses Table</v>
      </c>
      <c r="D177" s="1" t="str">
        <v>Delete expense row from table</v>
      </c>
      <c r="E177" s="1" t="str">
        <v>Medium</v>
      </c>
      <c r="F177" s="1" t="str">
        <v>BR-EXP-08</v>
      </c>
      <c r="G177" s="1" t="str">
        <v>Not Run</v>
      </c>
    </row>
    <row r="178">
      <c r="A178" s="1" t="str">
        <v>EXP-024</v>
      </c>
      <c r="B178" s="1" t="str">
        <v>Expense Claim</v>
      </c>
      <c r="C178" s="1" t="str">
        <v>Expenses Table</v>
      </c>
      <c r="D178" s="1" t="str">
        <v>Expense Date is populated and validated</v>
      </c>
      <c r="E178" s="1" t="str">
        <v>Critical</v>
      </c>
      <c r="F178" s="1" t="str">
        <v>BR-EXP-08</v>
      </c>
      <c r="G178" s="1" t="str">
        <v>Not Run</v>
      </c>
    </row>
    <row r="179">
      <c r="A179" s="1" t="str">
        <v>EXP-025</v>
      </c>
      <c r="B179" s="1" t="str">
        <v>Expense Claim</v>
      </c>
      <c r="C179" s="1" t="str">
        <v>Expenses Table</v>
      </c>
      <c r="D179" s="1" t="str">
        <v>Expense Claim Type dropdown shows valid options</v>
      </c>
      <c r="E179" s="1" t="str">
        <v>High</v>
      </c>
      <c r="F179" s="1" t="str">
        <v>BR-EXP-09</v>
      </c>
      <c r="G179" s="1" t="str">
        <v>Not Run</v>
      </c>
    </row>
    <row r="180">
      <c r="A180" s="1" t="str">
        <v>EXP-026</v>
      </c>
      <c r="B180" s="1" t="str">
        <v>Expense Claim</v>
      </c>
      <c r="C180" s="1" t="str">
        <v>Expenses Table</v>
      </c>
      <c r="D180" s="1" t="str">
        <v>Expense Claim Type field is mandatory</v>
      </c>
      <c r="E180" s="1" t="str">
        <v>Critical</v>
      </c>
      <c r="F180" s="1" t="str">
        <v>BR-EXP-09</v>
      </c>
      <c r="G180" s="1" t="str">
        <v>Not Run</v>
      </c>
    </row>
    <row r="181">
      <c r="A181" s="1" t="str">
        <v>EXP-027</v>
      </c>
      <c r="B181" s="1" t="str">
        <v>Expense Claim</v>
      </c>
      <c r="C181" s="1" t="str">
        <v>Expenses Table</v>
      </c>
      <c r="D181" s="1" t="str">
        <v>Description field is optional</v>
      </c>
      <c r="E181" s="1" t="str">
        <v>Medium</v>
      </c>
      <c r="F181" s="1" t="str">
        <v>BR-EXP-08</v>
      </c>
      <c r="G181" s="1" t="str">
        <v>Not Run</v>
      </c>
    </row>
    <row r="182">
      <c r="A182" s="1" t="str">
        <v>EXP-028</v>
      </c>
      <c r="B182" s="1" t="str">
        <v>Expense Claim</v>
      </c>
      <c r="C182" s="1" t="str">
        <v>Expenses Table</v>
      </c>
      <c r="D182" s="1" t="str">
        <v>Amount field is mandatory</v>
      </c>
      <c r="E182" s="1" t="str">
        <v>Critical</v>
      </c>
      <c r="F182" s="1" t="str">
        <v>BR-EXP-08</v>
      </c>
      <c r="G182" s="1" t="str">
        <v>Not Run</v>
      </c>
    </row>
    <row r="183">
      <c r="A183" s="1" t="str">
        <v>EXP-029</v>
      </c>
      <c r="B183" s="1" t="str">
        <v>Expense Claim</v>
      </c>
      <c r="C183" s="1" t="str">
        <v>Expenses Table</v>
      </c>
      <c r="D183" s="1" t="str">
        <v>Amount field accepts decimal values</v>
      </c>
      <c r="E183" s="1" t="str">
        <v>High</v>
      </c>
      <c r="F183" s="1" t="str">
        <v>BR-EXP-08</v>
      </c>
      <c r="G183" s="1" t="str">
        <v>Not Run</v>
      </c>
    </row>
    <row r="184">
      <c r="A184" s="1" t="str">
        <v>EXP-030</v>
      </c>
      <c r="B184" s="1" t="str">
        <v>Expense Claim</v>
      </c>
      <c r="C184" s="1" t="str">
        <v>Expenses Table</v>
      </c>
      <c r="D184" s="1" t="str">
        <v>Negative amount is rejected</v>
      </c>
      <c r="E184" s="1" t="str">
        <v>Critical</v>
      </c>
      <c r="F184" s="1" t="str">
        <v>BR-EXP-08</v>
      </c>
      <c r="G184" s="1" t="str">
        <v>Not Run</v>
      </c>
    </row>
    <row r="185">
      <c r="A185" s="1" t="str">
        <v>EXP-031</v>
      </c>
      <c r="B185" s="1" t="str">
        <v>Expense Claim</v>
      </c>
      <c r="C185" s="1" t="str">
        <v>Expenses Table</v>
      </c>
      <c r="D185" s="1" t="str">
        <v>Sanctioned Amount is auto-populated or manually entered</v>
      </c>
      <c r="E185" s="1" t="str">
        <v>High</v>
      </c>
      <c r="F185" s="1" t="str">
        <v>BR-EXP-10</v>
      </c>
      <c r="G185" s="1" t="str">
        <v>Not Run</v>
      </c>
    </row>
    <row r="186">
      <c r="A186" s="1" t="str">
        <v>EXP-032</v>
      </c>
      <c r="B186" s="1" t="str">
        <v>Expense Claim</v>
      </c>
      <c r="C186" s="1" t="str">
        <v>Expenses Table</v>
      </c>
      <c r="D186" s="1" t="str">
        <v>Sanctioned Amount cannot exceed Amount</v>
      </c>
      <c r="E186" s="1" t="str">
        <v>Critical</v>
      </c>
      <c r="F186" s="1" t="str">
        <v>BR-EXP-10</v>
      </c>
      <c r="G186" s="1" t="str">
        <v>Not Run</v>
      </c>
    </row>
    <row r="187">
      <c r="A187" s="1" t="str">
        <v>EXP-033</v>
      </c>
      <c r="B187" s="1" t="str">
        <v>Expense Claim</v>
      </c>
      <c r="C187" s="1" t="str">
        <v>Expenses Table</v>
      </c>
      <c r="D187" s="1" t="str">
        <v>Total claim amount is calculated from all expense rows</v>
      </c>
      <c r="E187" s="1" t="str">
        <v>Critical</v>
      </c>
      <c r="F187" s="1" t="str">
        <v>BR-EXP-11</v>
      </c>
      <c r="G187" s="1" t="str">
        <v>Not Run</v>
      </c>
    </row>
    <row r="188">
      <c r="A188" s="1" t="str">
        <v>EXP-034</v>
      </c>
      <c r="B188" s="1" t="str">
        <v>Expense Claim</v>
      </c>
      <c r="C188" s="1" t="str">
        <v>Taxes &amp; Charges</v>
      </c>
      <c r="D188" s="1" t="str">
        <v>Add single tax row to expense claim</v>
      </c>
      <c r="E188" s="1" t="str">
        <v>High</v>
      </c>
      <c r="F188" s="1" t="str">
        <v>BR-EXP-12</v>
      </c>
      <c r="G188" s="1" t="str">
        <v>Not Run</v>
      </c>
    </row>
    <row r="189">
      <c r="A189" s="1" t="str">
        <v>EXP-035</v>
      </c>
      <c r="B189" s="1" t="str">
        <v>Expense Claim</v>
      </c>
      <c r="C189" s="1" t="str">
        <v>Taxes &amp; Charges</v>
      </c>
      <c r="D189" s="1" t="str">
        <v>Add multiple tax rows to expense claim</v>
      </c>
      <c r="E189" s="1" t="str">
        <v>High</v>
      </c>
      <c r="F189" s="1" t="str">
        <v>BR-EXP-12</v>
      </c>
      <c r="G189" s="1" t="str">
        <v>Not Run</v>
      </c>
    </row>
    <row r="190">
      <c r="A190" s="1" t="str">
        <v>EXP-036</v>
      </c>
      <c r="B190" s="1" t="str">
        <v>Expense Claim</v>
      </c>
      <c r="C190" s="1" t="str">
        <v>Taxes &amp; Charges</v>
      </c>
      <c r="D190" s="1" t="str">
        <v>Delete tax row from table</v>
      </c>
      <c r="E190" s="1" t="str">
        <v>Medium</v>
      </c>
      <c r="F190" s="1" t="str">
        <v>BR-EXP-12</v>
      </c>
      <c r="G190" s="1" t="str">
        <v>Not Run</v>
      </c>
    </row>
    <row r="191">
      <c r="A191" s="1" t="str">
        <v>EXP-037</v>
      </c>
      <c r="B191" s="1" t="str">
        <v>Expense Claim</v>
      </c>
      <c r="C191" s="1" t="str">
        <v>Taxes &amp; Charges</v>
      </c>
      <c r="D191" s="1" t="str">
        <v>Tax Account Head is mandatory in tax row</v>
      </c>
      <c r="E191" s="1" t="str">
        <v>Critical</v>
      </c>
      <c r="F191" s="1" t="str">
        <v>BR-EXP-12</v>
      </c>
      <c r="G191" s="1" t="str">
        <v>Not Run</v>
      </c>
    </row>
    <row r="192">
      <c r="A192" s="1" t="str">
        <v>EXP-038</v>
      </c>
      <c r="B192" s="1" t="str">
        <v>Expense Claim</v>
      </c>
      <c r="C192" s="1" t="str">
        <v>Taxes &amp; Charges</v>
      </c>
      <c r="D192" s="1" t="str">
        <v>Tax Amount is mandatory in tax row</v>
      </c>
      <c r="E192" s="1" t="str">
        <v>Critical</v>
      </c>
      <c r="F192" s="1" t="str">
        <v>BR-EXP-12</v>
      </c>
      <c r="G192" s="1" t="str">
        <v>Not Run</v>
      </c>
    </row>
    <row r="193">
      <c r="A193" s="1" t="str">
        <v>EXP-039</v>
      </c>
      <c r="B193" s="1" t="str">
        <v>Expense Claim</v>
      </c>
      <c r="C193" s="1" t="str">
        <v>Taxes &amp; Charges</v>
      </c>
      <c r="D193" s="1" t="str">
        <v>Total taxes calculated correctly from all tax rows</v>
      </c>
      <c r="E193" s="1" t="str">
        <v>Critical</v>
      </c>
      <c r="F193" s="1" t="str">
        <v>BR-EXP-12</v>
      </c>
      <c r="G193" s="1" t="str">
        <v>Not Run</v>
      </c>
    </row>
    <row r="194">
      <c r="A194" s="1" t="str">
        <v>EXP-040</v>
      </c>
      <c r="B194" s="1" t="str">
        <v>Expense Claim</v>
      </c>
      <c r="C194" s="1" t="str">
        <v>Taxes &amp; Charges</v>
      </c>
      <c r="D194" s="1" t="str">
        <v>Grand Total includes taxes and sanctioned amount</v>
      </c>
      <c r="E194" s="1" t="str">
        <v>Critical</v>
      </c>
      <c r="F194" s="1" t="str">
        <v>BR-EXP-11, BR-EXP-12</v>
      </c>
      <c r="G194" s="1" t="str">
        <v>Not Run</v>
      </c>
    </row>
    <row r="195">
      <c r="A195" s="1" t="str">
        <v>EXP-041</v>
      </c>
      <c r="B195" s="1" t="str">
        <v>Expense Claim</v>
      </c>
      <c r="C195" s="1" t="str">
        <v>Accounting Details</v>
      </c>
      <c r="D195" s="1" t="str">
        <v>Cost Center field can be selected</v>
      </c>
      <c r="E195" s="1" t="str">
        <v>High</v>
      </c>
      <c r="F195" s="1" t="str">
        <v>BR-EXP-13</v>
      </c>
      <c r="G195" s="1" t="str">
        <v>Not Run</v>
      </c>
    </row>
    <row r="196">
      <c r="A196" s="1" t="str">
        <v>EXP-042</v>
      </c>
      <c r="B196" s="1" t="str">
        <v>Expense Claim</v>
      </c>
      <c r="C196" s="1" t="str">
        <v>Accounting Details</v>
      </c>
      <c r="D196" s="1" t="str">
        <v>Project field can be linked to expense claim</v>
      </c>
      <c r="E196" s="1" t="str">
        <v>Medium</v>
      </c>
      <c r="F196" s="1" t="str">
        <v>BR-EXP-13</v>
      </c>
      <c r="G196" s="1" t="str">
        <v>Not Run</v>
      </c>
    </row>
    <row r="197">
      <c r="A197" s="1" t="str">
        <v>EXP-043</v>
      </c>
      <c r="B197" s="1" t="str">
        <v>Expense Claim</v>
      </c>
      <c r="C197" s="1" t="str">
        <v>Accounting Details</v>
      </c>
      <c r="D197" s="1" t="str">
        <v>Payable Account is auto-populated</v>
      </c>
      <c r="E197" s="1" t="str">
        <v>Critical</v>
      </c>
      <c r="F197" s="1" t="str">
        <v>BR-EXP-13</v>
      </c>
      <c r="G197" s="1" t="str">
        <v>Not Run</v>
      </c>
    </row>
    <row r="198">
      <c r="A198" s="1" t="str">
        <v>EXP-044</v>
      </c>
      <c r="B198" s="1" t="str">
        <v>Expense Claim</v>
      </c>
      <c r="C198" s="1" t="str">
        <v>Accounting Details</v>
      </c>
      <c r="D198" s="1" t="str">
        <v>Payable Account can be manually changed</v>
      </c>
      <c r="E198" s="1" t="str">
        <v>High</v>
      </c>
      <c r="F198" s="1" t="str">
        <v>BR-EXP-13</v>
      </c>
      <c r="G198" s="1" t="str">
        <v>Not Run</v>
      </c>
    </row>
    <row r="199">
      <c r="A199" s="1" t="str">
        <v>EXP-045</v>
      </c>
      <c r="B199" s="1" t="str">
        <v>Expense Claim</v>
      </c>
      <c r="C199" s="1" t="str">
        <v>Accounting Details</v>
      </c>
      <c r="D199" s="1" t="str">
        <v>Mode of Payment can be selected</v>
      </c>
      <c r="E199" s="1" t="str">
        <v>High</v>
      </c>
      <c r="F199" s="1" t="str">
        <v>BR-EXP-13</v>
      </c>
      <c r="G199" s="1" t="str">
        <v>Not Run</v>
      </c>
    </row>
    <row r="200">
      <c r="A200" s="1" t="str">
        <v>EXP-046</v>
      </c>
      <c r="B200" s="1" t="str">
        <v>Expense Claim</v>
      </c>
      <c r="C200" s="1" t="str">
        <v>Accounting Details</v>
      </c>
      <c r="D200" s="1" t="str">
        <v>Total Advance Amount is displayed if advance exists</v>
      </c>
      <c r="E200" s="1" t="str">
        <v>High</v>
      </c>
      <c r="F200" s="1" t="str">
        <v>BR-EXP-14</v>
      </c>
      <c r="G200" s="1" t="str">
        <v>Not Run</v>
      </c>
    </row>
    <row r="201">
      <c r="A201" s="1" t="str">
        <v>EXP-047</v>
      </c>
      <c r="B201" s="1" t="str">
        <v>Expense Claim</v>
      </c>
      <c r="C201" s="1" t="str">
        <v>Data Validation</v>
      </c>
      <c r="D201" s="1" t="str">
        <v>Expense Claim cannot be saved without From Employee</v>
      </c>
      <c r="E201" s="1" t="str">
        <v>Critical</v>
      </c>
      <c r="F201" s="1" t="str">
        <v>BR-EXP-04</v>
      </c>
      <c r="G201" s="1" t="str">
        <v>Not Run</v>
      </c>
    </row>
    <row r="202">
      <c r="A202" s="1" t="str">
        <v>EXP-048</v>
      </c>
      <c r="B202" s="1" t="str">
        <v>Expense Claim</v>
      </c>
      <c r="C202" s="1" t="str">
        <v>Data Validation</v>
      </c>
      <c r="D202" s="1" t="str">
        <v>Expense Claim cannot be saved without Company</v>
      </c>
      <c r="E202" s="1" t="str">
        <v>Critical</v>
      </c>
      <c r="F202" s="1" t="str">
        <v>BR-EXP-05</v>
      </c>
      <c r="G202" s="1" t="str">
        <v>Not Run</v>
      </c>
    </row>
    <row r="203">
      <c r="A203" s="1" t="str">
        <v>EXP-049</v>
      </c>
      <c r="B203" s="1" t="str">
        <v>Expense Claim</v>
      </c>
      <c r="C203" s="1" t="str">
        <v>Data Validation</v>
      </c>
      <c r="D203" s="1" t="str">
        <v>Expense Claim cannot be saved without Expense Approver</v>
      </c>
      <c r="E203" s="1" t="str">
        <v>Critical</v>
      </c>
      <c r="F203" s="1" t="str">
        <v>BR-EXP-06</v>
      </c>
      <c r="G203" s="1" t="str">
        <v>Not Run</v>
      </c>
    </row>
    <row r="204">
      <c r="A204" s="1" t="str">
        <v>EXP-050</v>
      </c>
      <c r="B204" s="1" t="str">
        <v>Expense Claim</v>
      </c>
      <c r="C204" s="1" t="str">
        <v>Data Validation</v>
      </c>
      <c r="D204" s="1" t="str">
        <v>Expense Claim cannot be submitted without expense rows</v>
      </c>
      <c r="E204" s="1" t="str">
        <v>Critical</v>
      </c>
      <c r="F204" s="1" t="str">
        <v>BR-EXP-08</v>
      </c>
      <c r="G204" s="1" t="str">
        <v>Not Run</v>
      </c>
    </row>
    <row r="205">
      <c r="A205" s="1" t="str">
        <v>EXP-051</v>
      </c>
      <c r="B205" s="1" t="str">
        <v>Expense Claim</v>
      </c>
      <c r="C205" s="1" t="str">
        <v>Editing &amp; Updates</v>
      </c>
      <c r="D205" s="1" t="str">
        <v>Edit expense row amount on existing claim</v>
      </c>
      <c r="E205" s="1" t="str">
        <v>High</v>
      </c>
      <c r="F205" s="1" t="str">
        <v>BR-EXP-15</v>
      </c>
      <c r="G205" s="1" t="str">
        <v>Not Run</v>
      </c>
    </row>
    <row r="206">
      <c r="A206" s="1" t="str">
        <v>EXP-052</v>
      </c>
      <c r="B206" s="1" t="str">
        <v>Expense Claim</v>
      </c>
      <c r="C206" s="1" t="str">
        <v>Editing &amp; Updates</v>
      </c>
      <c r="D206" s="1" t="str">
        <v>Edit expense claim type on existing row</v>
      </c>
      <c r="E206" s="1" t="str">
        <v>High</v>
      </c>
      <c r="F206" s="1" t="str">
        <v>BR-EXP-15</v>
      </c>
      <c r="G206" s="1" t="str">
        <v>Not Run</v>
      </c>
    </row>
    <row r="207">
      <c r="A207" s="1" t="str">
        <v>EXP-053</v>
      </c>
      <c r="B207" s="1" t="str">
        <v>Expense Claim</v>
      </c>
      <c r="C207" s="1" t="str">
        <v>Editing &amp; Updates</v>
      </c>
      <c r="D207" s="1" t="str">
        <v>Edit expense approver before submission</v>
      </c>
      <c r="E207" s="1" t="str">
        <v>High</v>
      </c>
      <c r="F207" s="1" t="str">
        <v>BR-EXP-15</v>
      </c>
      <c r="G207" s="1" t="str">
        <v>Not Run</v>
      </c>
    </row>
    <row r="208">
      <c r="A208" s="1" t="str">
        <v>EXP-054</v>
      </c>
      <c r="B208" s="1" t="str">
        <v>Expense Claim</v>
      </c>
      <c r="C208" s="1" t="str">
        <v>Editing &amp; Updates</v>
      </c>
      <c r="D208" s="1" t="str">
        <v>Edit is restricted after Approval Status is Approved</v>
      </c>
      <c r="E208" s="1" t="str">
        <v>Critical</v>
      </c>
      <c r="F208" s="1" t="str">
        <v>BR-EXP-07</v>
      </c>
      <c r="G208" s="1" t="str">
        <v>Not Run</v>
      </c>
    </row>
    <row r="209">
      <c r="A209" s="1" t="str">
        <v>EXP-055</v>
      </c>
      <c r="B209" s="1" t="str">
        <v>Expense Claim</v>
      </c>
      <c r="C209" s="1" t="str">
        <v>Form Actions</v>
      </c>
      <c r="D209" s="1" t="str">
        <v>Save Expense Claim successfully</v>
      </c>
      <c r="E209" s="1" t="str">
        <v>Critical</v>
      </c>
      <c r="F209" s="1" t="str">
        <v>BR-EXP-01</v>
      </c>
      <c r="G209" s="1" t="str">
        <v>Not Run</v>
      </c>
    </row>
    <row r="210">
      <c r="A210" s="1" t="str">
        <v>EXP-056</v>
      </c>
      <c r="B210" s="1" t="str">
        <v>Expense Claim</v>
      </c>
      <c r="C210" s="1" t="str">
        <v>Form Actions</v>
      </c>
      <c r="D210" s="1" t="str">
        <v>Submit Expense Claim successfully</v>
      </c>
      <c r="E210" s="1" t="str">
        <v>Critical</v>
      </c>
      <c r="F210" s="1" t="str">
        <v>BR-EXP-16</v>
      </c>
      <c r="G210" s="1" t="str">
        <v>Not Run</v>
      </c>
    </row>
    <row r="211">
      <c r="A211" s="1" t="str">
        <v>EXP-057</v>
      </c>
      <c r="B211" s="1" t="str">
        <v>Expense Claim</v>
      </c>
      <c r="C211" s="1" t="str">
        <v>Form Actions</v>
      </c>
      <c r="D211" s="1" t="str">
        <v>Form shows "Not Saved" status before save</v>
      </c>
      <c r="E211" s="1" t="str">
        <v>Medium</v>
      </c>
      <c r="F211" s="1" t="str">
        <v>BR-EXP-16</v>
      </c>
      <c r="G211" s="1" t="str">
        <v>Not Run</v>
      </c>
    </row>
    <row r="212">
      <c r="A212" s="1" t="str">
        <v>EXP-058</v>
      </c>
      <c r="B212" s="1" t="str">
        <v>Expense Claim</v>
      </c>
      <c r="C212" s="1" t="str">
        <v>Form Actions</v>
      </c>
      <c r="D212" s="1" t="str">
        <v>Form shows "Saved" status after successful save</v>
      </c>
      <c r="E212" s="1" t="str">
        <v>Medium</v>
      </c>
      <c r="F212" s="1" t="str">
        <v>BR-EXP-16</v>
      </c>
      <c r="G212" s="1" t="str">
        <v>Not Run</v>
      </c>
    </row>
    <row r="213">
      <c r="A213" s="1" t="str">
        <v>EXP-059</v>
      </c>
      <c r="B213" s="1" t="str">
        <v>Expense Claim</v>
      </c>
      <c r="C213" s="1" t="str">
        <v>Form Actions</v>
      </c>
      <c r="D213" s="1" t="str">
        <v>Duplicate existing Expense Claim</v>
      </c>
      <c r="E213" s="1" t="str">
        <v>High</v>
      </c>
      <c r="F213" s="1" t="str">
        <v>BR-EXP-16</v>
      </c>
      <c r="G213" s="1" t="str">
        <v>Not Run</v>
      </c>
    </row>
    <row r="214">
      <c r="A214" s="1" t="str">
        <v>EXP-060</v>
      </c>
      <c r="B214" s="1" t="str">
        <v>Expense Claim</v>
      </c>
      <c r="C214" s="1" t="str">
        <v>Form Actions</v>
      </c>
      <c r="D214" s="1" t="str">
        <v>Cancel submitted Expense Claim</v>
      </c>
      <c r="E214" s="1" t="str">
        <v>Critical</v>
      </c>
      <c r="F214" s="1" t="str">
        <v>BR-EXP-16</v>
      </c>
      <c r="G214" s="1" t="str">
        <v>Not Run</v>
      </c>
    </row>
    <row r="215">
      <c r="A215" s="1" t="str">
        <v>▌ Leave Application</v>
      </c>
    </row>
    <row r="216">
      <c r="A216" s="1" t="str">
        <v>LEA-001</v>
      </c>
      <c r="B216" s="1" t="str">
        <v>Leave Application</v>
      </c>
      <c r="C216" s="1" t="str">
        <v>Leave Application Creation &amp; Basic Details</v>
      </c>
      <c r="D216" s="1" t="str">
        <v>Create Leave Application with mandatory fields only (Employee, Leave Type, From Date, To Date)</v>
      </c>
      <c r="E216" s="1" t="str">
        <v>Critical</v>
      </c>
      <c r="F216" s="1" t="str">
        <v>BR-LEA-01</v>
      </c>
      <c r="G216" s="1" t="str">
        <v>Not Run</v>
      </c>
    </row>
    <row r="217">
      <c r="A217" s="1" t="str">
        <v>LEA-002</v>
      </c>
      <c r="B217" s="1" t="str">
        <v>Leave Application</v>
      </c>
      <c r="C217" s="1" t="str">
        <v>Leave Application Creation &amp; Basic Details</v>
      </c>
      <c r="D217" s="1" t="str">
        <v>Create Leave Application with all basic fields (Employee, Leave Type, Dates, Company, Approver)</v>
      </c>
      <c r="E217" s="1" t="str">
        <v>Critical</v>
      </c>
      <c r="F217" s="1" t="str">
        <v>BR-LEA-01, BR-LEA-02</v>
      </c>
      <c r="G217" s="1" t="str">
        <v>Not Run</v>
      </c>
    </row>
    <row r="218">
      <c r="A218" s="1" t="str">
        <v>LEA-003</v>
      </c>
      <c r="B218" s="1" t="str">
        <v>Leave Application</v>
      </c>
      <c r="C218" s="1" t="str">
        <v>Series &amp; Auto-generation</v>
      </c>
      <c r="D218" s="1" t="str">
        <v>Series field is auto-generated in format HR-LAP-.YYYY.-</v>
      </c>
      <c r="E218" s="1" t="str">
        <v>Critical</v>
      </c>
      <c r="F218" s="1" t="str">
        <v>BR-LEA-03</v>
      </c>
      <c r="G218" s="1" t="str">
        <v>Not Run</v>
      </c>
    </row>
    <row r="219">
      <c r="A219" s="1" t="str">
        <v>LEA-004</v>
      </c>
      <c r="B219" s="1" t="str">
        <v>Leave Application</v>
      </c>
      <c r="C219" s="1" t="str">
        <v>Series &amp; Auto-generation</v>
      </c>
      <c r="D219" s="1" t="str">
        <v>Series field cannot be manually edited</v>
      </c>
      <c r="E219" s="1" t="str">
        <v>High</v>
      </c>
      <c r="F219" s="1" t="str">
        <v>BR-LEA-03</v>
      </c>
      <c r="G219" s="1" t="str">
        <v>Not Run</v>
      </c>
    </row>
    <row r="220">
      <c r="A220" s="1" t="str">
        <v>LEA-005</v>
      </c>
      <c r="B220" s="1" t="str">
        <v>Leave Application</v>
      </c>
      <c r="C220" s="1" t="str">
        <v>Series &amp; Auto-generation</v>
      </c>
      <c r="D220" s="1" t="str">
        <v>Unique Series is generated for each leave application</v>
      </c>
      <c r="E220" s="1" t="str">
        <v>Critical</v>
      </c>
      <c r="F220" s="1" t="str">
        <v>BR-LEA-03</v>
      </c>
      <c r="G220" s="1" t="str">
        <v>Not Run</v>
      </c>
    </row>
    <row r="221">
      <c r="A221" s="1" t="str">
        <v>LEA-006</v>
      </c>
      <c r="B221" s="1" t="str">
        <v>Leave Application</v>
      </c>
      <c r="C221" s="1" t="str">
        <v>Employee Selection</v>
      </c>
      <c r="D221" s="1" t="str">
        <v>Valid employee can be selected in Employee field</v>
      </c>
      <c r="E221" s="1" t="str">
        <v>Critical</v>
      </c>
      <c r="F221" s="1" t="str">
        <v>BR-LEA-04</v>
      </c>
      <c r="G221" s="1" t="str">
        <v>Not Run</v>
      </c>
    </row>
    <row r="222">
      <c r="A222" s="1" t="str">
        <v>LEA-007</v>
      </c>
      <c r="B222" s="1" t="str">
        <v>Leave Application</v>
      </c>
      <c r="C222" s="1" t="str">
        <v>Employee Selection</v>
      </c>
      <c r="D222" s="1" t="str">
        <v>Invalid/non-existent employee is rejected</v>
      </c>
      <c r="E222" s="1" t="str">
        <v>Critical</v>
      </c>
      <c r="F222" s="1" t="str">
        <v>BR-LEA-04</v>
      </c>
      <c r="G222" s="1" t="str">
        <v>Not Run</v>
      </c>
    </row>
    <row r="223">
      <c r="A223" s="1" t="str">
        <v>LEA-008</v>
      </c>
      <c r="B223" s="1" t="str">
        <v>Leave Application</v>
      </c>
      <c r="C223" s="1" t="str">
        <v>Employee Selection</v>
      </c>
      <c r="D223" s="1" t="str">
        <v>Employee field is mandatory and cannot be left blank</v>
      </c>
      <c r="E223" s="1" t="str">
        <v>Critical</v>
      </c>
      <c r="F223" s="1" t="str">
        <v>BR-LEA-04</v>
      </c>
      <c r="G223" s="1" t="str">
        <v>Not Run</v>
      </c>
    </row>
    <row r="224">
      <c r="A224" s="1" t="str">
        <v>LEA-009</v>
      </c>
      <c r="B224" s="1" t="str">
        <v>Leave Application</v>
      </c>
      <c r="C224" s="1" t="str">
        <v>Leave Type Selection</v>
      </c>
      <c r="D224" s="1" t="str">
        <v>Valid leave type can be selected from dropdown</v>
      </c>
      <c r="E224" s="1" t="str">
        <v>Critical</v>
      </c>
      <c r="F224" s="1" t="str">
        <v>BR-LEA-05</v>
      </c>
      <c r="G224" s="1" t="str">
        <v>Not Run</v>
      </c>
    </row>
    <row r="225">
      <c r="A225" s="1" t="str">
        <v>LEA-010</v>
      </c>
      <c r="B225" s="1" t="str">
        <v>Leave Application</v>
      </c>
      <c r="C225" s="1" t="str">
        <v>Leave Type Selection</v>
      </c>
      <c r="D225" s="1" t="str">
        <v>Leave Type field is mandatory and cannot be left blank</v>
      </c>
      <c r="E225" s="1" t="str">
        <v>Critical</v>
      </c>
      <c r="F225" s="1" t="str">
        <v>BR-LEA-05</v>
      </c>
      <c r="G225" s="1" t="str">
        <v>Not Run</v>
      </c>
    </row>
    <row r="226">
      <c r="A226" s="1" t="str">
        <v>LEA-011</v>
      </c>
      <c r="B226" s="1" t="str">
        <v>Leave Application</v>
      </c>
      <c r="C226" s="1" t="str">
        <v>Leave Type Selection</v>
      </c>
      <c r="D226" s="1" t="str">
        <v>Leave Type displays all available options (Annual, Sick, Personal, etc.)</v>
      </c>
      <c r="E226" s="1" t="str">
        <v>High</v>
      </c>
      <c r="F226" s="1" t="str">
        <v>BR-LEA-05</v>
      </c>
      <c r="G226" s="1" t="str">
        <v>Not Run</v>
      </c>
    </row>
    <row r="227">
      <c r="A227" s="1" t="str">
        <v>LEA-012</v>
      </c>
      <c r="B227" s="1" t="str">
        <v>Leave Application</v>
      </c>
      <c r="C227" s="1" t="str">
        <v>Leave Type Selection</v>
      </c>
      <c r="D227" s="1" t="str">
        <v>Employee's leave balance is checked for selected leave type</v>
      </c>
      <c r="E227" s="1" t="str">
        <v>Critical</v>
      </c>
      <c r="F227" s="1" t="str">
        <v>BR-LEA-06</v>
      </c>
      <c r="G227" s="1" t="str">
        <v>Not Run</v>
      </c>
    </row>
    <row r="228">
      <c r="A228" s="1" t="str">
        <v>LEA-013</v>
      </c>
      <c r="B228" s="1" t="str">
        <v>Leave Application</v>
      </c>
      <c r="C228" s="1" t="str">
        <v>Company Details</v>
      </c>
      <c r="D228" s="1" t="str">
        <v>Valid company is selected and displayed</v>
      </c>
      <c r="E228" s="1" t="str">
        <v>Critical</v>
      </c>
      <c r="F228" s="1" t="str">
        <v>BR-LEA-07</v>
      </c>
      <c r="G228" s="1" t="str">
        <v>Not Run</v>
      </c>
    </row>
    <row r="229">
      <c r="A229" s="1" t="str">
        <v>LEA-014</v>
      </c>
      <c r="B229" s="1" t="str">
        <v>Leave Application</v>
      </c>
      <c r="C229" s="1" t="str">
        <v>Company Details</v>
      </c>
      <c r="D229" s="1" t="str">
        <v>Company field is mandatory</v>
      </c>
      <c r="E229" s="1" t="str">
        <v>Critical</v>
      </c>
      <c r="F229" s="1" t="str">
        <v>BR-LEA-07</v>
      </c>
      <c r="G229" s="1" t="str">
        <v>Not Run</v>
      </c>
    </row>
    <row r="230">
      <c r="A230" s="1" t="str">
        <v>LEA-015</v>
      </c>
      <c r="B230" s="1" t="str">
        <v>Leave Application</v>
      </c>
      <c r="C230" s="1" t="str">
        <v>Company Details</v>
      </c>
      <c r="D230" s="1" t="str">
        <v>Company auto-populates based on employee's assigned company</v>
      </c>
      <c r="E230" s="1" t="str">
        <v>High</v>
      </c>
      <c r="F230" s="1" t="str">
        <v>BR-LEA-07</v>
      </c>
      <c r="G230" s="1" t="str">
        <v>Not Run</v>
      </c>
    </row>
    <row r="231">
      <c r="A231" s="1" t="str">
        <v>LEA-016</v>
      </c>
      <c r="B231" s="1" t="str">
        <v>Leave Application</v>
      </c>
      <c r="C231" s="1" t="str">
        <v>Date Range</v>
      </c>
      <c r="D231" s="1" t="str">
        <v>From Date is mandatory and cannot be left blank</v>
      </c>
      <c r="E231" s="1" t="str">
        <v>Critical</v>
      </c>
      <c r="F231" s="1" t="str">
        <v>BR-LEA-08</v>
      </c>
      <c r="G231" s="1" t="str">
        <v>Not Run</v>
      </c>
    </row>
    <row r="232">
      <c r="A232" s="1" t="str">
        <v>LEA-017</v>
      </c>
      <c r="B232" s="1" t="str">
        <v>Leave Application</v>
      </c>
      <c r="C232" s="1" t="str">
        <v>Date Range</v>
      </c>
      <c r="D232" s="1" t="str">
        <v>To Date is mandatory and cannot be left blank</v>
      </c>
      <c r="E232" s="1" t="str">
        <v>Critical</v>
      </c>
      <c r="F232" s="1" t="str">
        <v>BR-LEA-08</v>
      </c>
      <c r="G232" s="1" t="str">
        <v>Not Run</v>
      </c>
    </row>
    <row r="233">
      <c r="A233" s="1" t="str">
        <v>LEA-018</v>
      </c>
      <c r="B233" s="1" t="str">
        <v>Leave Application</v>
      </c>
      <c r="C233" s="1" t="str">
        <v>Date Range</v>
      </c>
      <c r="D233" s="1" t="str">
        <v>From Date cannot be after To Date</v>
      </c>
      <c r="E233" s="1" t="str">
        <v>Critical</v>
      </c>
      <c r="F233" s="1" t="str">
        <v>BR-LEA-08</v>
      </c>
      <c r="G233" s="1" t="str">
        <v>Not Run</v>
      </c>
    </row>
    <row r="234">
      <c r="A234" s="1" t="str">
        <v>LEA-019</v>
      </c>
      <c r="B234" s="1" t="str">
        <v>Leave Application</v>
      </c>
      <c r="C234" s="1" t="str">
        <v>Date Range</v>
      </c>
      <c r="D234" s="1" t="str">
        <v>From Date cannot be in the past</v>
      </c>
      <c r="E234" s="1" t="str">
        <v>High</v>
      </c>
      <c r="F234" s="1" t="str">
        <v>BR-LEA-08</v>
      </c>
      <c r="G234" s="1" t="str">
        <v>Not Run</v>
      </c>
    </row>
    <row r="235">
      <c r="A235" s="1" t="str">
        <v>LEA-020</v>
      </c>
      <c r="B235" s="1" t="str">
        <v>Leave Application</v>
      </c>
      <c r="C235" s="1" t="str">
        <v>Date Range</v>
      </c>
      <c r="D235" s="1" t="str">
        <v>To Date cannot be before From Date</v>
      </c>
      <c r="E235" s="1" t="str">
        <v>Critical</v>
      </c>
      <c r="F235" s="1" t="str">
        <v>BR-LEA-08</v>
      </c>
      <c r="G235" s="1" t="str">
        <v>Not Run</v>
      </c>
    </row>
    <row r="236">
      <c r="A236" s="1" t="str">
        <v>LEA-021</v>
      </c>
      <c r="B236" s="1" t="str">
        <v>Leave Application</v>
      </c>
      <c r="C236" s="1" t="str">
        <v>Date Range</v>
      </c>
      <c r="D236" s="1" t="str">
        <v>Invalid date format is rejected</v>
      </c>
      <c r="E236" s="1" t="str">
        <v>Critical</v>
      </c>
      <c r="F236" s="1" t="str">
        <v>BR-LEA-08</v>
      </c>
      <c r="G236" s="1" t="str">
        <v>Not Run</v>
      </c>
    </row>
    <row r="237">
      <c r="A237" s="1" t="str">
        <v>LEA-022</v>
      </c>
      <c r="B237" s="1" t="str">
        <v>Leave Application</v>
      </c>
      <c r="C237" s="1" t="str">
        <v>Date Range</v>
      </c>
      <c r="D237" s="1" t="str">
        <v>Leave duration is calculated correctly (From Date to To Date)</v>
      </c>
      <c r="E237" s="1" t="str">
        <v>Critical</v>
      </c>
      <c r="F237" s="1" t="str">
        <v>BR-LEA-09</v>
      </c>
      <c r="G237" s="1" t="str">
        <v>Not Run</v>
      </c>
    </row>
    <row r="238">
      <c r="A238" s="1" t="str">
        <v>LEA-023</v>
      </c>
      <c r="B238" s="1" t="str">
        <v>Leave Application</v>
      </c>
      <c r="C238" s="1" t="str">
        <v>Half Day Leave</v>
      </c>
      <c r="D238" s="1" t="str">
        <v>Half Day checkbox can be checked</v>
      </c>
      <c r="E238" s="1" t="str">
        <v>High</v>
      </c>
      <c r="F238" s="1" t="str">
        <v>BR-LEA-10</v>
      </c>
      <c r="G238" s="1" t="str">
        <v>Not Run</v>
      </c>
    </row>
    <row r="239">
      <c r="A239" s="1" t="str">
        <v>LEA-024</v>
      </c>
      <c r="B239" s="1" t="str">
        <v>Leave Application</v>
      </c>
      <c r="C239" s="1" t="str">
        <v>Half Day Leave</v>
      </c>
      <c r="D239" s="1" t="str">
        <v>Half Day checkbox can be unchecked</v>
      </c>
      <c r="E239" s="1" t="str">
        <v>High</v>
      </c>
      <c r="F239" s="1" t="str">
        <v>BR-LEA-10</v>
      </c>
      <c r="G239" s="1" t="str">
        <v>Not Run</v>
      </c>
    </row>
    <row r="240">
      <c r="A240" s="1" t="str">
        <v>LEA-025</v>
      </c>
      <c r="B240" s="1" t="str">
        <v>Leave Application</v>
      </c>
      <c r="C240" s="1" t="str">
        <v>Half Day Leave</v>
      </c>
      <c r="D240" s="1" t="str">
        <v>Half Day with single date (From Date = To Date) is valid</v>
      </c>
      <c r="E240" s="1" t="str">
        <v>Critical</v>
      </c>
      <c r="F240" s="1" t="str">
        <v>BR-LEA-10</v>
      </c>
      <c r="G240" s="1" t="str">
        <v>Not Run</v>
      </c>
    </row>
    <row r="241">
      <c r="A241" s="1" t="str">
        <v>LEA-026</v>
      </c>
      <c r="B241" s="1" t="str">
        <v>Leave Application</v>
      </c>
      <c r="C241" s="1" t="str">
        <v>Half Day Leave</v>
      </c>
      <c r="D241" s="1" t="str">
        <v>Half Day with date range is rejected</v>
      </c>
      <c r="E241" s="1" t="str">
        <v>Critical</v>
      </c>
      <c r="F241" s="1" t="str">
        <v>BR-LEA-10</v>
      </c>
      <c r="G241" s="1" t="str">
        <v>Not Run</v>
      </c>
    </row>
    <row r="242">
      <c r="A242" s="1" t="str">
        <v>LEA-027</v>
      </c>
      <c r="B242" s="1" t="str">
        <v>Leave Application</v>
      </c>
      <c r="C242" s="1" t="str">
        <v>Half Day Leave</v>
      </c>
      <c r="D242" s="1" t="str">
        <v>Half Day reduces leave balance by 0.5 days</v>
      </c>
      <c r="E242" s="1" t="str">
        <v>Critical</v>
      </c>
      <c r="F242" s="1" t="str">
        <v>BR-LEA-10</v>
      </c>
      <c r="G242" s="1" t="str">
        <v>Not Run</v>
      </c>
    </row>
    <row r="243">
      <c r="A243" s="1" t="str">
        <v>LEA-028</v>
      </c>
      <c r="B243" s="1" t="str">
        <v>Leave Application</v>
      </c>
      <c r="C243" s="1" t="str">
        <v>Half Day Leave</v>
      </c>
      <c r="D243" s="1" t="str">
        <v>Full day reduces leave balance by 1 day</v>
      </c>
      <c r="E243" s="1" t="str">
        <v>Critical</v>
      </c>
      <c r="F243" s="1" t="str">
        <v>BR-LEA-09</v>
      </c>
      <c r="G243" s="1" t="str">
        <v>Not Run</v>
      </c>
    </row>
    <row r="244">
      <c r="A244" s="1" t="str">
        <v>LEA-029</v>
      </c>
      <c r="B244" s="1" t="str">
        <v>Leave Application</v>
      </c>
      <c r="C244" s="1" t="str">
        <v>Reason</v>
      </c>
      <c r="D244" s="1" t="str">
        <v>Reason field is optional</v>
      </c>
      <c r="E244" s="1" t="str">
        <v>Medium</v>
      </c>
      <c r="F244" s="1" t="str">
        <v>BR-LEA-11</v>
      </c>
      <c r="G244" s="1" t="str">
        <v>Not Run</v>
      </c>
    </row>
    <row r="245">
      <c r="A245" s="1" t="str">
        <v>LEA-030</v>
      </c>
      <c r="B245" s="1" t="str">
        <v>Leave Application</v>
      </c>
      <c r="C245" s="1" t="str">
        <v>Reason</v>
      </c>
      <c r="D245" s="1" t="str">
        <v>Reason field accepts text input</v>
      </c>
      <c r="E245" s="1" t="str">
        <v>Medium</v>
      </c>
      <c r="F245" s="1" t="str">
        <v>BR-LEA-11</v>
      </c>
      <c r="G245" s="1" t="str">
        <v>Not Run</v>
      </c>
    </row>
    <row r="246">
      <c r="A246" s="1" t="str">
        <v>LEA-031</v>
      </c>
      <c r="B246" s="1" t="str">
        <v>Leave Application</v>
      </c>
      <c r="C246" s="1" t="str">
        <v>Reason</v>
      </c>
      <c r="D246" s="1" t="str">
        <v>Reason field accepts special characters</v>
      </c>
      <c r="E246" s="1" t="str">
        <v>Medium</v>
      </c>
      <c r="F246" s="1" t="str">
        <v>BR-LEA-11</v>
      </c>
      <c r="G246" s="1" t="str">
        <v>Not Run</v>
      </c>
    </row>
    <row r="247">
      <c r="A247" s="1" t="str">
        <v>LEA-032</v>
      </c>
      <c r="B247" s="1" t="str">
        <v>Leave Application</v>
      </c>
      <c r="C247" s="1" t="str">
        <v>Leave Approver</v>
      </c>
      <c r="D247" s="1" t="str">
        <v>Valid leave approver can be selected</v>
      </c>
      <c r="E247" s="1" t="str">
        <v>Critical</v>
      </c>
      <c r="F247" s="1" t="str">
        <v>BR-LEA-12</v>
      </c>
      <c r="G247" s="1" t="str">
        <v>Not Run</v>
      </c>
    </row>
    <row r="248">
      <c r="A248" s="1" t="str">
        <v>LEA-033</v>
      </c>
      <c r="B248" s="1" t="str">
        <v>Leave Application</v>
      </c>
      <c r="C248" s="1" t="str">
        <v>Leave Approver</v>
      </c>
      <c r="D248" s="1" t="str">
        <v>Invalid approver is rejected</v>
      </c>
      <c r="E248" s="1" t="str">
        <v>Critical</v>
      </c>
      <c r="F248" s="1" t="str">
        <v>BR-LEA-12</v>
      </c>
      <c r="G248" s="1" t="str">
        <v>Not Run</v>
      </c>
    </row>
    <row r="249">
      <c r="A249" s="1" t="str">
        <v>LEA-034</v>
      </c>
      <c r="B249" s="1" t="str">
        <v>Leave Application</v>
      </c>
      <c r="C249" s="1" t="str">
        <v>Leave Approver</v>
      </c>
      <c r="D249" s="1" t="str">
        <v>Leave Approver field is mandatory and cannot be left blank</v>
      </c>
      <c r="E249" s="1" t="str">
        <v>Critical</v>
      </c>
      <c r="F249" s="1" t="str">
        <v>BR-LEA-12</v>
      </c>
      <c r="G249" s="1" t="str">
        <v>Not Run</v>
      </c>
    </row>
    <row r="250">
      <c r="A250" s="1" t="str">
        <v>LEA-035</v>
      </c>
      <c r="B250" s="1" t="str">
        <v>Leave Application</v>
      </c>
      <c r="C250" s="1" t="str">
        <v>Leave Approver</v>
      </c>
      <c r="D250" s="1" t="str">
        <v>Leave Approver must have approval authority for the employee</v>
      </c>
      <c r="E250" s="1" t="str">
        <v>Critical</v>
      </c>
      <c r="F250" s="1" t="str">
        <v>BR-LEA-12</v>
      </c>
      <c r="G250" s="1" t="str">
        <v>Not Run</v>
      </c>
    </row>
    <row r="251">
      <c r="A251" s="1" t="str">
        <v>LEA-036</v>
      </c>
      <c r="B251" s="1" t="str">
        <v>Leave Application</v>
      </c>
      <c r="C251" s="1" t="str">
        <v>Posting Date</v>
      </c>
      <c r="D251" s="1" t="str">
        <v>Posting Date is auto-populated with current date</v>
      </c>
      <c r="E251" s="1" t="str">
        <v>High</v>
      </c>
      <c r="F251" s="1" t="str">
        <v>BR-LEA-13</v>
      </c>
      <c r="G251" s="1" t="str">
        <v>Not Run</v>
      </c>
    </row>
    <row r="252">
      <c r="A252" s="1" t="str">
        <v>LEA-037</v>
      </c>
      <c r="B252" s="1" t="str">
        <v>Leave Application</v>
      </c>
      <c r="C252" s="1" t="str">
        <v>Posting Date</v>
      </c>
      <c r="D252" s="1" t="str">
        <v>Posting Date cannot be manually changed</v>
      </c>
      <c r="E252" s="1" t="str">
        <v>High</v>
      </c>
      <c r="F252" s="1" t="str">
        <v>BR-LEA-13</v>
      </c>
      <c r="G252" s="1" t="str">
        <v>Not Run</v>
      </c>
    </row>
    <row r="253">
      <c r="A253" s="1" t="str">
        <v>LEA-038</v>
      </c>
      <c r="B253" s="1" t="str">
        <v>Leave Application</v>
      </c>
      <c r="C253" s="1" t="str">
        <v>Posting Date</v>
      </c>
      <c r="D253" s="1" t="str">
        <v>Posting Date is recorded accurately on submission</v>
      </c>
      <c r="E253" s="1" t="str">
        <v>High</v>
      </c>
      <c r="F253" s="1" t="str">
        <v>BR-LEA-13</v>
      </c>
      <c r="G253" s="1" t="str">
        <v>Not Run</v>
      </c>
    </row>
    <row r="254">
      <c r="A254" s="1" t="str">
        <v>LEA-039</v>
      </c>
      <c r="B254" s="1" t="str">
        <v>Leave Application</v>
      </c>
      <c r="C254" s="1" t="str">
        <v>Leave Balance</v>
      </c>
      <c r="D254" s="1" t="str">
        <v>Leave balance is displayed for selected leave type</v>
      </c>
      <c r="E254" s="1" t="str">
        <v>Critical</v>
      </c>
      <c r="F254" s="1" t="str">
        <v>BR-LEA-06</v>
      </c>
      <c r="G254" s="1" t="str">
        <v>Not Run</v>
      </c>
    </row>
    <row r="255">
      <c r="A255" s="1" t="str">
        <v>LEA-040</v>
      </c>
      <c r="B255" s="1" t="str">
        <v>Leave Application</v>
      </c>
      <c r="C255" s="1" t="str">
        <v>Leave Balance</v>
      </c>
      <c r="D255" s="1" t="str">
        <v>Leave balance decreases after leave application is approved</v>
      </c>
      <c r="E255" s="1" t="str">
        <v>Critical</v>
      </c>
      <c r="F255" s="1" t="str">
        <v>BR-LEA-06</v>
      </c>
      <c r="G255" s="1" t="str">
        <v>Not Run</v>
      </c>
    </row>
    <row r="256">
      <c r="A256" s="1" t="str">
        <v>LEA-041</v>
      </c>
      <c r="B256" s="1" t="str">
        <v>Leave Application</v>
      </c>
      <c r="C256" s="1" t="str">
        <v>Leave Balance</v>
      </c>
      <c r="D256" s="1" t="str">
        <v>Leave balance is restored after leave is cancelled</v>
      </c>
      <c r="E256" s="1" t="str">
        <v>Critical</v>
      </c>
      <c r="F256" s="1" t="str">
        <v>BR-LEA-06</v>
      </c>
      <c r="G256" s="1" t="str">
        <v>Not Run</v>
      </c>
    </row>
    <row r="257">
      <c r="A257" s="1" t="str">
        <v>LEA-042</v>
      </c>
      <c r="B257" s="1" t="str">
        <v>Leave Application</v>
      </c>
      <c r="C257" s="1" t="str">
        <v>Leave Balance</v>
      </c>
      <c r="D257" s="1" t="str">
        <v>Leave application is rejected if balance is insufficient</v>
      </c>
      <c r="E257" s="1" t="str">
        <v>Critical</v>
      </c>
      <c r="F257" s="1" t="str">
        <v>BR-LEA-06</v>
      </c>
      <c r="G257" s="1" t="str">
        <v>Not Run</v>
      </c>
    </row>
    <row r="258">
      <c r="A258" s="1" t="str">
        <v>LEA-043</v>
      </c>
      <c r="B258" s="1" t="str">
        <v>Leave Application</v>
      </c>
      <c r="C258" s="1" t="str">
        <v>Leave Balance</v>
      </c>
      <c r="D258" s="1" t="str">
        <v>Leave balance updates are reflected in real-time</v>
      </c>
      <c r="E258" s="1" t="str">
        <v>High</v>
      </c>
      <c r="F258" s="1" t="str">
        <v>BR-LEA-06</v>
      </c>
      <c r="G258" s="1" t="str">
        <v>Not Run</v>
      </c>
    </row>
    <row r="259">
      <c r="A259" s="1" t="str">
        <v>LEA-044</v>
      </c>
      <c r="B259" s="1" t="str">
        <v>Leave Application</v>
      </c>
      <c r="C259" s="1" t="str">
        <v>Status &amp; Workflow</v>
      </c>
      <c r="D259" s="1" t="str">
        <v>Status defaults to Open on creation</v>
      </c>
      <c r="E259" s="1" t="str">
        <v>Critical</v>
      </c>
      <c r="F259" s="1" t="str">
        <v>BR-LEA-14</v>
      </c>
      <c r="G259" s="1" t="str">
        <v>Not Run</v>
      </c>
    </row>
    <row r="260">
      <c r="A260" s="1" t="str">
        <v>LEA-045</v>
      </c>
      <c r="B260" s="1" t="str">
        <v>Leave Application</v>
      </c>
      <c r="C260" s="1" t="str">
        <v>Status &amp; Workflow</v>
      </c>
      <c r="D260" s="1" t="str">
        <v>Status changes to Approved after approval</v>
      </c>
      <c r="E260" s="1" t="str">
        <v>Critical</v>
      </c>
      <c r="F260" s="1" t="str">
        <v>BR-LEA-14</v>
      </c>
      <c r="G260" s="1" t="str">
        <v>Not Run</v>
      </c>
    </row>
    <row r="261">
      <c r="A261" s="1" t="str">
        <v>LEA-046</v>
      </c>
      <c r="B261" s="1" t="str">
        <v>Leave Application</v>
      </c>
      <c r="C261" s="1" t="str">
        <v>Status &amp; Workflow</v>
      </c>
      <c r="D261" s="1" t="str">
        <v>Status changes to Rejected after rejection</v>
      </c>
      <c r="E261" s="1" t="str">
        <v>Critical</v>
      </c>
      <c r="F261" s="1" t="str">
        <v>BR-LEA-14</v>
      </c>
      <c r="G261" s="1" t="str">
        <v>Not Run</v>
      </c>
    </row>
    <row r="262">
      <c r="A262" s="1" t="str">
        <v>LEA-047</v>
      </c>
      <c r="B262" s="1" t="str">
        <v>Leave Application</v>
      </c>
      <c r="C262" s="1" t="str">
        <v>Status &amp; Workflow</v>
      </c>
      <c r="D262" s="1" t="str">
        <v>Cancelled leave application shows Cancelled status</v>
      </c>
      <c r="E262" s="1" t="str">
        <v>Critical</v>
      </c>
      <c r="F262" s="1" t="str">
        <v>BR-LEA-14</v>
      </c>
      <c r="G262" s="1" t="str">
        <v>Not Run</v>
      </c>
    </row>
    <row r="263">
      <c r="A263" s="1" t="str">
        <v>LEA-048</v>
      </c>
      <c r="B263" s="1" t="str">
        <v>Leave Application</v>
      </c>
      <c r="C263" s="1" t="str">
        <v>Status &amp; Workflow</v>
      </c>
      <c r="D263" s="1" t="str">
        <v>Only authorised user can approve leave application</v>
      </c>
      <c r="E263" s="1" t="str">
        <v>Critical</v>
      </c>
      <c r="F263" s="1" t="str">
        <v>BR-LEA-12</v>
      </c>
      <c r="G263" s="1" t="str">
        <v>Not Run</v>
      </c>
    </row>
    <row r="264">
      <c r="A264" s="1" t="str">
        <v>LEA-049</v>
      </c>
      <c r="B264" s="1" t="str">
        <v>Leave Application</v>
      </c>
      <c r="C264" s="1" t="str">
        <v>Data Validation</v>
      </c>
      <c r="D264" s="1" t="str">
        <v>Leave Application cannot be saved without Employee</v>
      </c>
      <c r="E264" s="1" t="str">
        <v>Critical</v>
      </c>
      <c r="F264" s="1" t="str">
        <v>BR-LEA-04</v>
      </c>
      <c r="G264" s="1" t="str">
        <v>Not Run</v>
      </c>
    </row>
    <row r="265">
      <c r="A265" s="1" t="str">
        <v>LEA-050</v>
      </c>
      <c r="B265" s="1" t="str">
        <v>Leave Application</v>
      </c>
      <c r="C265" s="1" t="str">
        <v>Data Validation</v>
      </c>
      <c r="D265" s="1" t="str">
        <v>Leave Application cannot be saved without Leave Type</v>
      </c>
      <c r="E265" s="1" t="str">
        <v>Critical</v>
      </c>
      <c r="F265" s="1" t="str">
        <v>BR-LEA-05</v>
      </c>
      <c r="G265" s="1" t="str">
        <v>Not Run</v>
      </c>
    </row>
    <row r="266">
      <c r="A266" s="1" t="str">
        <v>LEA-051</v>
      </c>
      <c r="B266" s="1" t="str">
        <v>Leave Application</v>
      </c>
      <c r="C266" s="1" t="str">
        <v>Data Validation</v>
      </c>
      <c r="D266" s="1" t="str">
        <v>Leave Application cannot be saved without From Date</v>
      </c>
      <c r="E266" s="1" t="str">
        <v>Critical</v>
      </c>
      <c r="F266" s="1" t="str">
        <v>BR-LEA-08</v>
      </c>
      <c r="G266" s="1" t="str">
        <v>Not Run</v>
      </c>
    </row>
    <row r="267">
      <c r="A267" s="1" t="str">
        <v>LEA-052</v>
      </c>
      <c r="B267" s="1" t="str">
        <v>Leave Application</v>
      </c>
      <c r="C267" s="1" t="str">
        <v>Data Validation</v>
      </c>
      <c r="D267" s="1" t="str">
        <v>Leave Application cannot be saved without To Date</v>
      </c>
      <c r="E267" s="1" t="str">
        <v>Critical</v>
      </c>
      <c r="F267" s="1" t="str">
        <v>BR-LEA-08</v>
      </c>
      <c r="G267" s="1" t="str">
        <v>Not Run</v>
      </c>
    </row>
    <row r="268">
      <c r="A268" s="1" t="str">
        <v>LEA-053</v>
      </c>
      <c r="B268" s="1" t="str">
        <v>Leave Application</v>
      </c>
      <c r="C268" s="1" t="str">
        <v>Data Validation</v>
      </c>
      <c r="D268" s="1" t="str">
        <v>Leave Application cannot be submitted with From Date after To Date</v>
      </c>
      <c r="E268" s="1" t="str">
        <v>Critical</v>
      </c>
      <c r="F268" s="1" t="str">
        <v>BR-LEA-08</v>
      </c>
      <c r="G268" s="1" t="str">
        <v>Not Run</v>
      </c>
    </row>
    <row r="269">
      <c r="A269" s="1" t="str">
        <v>LEA-054</v>
      </c>
      <c r="B269" s="1" t="str">
        <v>Leave Application</v>
      </c>
      <c r="C269" s="1" t="str">
        <v>Editing &amp; Updates</v>
      </c>
      <c r="D269" s="1" t="str">
        <v>Edit Leave Type on existing leave application</v>
      </c>
      <c r="E269" s="1" t="str">
        <v>High</v>
      </c>
      <c r="F269" s="1" t="str">
        <v>BR-LEA-15</v>
      </c>
      <c r="G269" s="1" t="str">
        <v>Not Run</v>
      </c>
    </row>
    <row r="270">
      <c r="A270" s="1" t="str">
        <v>LEA-055</v>
      </c>
      <c r="B270" s="1" t="str">
        <v>Leave Application</v>
      </c>
      <c r="C270" s="1" t="str">
        <v>Editing &amp; Updates</v>
      </c>
      <c r="D270" s="1" t="str">
        <v>Edit date range on existing leave application</v>
      </c>
      <c r="E270" s="1" t="str">
        <v>High</v>
      </c>
      <c r="F270" s="1" t="str">
        <v>BR-LEA-15</v>
      </c>
      <c r="G270" s="1" t="str">
        <v>Not Run</v>
      </c>
    </row>
    <row r="271">
      <c r="A271" s="1" t="str">
        <v>LEA-056</v>
      </c>
      <c r="B271" s="1" t="str">
        <v>Leave Application</v>
      </c>
      <c r="C271" s="1" t="str">
        <v>Editing &amp; Updates</v>
      </c>
      <c r="D271" s="1" t="str">
        <v>Edit reason on existing leave application</v>
      </c>
      <c r="E271" s="1" t="str">
        <v>Medium</v>
      </c>
      <c r="F271" s="1" t="str">
        <v>BR-LEA-15</v>
      </c>
      <c r="G271" s="1" t="str">
        <v>Not Run</v>
      </c>
    </row>
    <row r="272">
      <c r="A272" s="1" t="str">
        <v>LEA-057</v>
      </c>
      <c r="B272" s="1" t="str">
        <v>Leave Application</v>
      </c>
      <c r="C272" s="1" t="str">
        <v>Editing &amp; Updates</v>
      </c>
      <c r="D272" s="1" t="str">
        <v>Edit leave approver before submission</v>
      </c>
      <c r="E272" s="1" t="str">
        <v>High</v>
      </c>
      <c r="F272" s="1" t="str">
        <v>BR-LEA-15</v>
      </c>
      <c r="G272" s="1" t="str">
        <v>Not Run</v>
      </c>
    </row>
    <row r="273">
      <c r="A273" s="1" t="str">
        <v>LEA-058</v>
      </c>
      <c r="B273" s="1" t="str">
        <v>Leave Application</v>
      </c>
      <c r="C273" s="1" t="str">
        <v>Editing &amp; Updates</v>
      </c>
      <c r="D273" s="1" t="str">
        <v>Edit is restricted after leave is approved</v>
      </c>
      <c r="E273" s="1" t="str">
        <v>Critical</v>
      </c>
      <c r="F273" s="1" t="str">
        <v>BR-LEA-14</v>
      </c>
      <c r="G273" s="1" t="str">
        <v>Not Run</v>
      </c>
    </row>
    <row r="274">
      <c r="A274" s="1" t="str">
        <v>LEA-059</v>
      </c>
      <c r="B274" s="1" t="str">
        <v>Leave Application</v>
      </c>
      <c r="C274" s="1" t="str">
        <v>Form Actions</v>
      </c>
      <c r="D274" s="1" t="str">
        <v>Save Leave Application successfully</v>
      </c>
      <c r="E274" s="1" t="str">
        <v>Critical</v>
      </c>
      <c r="F274" s="1" t="str">
        <v>BR-LEA-01</v>
      </c>
      <c r="G274" s="1" t="str">
        <v>Not Run</v>
      </c>
    </row>
    <row r="275">
      <c r="A275" s="1" t="str">
        <v>LEA-060</v>
      </c>
      <c r="B275" s="1" t="str">
        <v>Leave Application</v>
      </c>
      <c r="C275" s="1" t="str">
        <v>Form Actions</v>
      </c>
      <c r="D275" s="1" t="str">
        <v>Submit Leave Application successfully</v>
      </c>
      <c r="E275" s="1" t="str">
        <v>Critical</v>
      </c>
      <c r="F275" s="1" t="str">
        <v>BR-LEA-16</v>
      </c>
      <c r="G275" s="1" t="str">
        <v>Not Run</v>
      </c>
    </row>
    <row r="276">
      <c r="A276" s="1" t="str">
        <v>LEA-061</v>
      </c>
      <c r="B276" s="1" t="str">
        <v>Leave Application</v>
      </c>
      <c r="C276" s="1" t="str">
        <v>Form Actions</v>
      </c>
      <c r="D276" s="1" t="str">
        <v>Form shows "Not Saved" status before save</v>
      </c>
      <c r="E276" s="1" t="str">
        <v>Medium</v>
      </c>
      <c r="F276" s="1" t="str">
        <v>BR-LEA-16</v>
      </c>
      <c r="G276" s="1" t="str">
        <v>Not Run</v>
      </c>
    </row>
    <row r="277">
      <c r="A277" s="1" t="str">
        <v>LEA-062</v>
      </c>
      <c r="B277" s="1" t="str">
        <v>Leave Application</v>
      </c>
      <c r="C277" s="1" t="str">
        <v>Form Actions</v>
      </c>
      <c r="D277" s="1" t="str">
        <v>Form shows "Saved" status after successful save</v>
      </c>
      <c r="E277" s="1" t="str">
        <v>Medium</v>
      </c>
      <c r="F277" s="1" t="str">
        <v>BR-LEA-16</v>
      </c>
      <c r="G277" s="1" t="str">
        <v>Not Run</v>
      </c>
    </row>
    <row r="278">
      <c r="A278" s="1" t="str">
        <v>LEA-063</v>
      </c>
      <c r="B278" s="1" t="str">
        <v>Leave Application</v>
      </c>
      <c r="C278" s="1" t="str">
        <v>Form Actions</v>
      </c>
      <c r="D278" s="1" t="str">
        <v>Duplicate existing Leave Application</v>
      </c>
      <c r="E278" s="1" t="str">
        <v>High</v>
      </c>
      <c r="F278" s="1" t="str">
        <v>BR-LEA-16</v>
      </c>
      <c r="G278" s="1" t="str">
        <v>Not Run</v>
      </c>
    </row>
    <row r="279">
      <c r="A279" s="1" t="str">
        <v>LEA-064</v>
      </c>
      <c r="B279" s="1" t="str">
        <v>Leave Application</v>
      </c>
      <c r="C279" s="1" t="str">
        <v>Form Actions</v>
      </c>
      <c r="D279" s="1" t="str">
        <v>Cancel submitted Leave Application</v>
      </c>
      <c r="E279" s="1" t="str">
        <v>Critical</v>
      </c>
      <c r="F279" s="1" t="str">
        <v>BR-LEA-16</v>
      </c>
      <c r="G279" s="1" t="str">
        <v>Not Run</v>
      </c>
    </row>
    <row r="280">
      <c r="A280" s="1" t="str">
        <v>LEA-065</v>
      </c>
      <c r="B280" s="1" t="str">
        <v>Leave Application</v>
      </c>
      <c r="C280" s="1" t="str">
        <v>Form Actions</v>
      </c>
      <c r="D280" s="1" t="str">
        <v>Delete Draft Leave Application</v>
      </c>
      <c r="E280" s="1" t="str">
        <v>High</v>
      </c>
      <c r="F280" s="1" t="str">
        <v>BR-LEA-16</v>
      </c>
      <c r="G280" s="1" t="str">
        <v>Not Run</v>
      </c>
    </row>
    <row r="281">
      <c r="A281" s="1" t="str">
        <v>▌ Service Call</v>
      </c>
    </row>
    <row r="282">
      <c r="A282" s="1" t="str">
        <v>SC-001</v>
      </c>
      <c r="B282" s="1" t="str">
        <v>Service Call</v>
      </c>
      <c r="C282" s="1" t="str">
        <v>Service Call Creation &amp; Basic Details</v>
      </c>
      <c r="D282" s="1" t="str">
        <v>Create Service Call with mandatory fields only (Customer, Service Type)</v>
      </c>
      <c r="E282" s="1" t="str">
        <v>Critical</v>
      </c>
      <c r="F282" s="1" t="str">
        <v>BR-SC-01</v>
      </c>
      <c r="G282" s="1" t="str">
        <v>Not Run</v>
      </c>
    </row>
    <row r="283">
      <c r="A283" s="1" t="str">
        <v>SC-002</v>
      </c>
      <c r="B283" s="1" t="str">
        <v>Service Call</v>
      </c>
      <c r="C283" s="1" t="str">
        <v>Service Call Creation &amp; Basic Details</v>
      </c>
      <c r="D283" s="1" t="str">
        <v>Create Service Call with all basic fields (Customer, Title, Description, Priority)</v>
      </c>
      <c r="E283" s="1" t="str">
        <v>Critical</v>
      </c>
      <c r="F283" s="1" t="str">
        <v>BR-SC-01, BR-SC-02</v>
      </c>
      <c r="G283" s="1" t="str">
        <v>Not Run</v>
      </c>
    </row>
    <row r="284">
      <c r="A284" s="1" t="str">
        <v>SC-003</v>
      </c>
      <c r="B284" s="1" t="str">
        <v>Service Call</v>
      </c>
      <c r="C284" s="1" t="str">
        <v>Service Call Creation &amp; Basic Details</v>
      </c>
      <c r="D284" s="1" t="str">
        <v>Create Service Call with multiple Service Items</v>
      </c>
      <c r="E284" s="1" t="str">
        <v>High</v>
      </c>
      <c r="F284" s="1" t="str">
        <v>BR-SC-08</v>
      </c>
      <c r="G284" s="1" t="str">
        <v>Not Run</v>
      </c>
    </row>
    <row r="285">
      <c r="A285" s="1" t="str">
        <v>SC-004</v>
      </c>
      <c r="B285" s="1" t="str">
        <v>Service Call</v>
      </c>
      <c r="C285" s="1" t="str">
        <v>Service Call Creation &amp; Basic Details</v>
      </c>
      <c r="D285" s="1" t="str">
        <v>Create Service Call for Individual customer type</v>
      </c>
      <c r="E285" s="1" t="str">
        <v>High</v>
      </c>
      <c r="F285" s="1" t="str">
        <v>BR-SC-03</v>
      </c>
      <c r="G285" s="1" t="str">
        <v>Not Run</v>
      </c>
    </row>
    <row r="286">
      <c r="A286" s="1" t="str">
        <v>SC-005</v>
      </c>
      <c r="B286" s="1" t="str">
        <v>Service Call</v>
      </c>
      <c r="C286" s="1" t="str">
        <v>Service Call Creation &amp; Basic Details</v>
      </c>
      <c r="D286" s="1" t="str">
        <v>Create Service Call for Company customer type</v>
      </c>
      <c r="E286" s="1" t="str">
        <v>High</v>
      </c>
      <c r="F286" s="1" t="str">
        <v>BR-SC-03</v>
      </c>
      <c r="G286" s="1" t="str">
        <v>Not Run</v>
      </c>
    </row>
    <row r="287">
      <c r="A287" s="1" t="str">
        <v>SC-006</v>
      </c>
      <c r="B287" s="1" t="str">
        <v>Service Call</v>
      </c>
      <c r="C287" s="1" t="str">
        <v>Customer &amp; Location Validation</v>
      </c>
      <c r="D287" s="1" t="str">
        <v>Valid customer selection populates branch locations</v>
      </c>
      <c r="E287" s="1" t="str">
        <v>Critical</v>
      </c>
      <c r="F287" s="1" t="str">
        <v>BR-SC-03</v>
      </c>
      <c r="G287" s="1" t="str">
        <v>Not Run</v>
      </c>
    </row>
    <row r="288">
      <c r="A288" s="1" t="str">
        <v>SC-007</v>
      </c>
      <c r="B288" s="1" t="str">
        <v>Service Call</v>
      </c>
      <c r="C288" s="1" t="str">
        <v>Customer &amp; Location Validation</v>
      </c>
      <c r="D288" s="1" t="str">
        <v>Invalid/non-existent customer is rejected</v>
      </c>
      <c r="E288" s="1" t="str">
        <v>Critical</v>
      </c>
      <c r="F288" s="1" t="str">
        <v>BR-SC-03</v>
      </c>
      <c r="G288" s="1" t="str">
        <v>Not Run</v>
      </c>
    </row>
    <row r="289">
      <c r="A289" s="1" t="str">
        <v>SC-008</v>
      </c>
      <c r="B289" s="1" t="str">
        <v>Service Call</v>
      </c>
      <c r="C289" s="1" t="str">
        <v>Customer &amp; Location Validation</v>
      </c>
      <c r="D289" s="1" t="str">
        <v>Service Call can be linked to specific branch location</v>
      </c>
      <c r="E289" s="1" t="str">
        <v>High</v>
      </c>
      <c r="F289" s="1" t="str">
        <v>BR-SC-04</v>
      </c>
      <c r="G289" s="1" t="str">
        <v>Not Run</v>
      </c>
    </row>
    <row r="290">
      <c r="A290" s="1" t="str">
        <v>SC-009</v>
      </c>
      <c r="B290" s="1" t="str">
        <v>Service Call</v>
      </c>
      <c r="C290" s="1" t="str">
        <v>Customer &amp; Location Validation</v>
      </c>
      <c r="D290" s="1" t="str">
        <v>Contact person is filtered by selected branch</v>
      </c>
      <c r="E290" s="1" t="str">
        <v>High</v>
      </c>
      <c r="F290" s="1" t="str">
        <v>BR-SC-04</v>
      </c>
      <c r="G290" s="1" t="str">
        <v>Not Run</v>
      </c>
    </row>
    <row r="291">
      <c r="A291" s="1" t="str">
        <v>SC-010</v>
      </c>
      <c r="B291" s="1" t="str">
        <v>Service Call</v>
      </c>
      <c r="C291" s="1" t="str">
        <v>Technician Assignment</v>
      </c>
      <c r="D291" s="1" t="str">
        <v>Assign available technician to Service Call</v>
      </c>
      <c r="E291" s="1" t="str">
        <v>Critical</v>
      </c>
      <c r="F291" s="1" t="str">
        <v>BR-SC-05</v>
      </c>
      <c r="G291" s="1" t="str">
        <v>Not Run</v>
      </c>
    </row>
    <row r="292">
      <c r="A292" s="1" t="str">
        <v>SC-011</v>
      </c>
      <c r="B292" s="1" t="str">
        <v>Service Call</v>
      </c>
      <c r="C292" s="1" t="str">
        <v>Technician Assignment</v>
      </c>
      <c r="D292" s="1" t="str">
        <v>Reassign technician to different Service Call</v>
      </c>
      <c r="E292" s="1" t="str">
        <v>High</v>
      </c>
      <c r="F292" s="1" t="str">
        <v>BR-SC-05</v>
      </c>
      <c r="G292" s="1" t="str">
        <v>Not Run</v>
      </c>
    </row>
    <row r="293">
      <c r="A293" s="1" t="str">
        <v>SC-012</v>
      </c>
      <c r="B293" s="1" t="str">
        <v>Service Call</v>
      </c>
      <c r="C293" s="1" t="str">
        <v>Technician Assignment</v>
      </c>
      <c r="D293" s="1" t="str">
        <v>Service Call without technician assignment is saved successfully</v>
      </c>
      <c r="E293" s="1" t="str">
        <v>Medium</v>
      </c>
      <c r="F293" s="1" t="str">
        <v>BR-SC-05</v>
      </c>
      <c r="G293" s="1" t="str">
        <v>Not Run</v>
      </c>
    </row>
    <row r="294">
      <c r="A294" s="1" t="str">
        <v>SC-013</v>
      </c>
      <c r="B294" s="1" t="str">
        <v>Service Call</v>
      </c>
      <c r="C294" s="1" t="str">
        <v>Technician Assignment</v>
      </c>
      <c r="D294" s="1" t="str">
        <v>Duplicate technician assignment is blocked</v>
      </c>
      <c r="E294" s="1" t="str">
        <v>Critical</v>
      </c>
      <c r="F294" s="1" t="str">
        <v>BR-SC-05</v>
      </c>
      <c r="G294" s="1" t="str">
        <v>Not Run</v>
      </c>
    </row>
    <row r="295">
      <c r="A295" s="1" t="str">
        <v>SC-014</v>
      </c>
      <c r="B295" s="1" t="str">
        <v>Service Call</v>
      </c>
      <c r="C295" s="1" t="str">
        <v>Priority &amp; Status Management</v>
      </c>
      <c r="D295" s="1" t="str">
        <v>Create High Priority Service Call</v>
      </c>
      <c r="E295" s="1" t="str">
        <v>High</v>
      </c>
      <c r="F295" s="1" t="str">
        <v>BR-SC-06</v>
      </c>
      <c r="G295" s="1" t="str">
        <v>Not Run</v>
      </c>
    </row>
    <row r="296">
      <c r="A296" s="1" t="str">
        <v>SC-015</v>
      </c>
      <c r="B296" s="1" t="str">
        <v>Service Call</v>
      </c>
      <c r="C296" s="1" t="str">
        <v>Priority &amp; Status Management</v>
      </c>
      <c r="D296" s="1" t="str">
        <v>Create Low Priority Service Call</v>
      </c>
      <c r="E296" s="1" t="str">
        <v>Medium</v>
      </c>
      <c r="F296" s="1" t="str">
        <v>BR-SC-06</v>
      </c>
      <c r="G296" s="1" t="str">
        <v>Not Run</v>
      </c>
    </row>
    <row r="297">
      <c r="A297" s="1" t="str">
        <v>SC-016</v>
      </c>
      <c r="B297" s="1" t="str">
        <v>Service Call</v>
      </c>
      <c r="C297" s="1" t="str">
        <v>Priority &amp; Status Management</v>
      </c>
      <c r="D297" s="1" t="str">
        <v>Status transitions from Draft to Assigned to In Progress</v>
      </c>
      <c r="E297" s="1" t="str">
        <v>Critical</v>
      </c>
      <c r="F297" s="1" t="str">
        <v>BR-SC-07</v>
      </c>
      <c r="G297" s="1" t="str">
        <v>Not Run</v>
      </c>
    </row>
    <row r="298">
      <c r="A298" s="1" t="str">
        <v>SC-017</v>
      </c>
      <c r="B298" s="1" t="str">
        <v>Service Call</v>
      </c>
      <c r="C298" s="1" t="str">
        <v>Priority &amp; Status Management</v>
      </c>
      <c r="D298" s="1" t="str">
        <v>Status transitions from In Progress to Completed</v>
      </c>
      <c r="E298" s="1" t="str">
        <v>Critical</v>
      </c>
      <c r="F298" s="1" t="str">
        <v>BR-SC-07</v>
      </c>
      <c r="G298" s="1" t="str">
        <v>Not Run</v>
      </c>
    </row>
    <row r="299">
      <c r="A299" s="1" t="str">
        <v>SC-018</v>
      </c>
      <c r="B299" s="1" t="str">
        <v>Service Call</v>
      </c>
      <c r="C299" s="1" t="str">
        <v>Priority &amp; Status Management</v>
      </c>
      <c r="D299" s="1" t="str">
        <v>Invalid status transition is rejected with error message</v>
      </c>
      <c r="E299" s="1" t="str">
        <v>Critical</v>
      </c>
      <c r="F299" s="1" t="str">
        <v>BR-SC-07</v>
      </c>
      <c r="G299" s="1" t="str">
        <v>Not Run</v>
      </c>
    </row>
    <row r="300">
      <c r="A300" s="1" t="str">
        <v>SC-019</v>
      </c>
      <c r="B300" s="1" t="str">
        <v>Service Call</v>
      </c>
      <c r="C300" s="1" t="str">
        <v>Service Date &amp; Time</v>
      </c>
      <c r="D300" s="1" t="str">
        <v>Schedule Service Call with valid date &amp; time</v>
      </c>
      <c r="E300" s="1" t="str">
        <v>Critical</v>
      </c>
      <c r="F300" s="1" t="str">
        <v>BR-SC-09</v>
      </c>
      <c r="G300" s="1" t="str">
        <v>Not Run</v>
      </c>
    </row>
    <row r="301">
      <c r="A301" s="1" t="str">
        <v>SC-020</v>
      </c>
      <c r="B301" s="1" t="str">
        <v>Service Call</v>
      </c>
      <c r="C301" s="1" t="str">
        <v>Service Date &amp; Time</v>
      </c>
      <c r="D301" s="1" t="str">
        <v>Service date in past is rejected</v>
      </c>
      <c r="E301" s="1" t="str">
        <v>Critical</v>
      </c>
      <c r="F301" s="1" t="str">
        <v>BR-SC-09</v>
      </c>
      <c r="G301" s="1" t="str">
        <v>Not Run</v>
      </c>
    </row>
    <row r="302">
      <c r="A302" s="1" t="str">
        <v>SC-021</v>
      </c>
      <c r="B302" s="1" t="str">
        <v>Service Call</v>
      </c>
      <c r="C302" s="1" t="str">
        <v>Service Date &amp; Time</v>
      </c>
      <c r="D302" s="1" t="str">
        <v>Service date cannot be left blank</v>
      </c>
      <c r="E302" s="1" t="str">
        <v>Critical</v>
      </c>
      <c r="F302" s="1" t="str">
        <v>BR-SC-09</v>
      </c>
      <c r="G302" s="1" t="str">
        <v>Not Run</v>
      </c>
    </row>
    <row r="303">
      <c r="A303" s="1" t="str">
        <v>SC-022</v>
      </c>
      <c r="B303" s="1" t="str">
        <v>Service Call</v>
      </c>
      <c r="C303" s="1" t="str">
        <v>Service Date &amp; Time</v>
      </c>
      <c r="D303" s="1" t="str">
        <v>Service start time and end time are recorded correctly</v>
      </c>
      <c r="E303" s="1" t="str">
        <v>High</v>
      </c>
      <c r="F303" s="1" t="str">
        <v>BR-SC-09</v>
      </c>
      <c r="G303" s="1" t="str">
        <v>Not Run</v>
      </c>
    </row>
    <row r="304">
      <c r="A304" s="1" t="str">
        <v>SC-023</v>
      </c>
      <c r="B304" s="1" t="str">
        <v>Service Call</v>
      </c>
      <c r="C304" s="1" t="str">
        <v>Service Items &amp; Inventory</v>
      </c>
      <c r="D304" s="1" t="str">
        <v>Add single Service Item to Service Call</v>
      </c>
      <c r="E304" s="1" t="str">
        <v>Critical</v>
      </c>
      <c r="F304" s="1" t="str">
        <v>BR-SC-08</v>
      </c>
      <c r="G304" s="1" t="str">
        <v>Not Run</v>
      </c>
    </row>
    <row r="305">
      <c r="A305" s="1" t="str">
        <v>SC-024</v>
      </c>
      <c r="B305" s="1" t="str">
        <v>Service Call</v>
      </c>
      <c r="C305" s="1" t="str">
        <v>Service Items &amp; Inventory</v>
      </c>
      <c r="D305" s="1" t="str">
        <v>Add multiple Service Items to same Service Call</v>
      </c>
      <c r="E305" s="1" t="str">
        <v>High</v>
      </c>
      <c r="F305" s="1" t="str">
        <v>BR-SC-08</v>
      </c>
      <c r="G305" s="1" t="str">
        <v>Not Run</v>
      </c>
    </row>
    <row r="306">
      <c r="A306" s="1" t="str">
        <v>SC-025</v>
      </c>
      <c r="B306" s="1" t="str">
        <v>Service Call</v>
      </c>
      <c r="C306" s="1" t="str">
        <v>Service Items &amp; Inventory</v>
      </c>
      <c r="D306" s="1" t="str">
        <v>Delete Service Item row from Service Call</v>
      </c>
      <c r="E306" s="1" t="str">
        <v>Medium</v>
      </c>
      <c r="F306" s="1" t="str">
        <v>BR-SC-08</v>
      </c>
      <c r="G306" s="1" t="str">
        <v>Not Run</v>
      </c>
    </row>
    <row r="307">
      <c r="A307" s="1" t="str">
        <v>SC-026</v>
      </c>
      <c r="B307" s="1" t="str">
        <v>Service Call</v>
      </c>
      <c r="C307" s="1" t="str">
        <v>Service Items &amp; Inventory</v>
      </c>
      <c r="D307" s="1" t="str">
        <v>Service Item quantity can be updated</v>
      </c>
      <c r="E307" s="1" t="str">
        <v>High</v>
      </c>
      <c r="F307" s="1" t="str">
        <v>BR-SC-08</v>
      </c>
      <c r="G307" s="1" t="str">
        <v>Not Run</v>
      </c>
    </row>
    <row r="308">
      <c r="A308" s="1" t="str">
        <v>SC-027</v>
      </c>
      <c r="B308" s="1" t="str">
        <v>Service Call</v>
      </c>
      <c r="C308" s="1" t="str">
        <v>Service Items &amp; Inventory</v>
      </c>
      <c r="D308" s="1" t="str">
        <v>Out-of-stock Service Item is flagged with warning</v>
      </c>
      <c r="E308" s="1" t="str">
        <v>Critical</v>
      </c>
      <c r="F308" s="1" t="str">
        <v>BR-SC-08</v>
      </c>
      <c r="G308" s="1" t="str">
        <v>Not Run</v>
      </c>
    </row>
    <row r="309">
      <c r="A309" s="1" t="str">
        <v>SC-028</v>
      </c>
      <c r="B309" s="1" t="str">
        <v>Service Call</v>
      </c>
      <c r="C309" s="1" t="str">
        <v>Billing &amp; Cost Calculation</v>
      </c>
      <c r="D309" s="1" t="str">
        <v>Service Call total cost is calculated correctly</v>
      </c>
      <c r="E309" s="1" t="str">
        <v>Critical</v>
      </c>
      <c r="F309" s="1" t="str">
        <v>BR-SC-10</v>
      </c>
      <c r="G309" s="1" t="str">
        <v>Not Run</v>
      </c>
    </row>
    <row r="310">
      <c r="A310" s="1" t="str">
        <v>SC-029</v>
      </c>
      <c r="B310" s="1" t="str">
        <v>Service Call</v>
      </c>
      <c r="C310" s="1" t="str">
        <v>Billing &amp; Cost Calculation</v>
      </c>
      <c r="D310" s="1" t="str">
        <v>Discount applied to Service Call reduces total cost</v>
      </c>
      <c r="E310" s="1" t="str">
        <v>High</v>
      </c>
      <c r="F310" s="1" t="str">
        <v>BR-SC-10</v>
      </c>
      <c r="G310" s="1" t="str">
        <v>Not Run</v>
      </c>
    </row>
    <row r="311">
      <c r="A311" s="1" t="str">
        <v>SC-030</v>
      </c>
      <c r="B311" s="1" t="str">
        <v>Service Call</v>
      </c>
      <c r="C311" s="1" t="str">
        <v>Billing &amp; Cost Calculation</v>
      </c>
      <c r="D311" s="1" t="str">
        <v>Additional charges increase Service Call total cost</v>
      </c>
      <c r="E311" s="1" t="str">
        <v>High</v>
      </c>
      <c r="F311" s="1" t="str">
        <v>BR-SC-10</v>
      </c>
      <c r="G311" s="1" t="str">
        <v>Not Run</v>
      </c>
    </row>
    <row r="312">
      <c r="A312" s="1" t="str">
        <v>SC-031</v>
      </c>
      <c r="B312" s="1" t="str">
        <v>Service Call</v>
      </c>
      <c r="C312" s="1" t="str">
        <v>Billing &amp; Cost Calculation</v>
      </c>
      <c r="D312" s="1" t="str">
        <v>Billable flag determines invoice eligibility</v>
      </c>
      <c r="E312" s="1" t="str">
        <v>Critical</v>
      </c>
      <c r="F312" s="1" t="str">
        <v>BR-SC-10</v>
      </c>
      <c r="G312" s="1" t="str">
        <v>Not Run</v>
      </c>
    </row>
    <row r="313">
      <c r="A313" s="1" t="str">
        <v>SC-032</v>
      </c>
      <c r="B313" s="1" t="str">
        <v>Service Call</v>
      </c>
      <c r="C313" s="1" t="str">
        <v>SLA &amp; Warranty</v>
      </c>
      <c r="D313" s="1" t="str">
        <v>Service Call within warranty period is marked correctly</v>
      </c>
      <c r="E313" s="1" t="str">
        <v>Critical</v>
      </c>
      <c r="F313" s="1" t="str">
        <v>BR-SC-11</v>
      </c>
      <c r="G313" s="1" t="str">
        <v>Not Run</v>
      </c>
    </row>
    <row r="314">
      <c r="A314" s="1" t="str">
        <v>SC-033</v>
      </c>
      <c r="B314" s="1" t="str">
        <v>Service Call</v>
      </c>
      <c r="C314" s="1" t="str">
        <v>SLA &amp; Warranty</v>
      </c>
      <c r="D314" s="1" t="str">
        <v>Service Call outside warranty period is marked correctly</v>
      </c>
      <c r="E314" s="1" t="str">
        <v>Critical</v>
      </c>
      <c r="F314" s="1" t="str">
        <v>BR-SC-11</v>
      </c>
      <c r="G314" s="1" t="str">
        <v>Not Run</v>
      </c>
    </row>
    <row r="315">
      <c r="A315" s="1" t="str">
        <v>SC-034</v>
      </c>
      <c r="B315" s="1" t="str">
        <v>Service Call</v>
      </c>
      <c r="C315" s="1" t="str">
        <v>SLA &amp; Warranty</v>
      </c>
      <c r="D315" s="1" t="str">
        <v>SLA response time is tracked and validated</v>
      </c>
      <c r="E315" s="1" t="str">
        <v>Critical</v>
      </c>
      <c r="F315" s="1" t="str">
        <v>BR-SC-11</v>
      </c>
      <c r="G315" s="1" t="str">
        <v>Not Run</v>
      </c>
    </row>
    <row r="316">
      <c r="A316" s="1" t="str">
        <v>SC-035</v>
      </c>
      <c r="B316" s="1" t="str">
        <v>Service Call</v>
      </c>
      <c r="C316" s="1" t="str">
        <v>Documentation</v>
      </c>
      <c r="D316" s="1" t="str">
        <v>Attach document (image/PDF) to Service Call</v>
      </c>
      <c r="E316" s="1" t="str">
        <v>High</v>
      </c>
      <c r="F316" s="1" t="str">
        <v>BR-SC-12</v>
      </c>
      <c r="G316" s="1" t="str">
        <v>Not Run</v>
      </c>
    </row>
    <row r="317">
      <c r="A317" s="1" t="str">
        <v>SC-036</v>
      </c>
      <c r="B317" s="1" t="str">
        <v>Service Call</v>
      </c>
      <c r="C317" s="1" t="str">
        <v>Documentation</v>
      </c>
      <c r="D317" s="1" t="str">
        <v>Add internal notes to Service Call</v>
      </c>
      <c r="E317" s="1" t="str">
        <v>High</v>
      </c>
      <c r="F317" s="1" t="str">
        <v>BR-SC-12</v>
      </c>
      <c r="G317" s="1" t="str">
        <v>Not Run</v>
      </c>
    </row>
    <row r="318">
      <c r="A318" s="1" t="str">
        <v>SC-037</v>
      </c>
      <c r="B318" s="1" t="str">
        <v>Service Call</v>
      </c>
      <c r="C318" s="1" t="str">
        <v>Documentation</v>
      </c>
      <c r="D318" s="1" t="str">
        <v>Add customer-visible remarks to Service Call</v>
      </c>
      <c r="E318" s="1" t="str">
        <v>High</v>
      </c>
      <c r="F318" s="1" t="str">
        <v>BR-SC-12</v>
      </c>
      <c r="G318" s="1" t="str">
        <v>Not Run</v>
      </c>
    </row>
    <row r="319">
      <c r="A319" s="1" t="str">
        <v>SC-038</v>
      </c>
      <c r="B319" s="1" t="str">
        <v>Service Call</v>
      </c>
      <c r="C319" s="1" t="str">
        <v>Documentation</v>
      </c>
      <c r="D319" s="1" t="str">
        <v>Delete attached document from Service Call</v>
      </c>
      <c r="E319" s="1" t="str">
        <v>Medium</v>
      </c>
      <c r="F319" s="1" t="str">
        <v>BR-SC-12</v>
      </c>
      <c r="G319" s="1" t="str">
        <v>Not Run</v>
      </c>
    </row>
    <row r="320">
      <c r="A320" s="1" t="str">
        <v>SC-039</v>
      </c>
      <c r="B320" s="1" t="str">
        <v>Service Call</v>
      </c>
      <c r="C320" s="1" t="str">
        <v>Data Validation</v>
      </c>
      <c r="D320" s="1" t="str">
        <v>Service Call with missing mandatory fields cannot be saved</v>
      </c>
      <c r="E320" s="1" t="str">
        <v>Critical</v>
      </c>
      <c r="F320" s="1" t="str">
        <v>BR-SC-01</v>
      </c>
      <c r="G320" s="1" t="str">
        <v>Not Run</v>
      </c>
    </row>
    <row r="321">
      <c r="A321" s="1" t="str">
        <v>SC-040</v>
      </c>
      <c r="B321" s="1" t="str">
        <v>Service Call</v>
      </c>
      <c r="C321" s="1" t="str">
        <v>Data Validation</v>
      </c>
      <c r="D321" s="1" t="str">
        <v>Invalid email format in contact field is rejected</v>
      </c>
      <c r="E321" s="1" t="str">
        <v>Critical</v>
      </c>
      <c r="F321" s="1" t="str">
        <v>BR-SC-13</v>
      </c>
      <c r="G321" s="1" t="str">
        <v>Not Run</v>
      </c>
    </row>
    <row r="322">
      <c r="A322" s="1" t="str">
        <v>SC-041</v>
      </c>
      <c r="B322" s="1" t="str">
        <v>Service Call</v>
      </c>
      <c r="C322" s="1" t="str">
        <v>Data Validation</v>
      </c>
      <c r="D322" s="1" t="str">
        <v>Invalid phone number format is rejected</v>
      </c>
      <c r="E322" s="1" t="str">
        <v>Critical</v>
      </c>
      <c r="F322" s="1" t="str">
        <v>BR-SC-13</v>
      </c>
      <c r="G322" s="1" t="str">
        <v>Not Run</v>
      </c>
    </row>
    <row r="323">
      <c r="A323" s="1" t="str">
        <v>SC-042</v>
      </c>
      <c r="B323" s="1" t="str">
        <v>Service Call</v>
      </c>
      <c r="C323" s="1" t="str">
        <v>Editing &amp; Updates</v>
      </c>
      <c r="D323" s="1" t="str">
        <v>Edit existing Service Call details</v>
      </c>
      <c r="E323" s="1" t="str">
        <v>High</v>
      </c>
      <c r="F323" s="1" t="str">
        <v>BR-SC-14</v>
      </c>
      <c r="G323" s="1" t="str">
        <v>Not Run</v>
      </c>
    </row>
    <row r="324">
      <c r="A324" s="1" t="str">
        <v>SC-043</v>
      </c>
      <c r="B324" s="1" t="str">
        <v>Service Call</v>
      </c>
      <c r="C324" s="1" t="str">
        <v>Editing &amp; Updates</v>
      </c>
      <c r="D324" s="1" t="str">
        <v>Edit Service Call after status change is restricted</v>
      </c>
      <c r="E324" s="1" t="str">
        <v>Critical</v>
      </c>
      <c r="F324" s="1" t="str">
        <v>BR-SC-14</v>
      </c>
      <c r="G324" s="1" t="str">
        <v>Not Run</v>
      </c>
    </row>
    <row r="325">
      <c r="A325" s="1" t="str">
        <v>SC-044</v>
      </c>
      <c r="B325" s="1" t="str">
        <v>Service Call</v>
      </c>
      <c r="C325" s="1" t="str">
        <v>Editing &amp; Updates</v>
      </c>
      <c r="D325" s="1" t="str">
        <v>Edit Service Call technician assignment after creation</v>
      </c>
      <c r="E325" s="1" t="str">
        <v>High</v>
      </c>
      <c r="F325" s="1" t="str">
        <v>BR-SC-05</v>
      </c>
      <c r="G325" s="1" t="str">
        <v>Not Run</v>
      </c>
    </row>
    <row r="326">
      <c r="A326" s="1" t="str">
        <v>SC-045</v>
      </c>
      <c r="B326" s="1" t="str">
        <v>Service Call</v>
      </c>
      <c r="C326" s="1" t="str">
        <v>Bulk Operations</v>
      </c>
      <c r="D326" s="1" t="str">
        <v>Duplicate existing Service Call</v>
      </c>
      <c r="E326" s="1" t="str">
        <v>High</v>
      </c>
      <c r="F326" s="1" t="str">
        <v>BR-SC-15</v>
      </c>
      <c r="G326" s="1" t="str">
        <v>Not Run</v>
      </c>
    </row>
    <row r="327">
      <c r="A327" s="1" t="str">
        <v>SC-046</v>
      </c>
      <c r="B327" s="1" t="str">
        <v>Service Call</v>
      </c>
      <c r="C327" s="1" t="str">
        <v>Bulk Operations</v>
      </c>
      <c r="D327" s="1" t="str">
        <v>Delete Service Call (permitted status only)</v>
      </c>
      <c r="E327" s="1" t="str">
        <v>Critical</v>
      </c>
      <c r="F327" s="1" t="str">
        <v>BR-SC-15</v>
      </c>
      <c r="G327" s="1" t="str">
        <v>Not Run</v>
      </c>
    </row>
    <row r="328">
      <c r="A328" s="1" t="str">
        <v>SC-047</v>
      </c>
      <c r="B328" s="1" t="str">
        <v>Service Call</v>
      </c>
      <c r="C328" s="1" t="str">
        <v>Bulk Operations</v>
      </c>
      <c r="D328" s="1" t="str">
        <v>Bulk update Service Call status</v>
      </c>
      <c r="E328" s="1" t="str">
        <v>High</v>
      </c>
      <c r="F328" s="1" t="str">
        <v>BR-SC-07</v>
      </c>
      <c r="G328" s="1" t="str">
        <v>Not Run</v>
      </c>
    </row>
    <row r="329">
      <c r="A329" s="1" t="str">
        <v>SC-048</v>
      </c>
      <c r="B329" s="1" t="str">
        <v>Service Call</v>
      </c>
      <c r="C329" s="1" t="str">
        <v>Permissions &amp; Access</v>
      </c>
      <c r="D329" s="1" t="str">
        <v>Technician views only assigned Service Calls</v>
      </c>
      <c r="E329" s="1" t="str">
        <v>Critical</v>
      </c>
      <c r="F329" s="1" t="str">
        <v>BR-SC-16</v>
      </c>
      <c r="G329" s="1" t="str">
        <v>Not Run</v>
      </c>
    </row>
    <row r="330">
      <c r="A330" s="1" t="str">
        <v>SC-049</v>
      </c>
      <c r="B330" s="1" t="str">
        <v>Service Call</v>
      </c>
      <c r="C330" s="1" t="str">
        <v>Permissions &amp; Access</v>
      </c>
      <c r="D330" s="1" t="str">
        <v>Customer views only their own Service Calls</v>
      </c>
      <c r="E330" s="1" t="str">
        <v>Critical</v>
      </c>
      <c r="F330" s="1" t="str">
        <v>BR-SC-16</v>
      </c>
      <c r="G330" s="1" t="str">
        <v>Not Run</v>
      </c>
    </row>
    <row r="331">
      <c r="A331" s="1" t="str">
        <v>SC-050</v>
      </c>
      <c r="B331" s="1" t="str">
        <v>Service Call</v>
      </c>
      <c r="C331" s="1" t="str">
        <v>Permissions &amp; Access</v>
      </c>
      <c r="D331" s="1" t="str">
        <v>Manager can approve/reject Service Calls</v>
      </c>
      <c r="E331" s="1" t="str">
        <v>Critical</v>
      </c>
      <c r="F331" s="1" t="str">
        <v>BR-SC-16</v>
      </c>
      <c r="G331" s="1" t="str">
        <v>Not Run</v>
      </c>
    </row>
  </sheetData>
  <mergeCells count="9">
    <mergeCell ref="A1:L1"/>
    <mergeCell ref="A2:L2"/>
    <mergeCell ref="A5:L5"/>
    <mergeCell ref="A27:L27"/>
    <mergeCell ref="A60:L60"/>
    <mergeCell ref="A101:L101"/>
    <mergeCell ref="A154:L154"/>
    <mergeCell ref="A215:L215"/>
    <mergeCell ref="A281:L281"/>
  </mergeCells>
  <pageMargins left="0.75" right="0.75" top="1" bottom="1" header="0.511811023622047" footer="0.511811023622047"/>
  <ignoredErrors>
    <ignoredError numberStoredAsText="1" sqref="A1:L3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331"/>
  <sheetViews>
    <sheetView workbookViewId="0" rightToLeft="0"/>
  </sheetViews>
  <sheetData>
    <row r="1">
      <c r="A1" s="1" t="str">
        <v>AMC Core — Master Test Execution Run Tracker</v>
      </c>
    </row>
    <row r="2">
      <c r="A2" s="1" t="str">
        <v>Each Run column = one full execution cycle. Formulas auto-calculate pass rate per test case.</v>
      </c>
    </row>
    <row r="4">
      <c r="A4" s="1" t="str">
        <v>Test ID</v>
      </c>
      <c r="B4" s="1" t="str">
        <v>DocType</v>
      </c>
      <c r="C4" s="1" t="str">
        <v>Module</v>
      </c>
      <c r="D4" s="1" t="str">
        <v>Title</v>
      </c>
      <c r="E4" s="1" t="str">
        <v>Priority</v>
      </c>
      <c r="F4" s="1" t="str">
        <v>Run 1</v>
      </c>
      <c r="G4" s="1" t="str">
        <v>Run 2</v>
      </c>
      <c r="H4" s="1" t="str">
        <v>Run 3</v>
      </c>
      <c r="I4" s="1" t="str">
        <v>Run 4</v>
      </c>
      <c r="J4" s="1" t="str">
        <v>Run 5</v>
      </c>
      <c r="K4" s="1" t="str">
        <v>Run 6</v>
      </c>
      <c r="L4" s="1" t="str">
        <v>Total Runs</v>
      </c>
      <c r="M4" s="1" t="str">
        <v>Pass</v>
      </c>
      <c r="N4" s="1" t="str">
        <v>Fail</v>
      </c>
      <c r="O4" s="1" t="str">
        <v>Pass Rate</v>
      </c>
    </row>
    <row r="5">
      <c r="A5" s="1" t="str">
        <v>▌ AMC Customers</v>
      </c>
    </row>
    <row r="6">
      <c r="A6" s="1" t="str">
        <v>CUST-001</v>
      </c>
      <c r="B6" s="1" t="str">
        <v>AMC Customers</v>
      </c>
      <c r="C6" s="1" t="str">
        <v>Customer Creation &amp; Basic Details</v>
      </c>
      <c r="D6" s="1" t="str">
        <v>Create customer with Customer Name only (minimum required)</v>
      </c>
      <c r="E6" s="1" t="str">
        <v>Critical</v>
      </c>
      <c r="F6" s="1" t="str">
        <v>Not Run</v>
      </c>
      <c r="G6" s="1" t="str">
        <v>Not Run</v>
      </c>
      <c r="H6" s="1" t="str">
        <v>Not Run</v>
      </c>
      <c r="I6" s="1" t="str">
        <v>Not Run</v>
      </c>
      <c r="J6" s="1" t="str">
        <v>Not Run</v>
      </c>
      <c r="K6" s="1" t="str">
        <v>Not Run</v>
      </c>
      <c r="L6" s="1">
        <f>COUNTA(F6:K6)</f>
        <v>6</v>
      </c>
      <c r="M6" s="1">
        <f>COUNTIF(F6:K6,"Pass")</f>
        <v>0</v>
      </c>
      <c r="N6" s="1">
        <f>COUNTIF(F6:K6,"Fail")</f>
        <v>0</v>
      </c>
      <c r="O6" s="1" t="str">
        <f>IF(M6=0,"-",M6/L6)</f>
        <v>-</v>
      </c>
    </row>
    <row r="7">
      <c r="A7" s="1" t="str">
        <v>CUST-002</v>
      </c>
      <c r="B7" s="1" t="str">
        <v>AMC Customers</v>
      </c>
      <c r="C7" s="1" t="str">
        <v>Customer Creation &amp; Basic Details</v>
      </c>
      <c r="D7" s="1" t="str">
        <v>Create Company customer with all basic fields (Name, Type, GST, PAN)</v>
      </c>
      <c r="E7" s="1" t="str">
        <v>Critical</v>
      </c>
      <c r="F7" s="1" t="str">
        <v>Not Run</v>
      </c>
      <c r="G7" s="1" t="str">
        <v>Not Run</v>
      </c>
      <c r="H7" s="1" t="str">
        <v>Not Run</v>
      </c>
      <c r="I7" s="1" t="str">
        <v>Not Run</v>
      </c>
      <c r="J7" s="1" t="str">
        <v>Not Run</v>
      </c>
      <c r="K7" s="1" t="str">
        <v>Not Run</v>
      </c>
      <c r="L7" s="1">
        <f>COUNTA(F7:K7)</f>
        <v>6</v>
      </c>
      <c r="M7" s="1">
        <f>COUNTIF(F7:K7,"Pass")</f>
        <v>0</v>
      </c>
      <c r="N7" s="1">
        <f>COUNTIF(F7:K7,"Fail")</f>
        <v>0</v>
      </c>
      <c r="O7" s="1" t="str">
        <f>IF(M7=0,"-",M7/L7)</f>
        <v>-</v>
      </c>
    </row>
    <row r="8">
      <c r="A8" s="1" t="str">
        <v>CUST-003</v>
      </c>
      <c r="B8" s="1" t="str">
        <v>AMC Customers</v>
      </c>
      <c r="C8" s="1" t="str">
        <v>Customer Creation &amp; Basic Details</v>
      </c>
      <c r="D8" s="1" t="str">
        <v>Create Individual customer type</v>
      </c>
      <c r="E8" s="1" t="str">
        <v>High</v>
      </c>
      <c r="F8" s="1" t="str">
        <v>Not Run</v>
      </c>
      <c r="G8" s="1" t="str">
        <v>Not Run</v>
      </c>
      <c r="H8" s="1" t="str">
        <v>Not Run</v>
      </c>
      <c r="I8" s="1" t="str">
        <v>Not Run</v>
      </c>
      <c r="J8" s="1" t="str">
        <v>Not Run</v>
      </c>
      <c r="K8" s="1" t="str">
        <v>Not Run</v>
      </c>
      <c r="L8" s="1">
        <f>COUNTA(F8:K8)</f>
        <v>6</v>
      </c>
      <c r="M8" s="1">
        <f>COUNTIF(F8:K8,"Pass")</f>
        <v>0</v>
      </c>
      <c r="N8" s="1">
        <f>COUNTIF(F8:K8,"Fail")</f>
        <v>0</v>
      </c>
      <c r="O8" s="1" t="str">
        <f>IF(M8=0,"-",M8/L8)</f>
        <v>-</v>
      </c>
    </row>
    <row r="9">
      <c r="A9" s="1" t="str">
        <v>CUST-004</v>
      </c>
      <c r="B9" s="1" t="str">
        <v>AMC Customers</v>
      </c>
      <c r="C9" s="1" t="str">
        <v>Customer Creation &amp; Basic Details</v>
      </c>
      <c r="D9" s="1" t="str">
        <v>Create Partnership customer type</v>
      </c>
      <c r="E9" s="1" t="str">
        <v>High</v>
      </c>
      <c r="F9" s="1" t="str">
        <v>Not Run</v>
      </c>
      <c r="G9" s="1" t="str">
        <v>Not Run</v>
      </c>
      <c r="H9" s="1" t="str">
        <v>Not Run</v>
      </c>
      <c r="I9" s="1" t="str">
        <v>Not Run</v>
      </c>
      <c r="J9" s="1" t="str">
        <v>Not Run</v>
      </c>
      <c r="K9" s="1" t="str">
        <v>Not Run</v>
      </c>
      <c r="L9" s="1">
        <f>COUNTA(F9:K9)</f>
        <v>6</v>
      </c>
      <c r="M9" s="1">
        <f>COUNTIF(F9:K9,"Pass")</f>
        <v>0</v>
      </c>
      <c r="N9" s="1">
        <f>COUNTIF(F9:K9,"Fail")</f>
        <v>0</v>
      </c>
      <c r="O9" s="1" t="str">
        <f>IF(M9=0,"-",M9/L9)</f>
        <v>-</v>
      </c>
    </row>
    <row r="10">
      <c r="A10" s="1" t="str">
        <v>CUST-005</v>
      </c>
      <c r="B10" s="1" t="str">
        <v>AMC Customers</v>
      </c>
      <c r="C10" s="1" t="str">
        <v>GST Validation</v>
      </c>
      <c r="D10" s="1" t="str">
        <v>Valid 15-character GSTIN is accepted</v>
      </c>
      <c r="E10" s="1" t="str">
        <v>Critical</v>
      </c>
      <c r="F10" s="1" t="str">
        <v>Not Run</v>
      </c>
      <c r="G10" s="1" t="str">
        <v>Not Run</v>
      </c>
      <c r="H10" s="1" t="str">
        <v>Not Run</v>
      </c>
      <c r="I10" s="1" t="str">
        <v>Not Run</v>
      </c>
      <c r="J10" s="1" t="str">
        <v>Not Run</v>
      </c>
      <c r="K10" s="1" t="str">
        <v>Not Run</v>
      </c>
      <c r="L10" s="1">
        <f>COUNTA(F10:K10)</f>
        <v>6</v>
      </c>
      <c r="M10" s="1">
        <f>COUNTIF(F10:K10,"Pass")</f>
        <v>0</v>
      </c>
      <c r="N10" s="1">
        <f>COUNTIF(F10:K10,"Fail")</f>
        <v>0</v>
      </c>
      <c r="O10" s="1" t="str">
        <f>IF(M10=0,"-",M10/L10)</f>
        <v>-</v>
      </c>
    </row>
    <row r="11">
      <c r="A11" s="1" t="str">
        <v>CUST-006</v>
      </c>
      <c r="B11" s="1" t="str">
        <v>AMC Customers</v>
      </c>
      <c r="C11" s="1" t="str">
        <v>GST Validation</v>
      </c>
      <c r="D11" s="1" t="str">
        <v>Invalid GST format is rejected with specific error message</v>
      </c>
      <c r="E11" s="1" t="str">
        <v>Critical</v>
      </c>
      <c r="F11" s="1" t="str">
        <v>Not Run</v>
      </c>
      <c r="G11" s="1" t="str">
        <v>Not Run</v>
      </c>
      <c r="H11" s="1" t="str">
        <v>Not Run</v>
      </c>
      <c r="I11" s="1" t="str">
        <v>Not Run</v>
      </c>
      <c r="J11" s="1" t="str">
        <v>Not Run</v>
      </c>
      <c r="K11" s="1" t="str">
        <v>Not Run</v>
      </c>
      <c r="L11" s="1">
        <f>COUNTA(F11:K11)</f>
        <v>6</v>
      </c>
      <c r="M11" s="1">
        <f>COUNTIF(F11:K11,"Pass")</f>
        <v>0</v>
      </c>
      <c r="N11" s="1">
        <f>COUNTIF(F11:K11,"Fail")</f>
        <v>0</v>
      </c>
      <c r="O11" s="1" t="str">
        <f>IF(M11=0,"-",M11/L11)</f>
        <v>-</v>
      </c>
    </row>
    <row r="12">
      <c r="A12" s="1" t="str">
        <v>CUST-007</v>
      </c>
      <c r="B12" s="1" t="str">
        <v>AMC Customers</v>
      </c>
      <c r="C12" s="1" t="str">
        <v>GST Validation</v>
      </c>
      <c r="D12" s="1" t="str">
        <v>Duplicate GSTIN across two customers is blocked</v>
      </c>
      <c r="E12" s="1" t="str">
        <v>Critical</v>
      </c>
      <c r="F12" s="1" t="str">
        <v>Not Run</v>
      </c>
      <c r="G12" s="1" t="str">
        <v>Not Run</v>
      </c>
      <c r="H12" s="1" t="str">
        <v>Not Run</v>
      </c>
      <c r="I12" s="1" t="str">
        <v>Not Run</v>
      </c>
      <c r="J12" s="1" t="str">
        <v>Not Run</v>
      </c>
      <c r="K12" s="1" t="str">
        <v>Not Run</v>
      </c>
      <c r="L12" s="1">
        <f>COUNTA(F12:K12)</f>
        <v>6</v>
      </c>
      <c r="M12" s="1">
        <f>COUNTIF(F12:K12,"Pass")</f>
        <v>0</v>
      </c>
      <c r="N12" s="1">
        <f>COUNTIF(F12:K12,"Fail")</f>
        <v>0</v>
      </c>
      <c r="O12" s="1" t="str">
        <f>IF(M12=0,"-",M12/L12)</f>
        <v>-</v>
      </c>
    </row>
    <row r="13">
      <c r="A13" s="1" t="str">
        <v>CUST-008</v>
      </c>
      <c r="B13" s="1" t="str">
        <v>AMC Customers</v>
      </c>
      <c r="C13" s="1" t="str">
        <v>GST Validation</v>
      </c>
      <c r="D13" s="1" t="str">
        <v>GST field can be left blank (optional for Individual)</v>
      </c>
      <c r="E13" s="1" t="str">
        <v>High</v>
      </c>
      <c r="F13" s="1" t="str">
        <v>Not Run</v>
      </c>
      <c r="G13" s="1" t="str">
        <v>Not Run</v>
      </c>
      <c r="H13" s="1" t="str">
        <v>Not Run</v>
      </c>
      <c r="I13" s="1" t="str">
        <v>Not Run</v>
      </c>
      <c r="J13" s="1" t="str">
        <v>Not Run</v>
      </c>
      <c r="K13" s="1" t="str">
        <v>Not Run</v>
      </c>
      <c r="L13" s="1">
        <f>COUNTA(F13:K13)</f>
        <v>6</v>
      </c>
      <c r="M13" s="1">
        <f>COUNTIF(F13:K13,"Pass")</f>
        <v>0</v>
      </c>
      <c r="N13" s="1">
        <f>COUNTIF(F13:K13,"Fail")</f>
        <v>0</v>
      </c>
      <c r="O13" s="1" t="str">
        <f>IF(M13=0,"-",M13/L13)</f>
        <v>-</v>
      </c>
    </row>
    <row r="14">
      <c r="A14" s="1" t="str">
        <v>CUST-009</v>
      </c>
      <c r="B14" s="1" t="str">
        <v>AMC Customers</v>
      </c>
      <c r="C14" s="1" t="str">
        <v>GST Validation</v>
      </c>
      <c r="D14" s="1" t="str">
        <v>Duplicate PAN across two customers is blocked</v>
      </c>
      <c r="E14" s="1" t="str">
        <v>High</v>
      </c>
      <c r="F14" s="1" t="str">
        <v>Not Run</v>
      </c>
      <c r="G14" s="1" t="str">
        <v>Not Run</v>
      </c>
      <c r="H14" s="1" t="str">
        <v>Not Run</v>
      </c>
      <c r="I14" s="1" t="str">
        <v>Not Run</v>
      </c>
      <c r="J14" s="1" t="str">
        <v>Not Run</v>
      </c>
      <c r="K14" s="1" t="str">
        <v>Not Run</v>
      </c>
      <c r="L14" s="1">
        <f>COUNTA(F14:K14)</f>
        <v>6</v>
      </c>
      <c r="M14" s="1">
        <f>COUNTIF(F14:K14,"Pass")</f>
        <v>0</v>
      </c>
      <c r="N14" s="1">
        <f>COUNTIF(F14:K14,"Fail")</f>
        <v>0</v>
      </c>
      <c r="O14" s="1" t="str">
        <f>IF(M14=0,"-",M14/L14)</f>
        <v>-</v>
      </c>
    </row>
    <row r="15">
      <c r="A15" s="1" t="str">
        <v>CUST-010</v>
      </c>
      <c r="B15" s="1" t="str">
        <v>AMC Customers</v>
      </c>
      <c r="C15" s="1" t="str">
        <v>Branch Locations</v>
      </c>
      <c r="D15" s="1" t="str">
        <v>Add single branch location to customer</v>
      </c>
      <c r="E15" s="1" t="str">
        <v>Critical</v>
      </c>
      <c r="F15" s="1" t="str">
        <v>Not Run</v>
      </c>
      <c r="G15" s="1" t="str">
        <v>Not Run</v>
      </c>
      <c r="H15" s="1" t="str">
        <v>Not Run</v>
      </c>
      <c r="I15" s="1" t="str">
        <v>Not Run</v>
      </c>
      <c r="J15" s="1" t="str">
        <v>Not Run</v>
      </c>
      <c r="K15" s="1" t="str">
        <v>Not Run</v>
      </c>
      <c r="L15" s="1">
        <f>COUNTA(F15:K15)</f>
        <v>6</v>
      </c>
      <c r="M15" s="1">
        <f>COUNTIF(F15:K15,"Pass")</f>
        <v>0</v>
      </c>
      <c r="N15" s="1">
        <f>COUNTIF(F15:K15,"Fail")</f>
        <v>0</v>
      </c>
      <c r="O15" s="1" t="str">
        <f>IF(M15=0,"-",M15/L15)</f>
        <v>-</v>
      </c>
    </row>
    <row r="16">
      <c r="A16" s="1" t="str">
        <v>CUST-011</v>
      </c>
      <c r="B16" s="1" t="str">
        <v>AMC Customers</v>
      </c>
      <c r="C16" s="1" t="str">
        <v>Branch Locations</v>
      </c>
      <c r="D16" s="1" t="str">
        <v>Add multiple branch locations to same customer</v>
      </c>
      <c r="E16" s="1" t="str">
        <v>High</v>
      </c>
      <c r="F16" s="1" t="str">
        <v>Not Run</v>
      </c>
      <c r="G16" s="1" t="str">
        <v>Not Run</v>
      </c>
      <c r="H16" s="1" t="str">
        <v>Not Run</v>
      </c>
      <c r="I16" s="1" t="str">
        <v>Not Run</v>
      </c>
      <c r="J16" s="1" t="str">
        <v>Not Run</v>
      </c>
      <c r="K16" s="1" t="str">
        <v>Not Run</v>
      </c>
      <c r="L16" s="1">
        <f>COUNTA(F16:K16)</f>
        <v>6</v>
      </c>
      <c r="M16" s="1">
        <f>COUNTIF(F16:K16,"Pass")</f>
        <v>0</v>
      </c>
      <c r="N16" s="1">
        <f>COUNTIF(F16:K16,"Fail")</f>
        <v>0</v>
      </c>
      <c r="O16" s="1" t="str">
        <f>IF(M16=0,"-",M16/L16)</f>
        <v>-</v>
      </c>
    </row>
    <row r="17">
      <c r="A17" s="1" t="str">
        <v>CUST-012</v>
      </c>
      <c r="B17" s="1" t="str">
        <v>AMC Customers</v>
      </c>
      <c r="C17" s="1" t="str">
        <v>Branch Locations</v>
      </c>
      <c r="D17" s="1" t="str">
        <v>Delete a branch location row</v>
      </c>
      <c r="E17" s="1" t="str">
        <v>Medium</v>
      </c>
      <c r="F17" s="1" t="str">
        <v>Not Run</v>
      </c>
      <c r="G17" s="1" t="str">
        <v>Not Run</v>
      </c>
      <c r="H17" s="1" t="str">
        <v>Not Run</v>
      </c>
      <c r="I17" s="1" t="str">
        <v>Not Run</v>
      </c>
      <c r="J17" s="1" t="str">
        <v>Not Run</v>
      </c>
      <c r="K17" s="1" t="str">
        <v>Not Run</v>
      </c>
      <c r="L17" s="1">
        <f>COUNTA(F17:K17)</f>
        <v>6</v>
      </c>
      <c r="M17" s="1">
        <f>COUNTIF(F17:K17,"Pass")</f>
        <v>0</v>
      </c>
      <c r="N17" s="1">
        <f>COUNTIF(F17:K17,"Fail")</f>
        <v>0</v>
      </c>
      <c r="O17" s="1" t="str">
        <f>IF(M17=0,"-",M17/L17)</f>
        <v>-</v>
      </c>
    </row>
    <row r="18">
      <c r="A18" s="1" t="str">
        <v>CUST-013</v>
      </c>
      <c r="B18" s="1" t="str">
        <v>AMC Customers</v>
      </c>
      <c r="C18" s="1" t="str">
        <v>Branch Locations</v>
      </c>
      <c r="D18" s="1" t="str">
        <v>Branch on AMC Contract is filtered by selected customer</v>
      </c>
      <c r="E18" s="1" t="str">
        <v>High</v>
      </c>
      <c r="F18" s="1" t="str">
        <v>Not Run</v>
      </c>
      <c r="G18" s="1" t="str">
        <v>Not Run</v>
      </c>
      <c r="H18" s="1" t="str">
        <v>Not Run</v>
      </c>
      <c r="I18" s="1" t="str">
        <v>Not Run</v>
      </c>
      <c r="J18" s="1" t="str">
        <v>Not Run</v>
      </c>
      <c r="K18" s="1" t="str">
        <v>Not Run</v>
      </c>
      <c r="L18" s="1">
        <f>COUNTA(F18:K18)</f>
        <v>6</v>
      </c>
      <c r="M18" s="1">
        <f>COUNTIF(F18:K18,"Pass")</f>
        <v>0</v>
      </c>
      <c r="N18" s="1">
        <f>COUNTIF(F18:K18,"Fail")</f>
        <v>0</v>
      </c>
      <c r="O18" s="1" t="str">
        <f>IF(M18=0,"-",M18/L18)</f>
        <v>-</v>
      </c>
    </row>
    <row r="19">
      <c r="A19" s="1" t="str">
        <v>CUST-014</v>
      </c>
      <c r="B19" s="1" t="str">
        <v>AMC Customers</v>
      </c>
      <c r="C19" s="1" t="str">
        <v>Contact Details</v>
      </c>
      <c r="D19" s="1" t="str">
        <v>Add primary contact to customer</v>
      </c>
      <c r="E19" s="1" t="str">
        <v>Critical</v>
      </c>
      <c r="F19" s="1" t="str">
        <v>Not Run</v>
      </c>
      <c r="G19" s="1" t="str">
        <v>Not Run</v>
      </c>
      <c r="H19" s="1" t="str">
        <v>Not Run</v>
      </c>
      <c r="I19" s="1" t="str">
        <v>Not Run</v>
      </c>
      <c r="J19" s="1" t="str">
        <v>Not Run</v>
      </c>
      <c r="K19" s="1" t="str">
        <v>Not Run</v>
      </c>
      <c r="L19" s="1">
        <f>COUNTA(F19:K19)</f>
        <v>6</v>
      </c>
      <c r="M19" s="1">
        <f>COUNTIF(F19:K19,"Pass")</f>
        <v>0</v>
      </c>
      <c r="N19" s="1">
        <f>COUNTIF(F19:K19,"Fail")</f>
        <v>0</v>
      </c>
      <c r="O19" s="1" t="str">
        <f>IF(M19=0,"-",M19/L19)</f>
        <v>-</v>
      </c>
    </row>
    <row r="20">
      <c r="A20" s="1" t="str">
        <v>CUST-015</v>
      </c>
      <c r="B20" s="1" t="str">
        <v>AMC Customers</v>
      </c>
      <c r="C20" s="1" t="str">
        <v>Contact Details</v>
      </c>
      <c r="D20" s="1" t="str">
        <v>Only one contact marked as Is Primary per customer</v>
      </c>
      <c r="E20" s="1" t="str">
        <v>High</v>
      </c>
      <c r="F20" s="1" t="str">
        <v>Not Run</v>
      </c>
      <c r="G20" s="1" t="str">
        <v>Not Run</v>
      </c>
      <c r="H20" s="1" t="str">
        <v>Not Run</v>
      </c>
      <c r="I20" s="1" t="str">
        <v>Not Run</v>
      </c>
      <c r="J20" s="1" t="str">
        <v>Not Run</v>
      </c>
      <c r="K20" s="1" t="str">
        <v>Not Run</v>
      </c>
      <c r="L20" s="1">
        <f>COUNTA(F20:K20)</f>
        <v>6</v>
      </c>
      <c r="M20" s="1">
        <f>COUNTIF(F20:K20,"Pass")</f>
        <v>0</v>
      </c>
      <c r="N20" s="1">
        <f>COUNTIF(F20:K20,"Fail")</f>
        <v>0</v>
      </c>
      <c r="O20" s="1" t="str">
        <f>IF(M20=0,"-",M20/L20)</f>
        <v>-</v>
      </c>
    </row>
    <row r="21">
      <c r="A21" s="1" t="str">
        <v>CUST-016</v>
      </c>
      <c r="B21" s="1" t="str">
        <v>AMC Customers</v>
      </c>
      <c r="C21" s="1" t="str">
        <v>Contact Details</v>
      </c>
      <c r="D21" s="1" t="str">
        <v>Contact Person on AMC Contract filtered by selected Branch</v>
      </c>
      <c r="E21" s="1" t="str">
        <v>High</v>
      </c>
      <c r="F21" s="1" t="str">
        <v>Not Run</v>
      </c>
      <c r="G21" s="1" t="str">
        <v>Not Run</v>
      </c>
      <c r="H21" s="1" t="str">
        <v>Not Run</v>
      </c>
      <c r="I21" s="1" t="str">
        <v>Not Run</v>
      </c>
      <c r="J21" s="1" t="str">
        <v>Not Run</v>
      </c>
      <c r="K21" s="1" t="str">
        <v>Not Run</v>
      </c>
      <c r="L21" s="1">
        <f>COUNTA(F21:K21)</f>
        <v>6</v>
      </c>
      <c r="M21" s="1">
        <f>COUNTIF(F21:K21,"Pass")</f>
        <v>0</v>
      </c>
      <c r="N21" s="1">
        <f>COUNTIF(F21:K21,"Fail")</f>
        <v>0</v>
      </c>
      <c r="O21" s="1" t="str">
        <f>IF(M21=0,"-",M21/L21)</f>
        <v>-</v>
      </c>
    </row>
    <row r="22">
      <c r="A22" s="1" t="str">
        <v>CUST-017</v>
      </c>
      <c r="B22" s="1" t="str">
        <v>AMC Customers</v>
      </c>
      <c r="C22" s="1" t="str">
        <v>Contact Details</v>
      </c>
      <c r="D22" s="1" t="str">
        <v>Mobile auto-fetched when Contact Person selected on Contract</v>
      </c>
      <c r="E22" s="1" t="str">
        <v>Medium</v>
      </c>
      <c r="F22" s="1" t="str">
        <v>Not Run</v>
      </c>
      <c r="G22" s="1" t="str">
        <v>Not Run</v>
      </c>
      <c r="H22" s="1" t="str">
        <v>Not Run</v>
      </c>
      <c r="I22" s="1" t="str">
        <v>Not Run</v>
      </c>
      <c r="J22" s="1" t="str">
        <v>Not Run</v>
      </c>
      <c r="K22" s="1" t="str">
        <v>Not Run</v>
      </c>
      <c r="L22" s="1">
        <f>COUNTA(F22:K22)</f>
        <v>6</v>
      </c>
      <c r="M22" s="1">
        <f>COUNTIF(F22:K22,"Pass")</f>
        <v>0</v>
      </c>
      <c r="N22" s="1">
        <f>COUNTIF(F22:K22,"Fail")</f>
        <v>0</v>
      </c>
      <c r="O22" s="1" t="str">
        <f>IF(M22=0,"-",M22/L22)</f>
        <v>-</v>
      </c>
    </row>
    <row r="23">
      <c r="A23" s="1" t="str">
        <v>CUST-018</v>
      </c>
      <c r="B23" s="1" t="str">
        <v>AMC Customers</v>
      </c>
      <c r="C23" s="1" t="str">
        <v>Connections Tab</v>
      </c>
      <c r="D23" s="1" t="str">
        <v>Connections tab shows linked AMC Contracts for customer</v>
      </c>
      <c r="E23" s="1" t="str">
        <v>High</v>
      </c>
      <c r="F23" s="1" t="str">
        <v>Not Run</v>
      </c>
      <c r="G23" s="1" t="str">
        <v>Not Run</v>
      </c>
      <c r="H23" s="1" t="str">
        <v>Not Run</v>
      </c>
      <c r="I23" s="1" t="str">
        <v>Not Run</v>
      </c>
      <c r="J23" s="1" t="str">
        <v>Not Run</v>
      </c>
      <c r="K23" s="1" t="str">
        <v>Not Run</v>
      </c>
      <c r="L23" s="1">
        <f>COUNTA(F23:K23)</f>
        <v>6</v>
      </c>
      <c r="M23" s="1">
        <f>COUNTIF(F23:K23,"Pass")</f>
        <v>0</v>
      </c>
      <c r="N23" s="1">
        <f>COUNTIF(F23:K23,"Fail")</f>
        <v>0</v>
      </c>
      <c r="O23" s="1" t="str">
        <f>IF(M23=0,"-",M23/L23)</f>
        <v>-</v>
      </c>
    </row>
    <row r="24">
      <c r="A24" s="1" t="str">
        <v>CUST-019</v>
      </c>
      <c r="B24" s="1" t="str">
        <v>AMC Customers</v>
      </c>
      <c r="C24" s="1" t="str">
        <v>Connections Tab</v>
      </c>
      <c r="D24" s="1" t="str">
        <v>Connections tab shows linked Service Calls for customer</v>
      </c>
      <c r="E24" s="1" t="str">
        <v>Medium</v>
      </c>
      <c r="F24" s="1" t="str">
        <v>Not Run</v>
      </c>
      <c r="G24" s="1" t="str">
        <v>Not Run</v>
      </c>
      <c r="H24" s="1" t="str">
        <v>Not Run</v>
      </c>
      <c r="I24" s="1" t="str">
        <v>Not Run</v>
      </c>
      <c r="J24" s="1" t="str">
        <v>Not Run</v>
      </c>
      <c r="K24" s="1" t="str">
        <v>Not Run</v>
      </c>
      <c r="L24" s="1">
        <f>COUNTA(F24:K24)</f>
        <v>6</v>
      </c>
      <c r="M24" s="1">
        <f>COUNTIF(F24:K24,"Pass")</f>
        <v>0</v>
      </c>
      <c r="N24" s="1">
        <f>COUNTIF(F24:K24,"Fail")</f>
        <v>0</v>
      </c>
      <c r="O24" s="1" t="str">
        <f>IF(M24=0,"-",M24/L24)</f>
        <v>-</v>
      </c>
    </row>
    <row r="25">
      <c r="A25" s="1" t="str">
        <v>CUST-020</v>
      </c>
      <c r="B25" s="1" t="str">
        <v>AMC Customers</v>
      </c>
      <c r="C25" s="1" t="str">
        <v>Permissions</v>
      </c>
      <c r="D25" s="1" t="str">
        <v>Technician role can only READ AMC Customers</v>
      </c>
      <c r="E25" s="1" t="str">
        <v>Critical</v>
      </c>
      <c r="F25" s="1" t="str">
        <v>Not Run</v>
      </c>
      <c r="G25" s="1" t="str">
        <v>Not Run</v>
      </c>
      <c r="H25" s="1" t="str">
        <v>Not Run</v>
      </c>
      <c r="I25" s="1" t="str">
        <v>Not Run</v>
      </c>
      <c r="J25" s="1" t="str">
        <v>Not Run</v>
      </c>
      <c r="K25" s="1" t="str">
        <v>Not Run</v>
      </c>
      <c r="L25" s="1">
        <f>COUNTA(F25:K25)</f>
        <v>6</v>
      </c>
      <c r="M25" s="1">
        <f>COUNTIF(F25:K25,"Pass")</f>
        <v>0</v>
      </c>
      <c r="N25" s="1">
        <f>COUNTIF(F25:K25,"Fail")</f>
        <v>0</v>
      </c>
      <c r="O25" s="1" t="str">
        <f>IF(M25=0,"-",M25/L25)</f>
        <v>-</v>
      </c>
    </row>
    <row r="26">
      <c r="A26" s="1" t="str">
        <v>CUST-021</v>
      </c>
      <c r="B26" s="1" t="str">
        <v>AMC Customers</v>
      </c>
      <c r="C26" s="1" t="str">
        <v>Data Integrity</v>
      </c>
      <c r="D26" s="1" t="str">
        <v>Deleting customer with active contracts is blocked</v>
      </c>
      <c r="E26" s="1" t="str">
        <v>High</v>
      </c>
      <c r="F26" s="1" t="str">
        <v>Not Run</v>
      </c>
      <c r="G26" s="1" t="str">
        <v>Not Run</v>
      </c>
      <c r="H26" s="1" t="str">
        <v>Not Run</v>
      </c>
      <c r="I26" s="1" t="str">
        <v>Not Run</v>
      </c>
      <c r="J26" s="1" t="str">
        <v>Not Run</v>
      </c>
      <c r="K26" s="1" t="str">
        <v>Not Run</v>
      </c>
      <c r="L26" s="1">
        <f>COUNTA(F26:K26)</f>
        <v>6</v>
      </c>
      <c r="M26" s="1">
        <f>COUNTIF(F26:K26,"Pass")</f>
        <v>0</v>
      </c>
      <c r="N26" s="1">
        <f>COUNTIF(F26:K26,"Fail")</f>
        <v>0</v>
      </c>
      <c r="O26" s="1" t="str">
        <f>IF(M26=0,"-",M26/L26)</f>
        <v>-</v>
      </c>
    </row>
    <row r="27">
      <c r="A27" s="1" t="str">
        <v>▌ AMC Contract</v>
      </c>
    </row>
    <row r="28">
      <c r="A28" s="1" t="str">
        <v>CON-001</v>
      </c>
      <c r="B28" s="1" t="str">
        <v>AMC Contract</v>
      </c>
      <c r="C28" s="1" t="str">
        <v>Contract Creation</v>
      </c>
      <c r="D28" s="1" t="str">
        <v>Create AMC Contract with all mandatory fields</v>
      </c>
      <c r="E28" s="1" t="str">
        <v>Critical</v>
      </c>
      <c r="F28" s="1" t="str">
        <v>Not Run</v>
      </c>
      <c r="G28" s="1" t="str">
        <v>Not Run</v>
      </c>
      <c r="H28" s="1" t="str">
        <v>Not Run</v>
      </c>
      <c r="I28" s="1" t="str">
        <v>Not Run</v>
      </c>
      <c r="J28" s="1" t="str">
        <v>Not Run</v>
      </c>
      <c r="K28" s="1" t="str">
        <v>Not Run</v>
      </c>
      <c r="L28" s="1">
        <f>COUNTA(F28:K28)</f>
        <v>6</v>
      </c>
      <c r="M28" s="1">
        <f>COUNTIF(F28:K28,"Pass")</f>
        <v>0</v>
      </c>
      <c r="N28" s="1">
        <f>COUNTIF(F28:K28,"Fail")</f>
        <v>0</v>
      </c>
      <c r="O28" s="1" t="str">
        <f>IF(M28=0,"-",M28/L28)</f>
        <v>-</v>
      </c>
    </row>
    <row r="29">
      <c r="A29" s="1" t="str">
        <v>CON-002</v>
      </c>
      <c r="B29" s="1" t="str">
        <v>AMC Contract</v>
      </c>
      <c r="C29" s="1" t="str">
        <v>Contract Creation</v>
      </c>
      <c r="D29" s="1" t="str">
        <v>Start Date is mandatory — save fails without it</v>
      </c>
      <c r="E29" s="1" t="str">
        <v>Critical</v>
      </c>
      <c r="F29" s="1" t="str">
        <v>Not Run</v>
      </c>
      <c r="G29" s="1" t="str">
        <v>Not Run</v>
      </c>
      <c r="H29" s="1" t="str">
        <v>Not Run</v>
      </c>
      <c r="I29" s="1" t="str">
        <v>Not Run</v>
      </c>
      <c r="J29" s="1" t="str">
        <v>Not Run</v>
      </c>
      <c r="K29" s="1" t="str">
        <v>Not Run</v>
      </c>
      <c r="L29" s="1">
        <f>COUNTA(F29:K29)</f>
        <v>6</v>
      </c>
      <c r="M29" s="1">
        <f>COUNTIF(F29:K29,"Pass")</f>
        <v>0</v>
      </c>
      <c r="N29" s="1">
        <f>COUNTIF(F29:K29,"Fail")</f>
        <v>0</v>
      </c>
      <c r="O29" s="1" t="str">
        <f>IF(M29=0,"-",M29/L29)</f>
        <v>-</v>
      </c>
    </row>
    <row r="30">
      <c r="A30" s="1" t="str">
        <v>CON-003</v>
      </c>
      <c r="B30" s="1" t="str">
        <v>AMC Contract</v>
      </c>
      <c r="C30" s="1" t="str">
        <v>Contract Creation</v>
      </c>
      <c r="D30" s="1" t="str">
        <v>End Date is mandatory — save fails without it</v>
      </c>
      <c r="E30" s="1" t="str">
        <v>Critical</v>
      </c>
      <c r="F30" s="1" t="str">
        <v>Not Run</v>
      </c>
      <c r="G30" s="1" t="str">
        <v>Not Run</v>
      </c>
      <c r="H30" s="1" t="str">
        <v>Not Run</v>
      </c>
      <c r="I30" s="1" t="str">
        <v>Not Run</v>
      </c>
      <c r="J30" s="1" t="str">
        <v>Not Run</v>
      </c>
      <c r="K30" s="1" t="str">
        <v>Not Run</v>
      </c>
      <c r="L30" s="1">
        <f>COUNTA(F30:K30)</f>
        <v>6</v>
      </c>
      <c r="M30" s="1">
        <f>COUNTIF(F30:K30,"Pass")</f>
        <v>0</v>
      </c>
      <c r="N30" s="1">
        <f>COUNTIF(F30:K30,"Fail")</f>
        <v>0</v>
      </c>
      <c r="O30" s="1" t="str">
        <f>IF(M30=0,"-",M30/L30)</f>
        <v>-</v>
      </c>
    </row>
    <row r="31">
      <c r="A31" s="1" t="str">
        <v>CON-004</v>
      </c>
      <c r="B31" s="1" t="str">
        <v>AMC Contract</v>
      </c>
      <c r="C31" s="1" t="str">
        <v>Contract Creation</v>
      </c>
      <c r="D31" s="1" t="str">
        <v>No of Services is mandatory — save fails without it</v>
      </c>
      <c r="E31" s="1" t="str">
        <v>Critical</v>
      </c>
      <c r="F31" s="1" t="str">
        <v>Not Run</v>
      </c>
      <c r="G31" s="1" t="str">
        <v>Not Run</v>
      </c>
      <c r="H31" s="1" t="str">
        <v>Not Run</v>
      </c>
      <c r="I31" s="1" t="str">
        <v>Not Run</v>
      </c>
      <c r="J31" s="1" t="str">
        <v>Not Run</v>
      </c>
      <c r="K31" s="1" t="str">
        <v>Not Run</v>
      </c>
      <c r="L31" s="1">
        <f>COUNTA(F31:K31)</f>
        <v>6</v>
      </c>
      <c r="M31" s="1">
        <f>COUNTIF(F31:K31,"Pass")</f>
        <v>0</v>
      </c>
      <c r="N31" s="1">
        <f>COUNTIF(F31:K31,"Fail")</f>
        <v>0</v>
      </c>
      <c r="O31" s="1" t="str">
        <f>IF(M31=0,"-",M31/L31)</f>
        <v>-</v>
      </c>
    </row>
    <row r="32">
      <c r="A32" s="1" t="str">
        <v>CON-005</v>
      </c>
      <c r="B32" s="1" t="str">
        <v>AMC Contract</v>
      </c>
      <c r="C32" s="1" t="str">
        <v>Contract Creation</v>
      </c>
      <c r="D32" s="1" t="str">
        <v>Auto-naming follows AMC-.YY.MM.-.#### series</v>
      </c>
      <c r="E32" s="1" t="str">
        <v>High</v>
      </c>
      <c r="F32" s="1" t="str">
        <v>Not Run</v>
      </c>
      <c r="G32" s="1" t="str">
        <v>Not Run</v>
      </c>
      <c r="H32" s="1" t="str">
        <v>Not Run</v>
      </c>
      <c r="I32" s="1" t="str">
        <v>Not Run</v>
      </c>
      <c r="J32" s="1" t="str">
        <v>Not Run</v>
      </c>
      <c r="K32" s="1" t="str">
        <v>Not Run</v>
      </c>
      <c r="L32" s="1">
        <f>COUNTA(F32:K32)</f>
        <v>6</v>
      </c>
      <c r="M32" s="1">
        <f>COUNTIF(F32:K32,"Pass")</f>
        <v>0</v>
      </c>
      <c r="N32" s="1">
        <f>COUNTIF(F32:K32,"Fail")</f>
        <v>0</v>
      </c>
      <c r="O32" s="1" t="str">
        <f>IF(M32=0,"-",M32/L32)</f>
        <v>-</v>
      </c>
    </row>
    <row r="33">
      <c r="A33" s="1" t="str">
        <v>CON-006</v>
      </c>
      <c r="B33" s="1" t="str">
        <v>AMC Contract</v>
      </c>
      <c r="C33" s="1" t="str">
        <v>Contract Date Logic</v>
      </c>
      <c r="D33" s="1" t="str">
        <v>End Date before Start Date is rejected</v>
      </c>
      <c r="E33" s="1" t="str">
        <v>Critical</v>
      </c>
      <c r="F33" s="1" t="str">
        <v>Not Run</v>
      </c>
      <c r="G33" s="1" t="str">
        <v>Not Run</v>
      </c>
      <c r="H33" s="1" t="str">
        <v>Not Run</v>
      </c>
      <c r="I33" s="1" t="str">
        <v>Not Run</v>
      </c>
      <c r="J33" s="1" t="str">
        <v>Not Run</v>
      </c>
      <c r="K33" s="1" t="str">
        <v>Not Run</v>
      </c>
      <c r="L33" s="1">
        <f>COUNTA(F33:K33)</f>
        <v>6</v>
      </c>
      <c r="M33" s="1">
        <f>COUNTIF(F33:K33,"Pass")</f>
        <v>0</v>
      </c>
      <c r="N33" s="1">
        <f>COUNTIF(F33:K33,"Fail")</f>
        <v>0</v>
      </c>
      <c r="O33" s="1" t="str">
        <f>IF(M33=0,"-",M33/L33)</f>
        <v>-</v>
      </c>
    </row>
    <row r="34">
      <c r="A34" s="1" t="str">
        <v>CON-007</v>
      </c>
      <c r="B34" s="1" t="str">
        <v>AMC Contract</v>
      </c>
      <c r="C34" s="1" t="str">
        <v>Contract Date Logic</v>
      </c>
      <c r="D34" s="1" t="str">
        <v>Same Start and End Date is valid (single-day contract)</v>
      </c>
      <c r="E34" s="1" t="str">
        <v>High</v>
      </c>
      <c r="F34" s="1" t="str">
        <v>Not Run</v>
      </c>
      <c r="G34" s="1" t="str">
        <v>Not Run</v>
      </c>
      <c r="H34" s="1" t="str">
        <v>Not Run</v>
      </c>
      <c r="I34" s="1" t="str">
        <v>Not Run</v>
      </c>
      <c r="J34" s="1" t="str">
        <v>Not Run</v>
      </c>
      <c r="K34" s="1" t="str">
        <v>Not Run</v>
      </c>
      <c r="L34" s="1">
        <f>COUNTA(F34:K34)</f>
        <v>6</v>
      </c>
      <c r="M34" s="1">
        <f>COUNTIF(F34:K34,"Pass")</f>
        <v>0</v>
      </c>
      <c r="N34" s="1">
        <f>COUNTIF(F34:K34,"Fail")</f>
        <v>0</v>
      </c>
      <c r="O34" s="1" t="str">
        <f>IF(M34=0,"-",M34/L34)</f>
        <v>-</v>
      </c>
    </row>
    <row r="35">
      <c r="A35" s="1" t="str">
        <v>CON-008</v>
      </c>
      <c r="B35" s="1" t="str">
        <v>AMC Contract</v>
      </c>
      <c r="C35" s="1" t="str">
        <v>Contract Date Logic</v>
      </c>
      <c r="D35" s="1" t="str">
        <v>Multi-year contract is valid (e.g., 2 years)</v>
      </c>
      <c r="E35" s="1" t="str">
        <v>High</v>
      </c>
      <c r="F35" s="1" t="str">
        <v>Not Run</v>
      </c>
      <c r="G35" s="1" t="str">
        <v>Not Run</v>
      </c>
      <c r="H35" s="1" t="str">
        <v>Not Run</v>
      </c>
      <c r="I35" s="1" t="str">
        <v>Not Run</v>
      </c>
      <c r="J35" s="1" t="str">
        <v>Not Run</v>
      </c>
      <c r="K35" s="1" t="str">
        <v>Not Run</v>
      </c>
      <c r="L35" s="1">
        <f>COUNTA(F35:K35)</f>
        <v>6</v>
      </c>
      <c r="M35" s="1">
        <f>COUNTIF(F35:K35,"Pass")</f>
        <v>0</v>
      </c>
      <c r="N35" s="1">
        <f>COUNTIF(F35:K35,"Fail")</f>
        <v>0</v>
      </c>
      <c r="O35" s="1" t="str">
        <f>IF(M35=0,"-",M35/L35)</f>
        <v>-</v>
      </c>
    </row>
    <row r="36">
      <c r="A36" s="1" t="str">
        <v>CON-009</v>
      </c>
      <c r="B36" s="1" t="str">
        <v>AMC Contract</v>
      </c>
      <c r="C36" s="1" t="str">
        <v>Service Count &amp; Schedule</v>
      </c>
      <c r="D36" s="1" t="str">
        <v>4 services Jan-Dec creates exactly 4 Maintenance Schedule rows</v>
      </c>
      <c r="E36" s="1" t="str">
        <v>Critical</v>
      </c>
      <c r="F36" s="1" t="str">
        <v>Not Run</v>
      </c>
      <c r="G36" s="1" t="str">
        <v>Not Run</v>
      </c>
      <c r="H36" s="1" t="str">
        <v>Not Run</v>
      </c>
      <c r="I36" s="1" t="str">
        <v>Not Run</v>
      </c>
      <c r="J36" s="1" t="str">
        <v>Not Run</v>
      </c>
      <c r="K36" s="1" t="str">
        <v>Not Run</v>
      </c>
      <c r="L36" s="1">
        <f>COUNTA(F36:K36)</f>
        <v>6</v>
      </c>
      <c r="M36" s="1">
        <f>COUNTIF(F36:K36,"Pass")</f>
        <v>0</v>
      </c>
      <c r="N36" s="1">
        <f>COUNTIF(F36:K36,"Fail")</f>
        <v>0</v>
      </c>
      <c r="O36" s="1" t="str">
        <f>IF(M36=0,"-",M36/L36)</f>
        <v>-</v>
      </c>
    </row>
    <row r="37">
      <c r="A37" s="1" t="str">
        <v>CON-010</v>
      </c>
      <c r="B37" s="1" t="str">
        <v>AMC Contract</v>
      </c>
      <c r="C37" s="1" t="str">
        <v>Service Count &amp; Schedule</v>
      </c>
      <c r="D37" s="1" t="str">
        <v>12 services creates 12 monthly Maintenance Schedule rows</v>
      </c>
      <c r="E37" s="1" t="str">
        <v>Critical</v>
      </c>
      <c r="F37" s="1" t="str">
        <v>Not Run</v>
      </c>
      <c r="G37" s="1" t="str">
        <v>Not Run</v>
      </c>
      <c r="H37" s="1" t="str">
        <v>Not Run</v>
      </c>
      <c r="I37" s="1" t="str">
        <v>Not Run</v>
      </c>
      <c r="J37" s="1" t="str">
        <v>Not Run</v>
      </c>
      <c r="K37" s="1" t="str">
        <v>Not Run</v>
      </c>
      <c r="L37" s="1">
        <f>COUNTA(F37:K37)</f>
        <v>6</v>
      </c>
      <c r="M37" s="1">
        <f>COUNTIF(F37:K37,"Pass")</f>
        <v>0</v>
      </c>
      <c r="N37" s="1">
        <f>COUNTIF(F37:K37,"Fail")</f>
        <v>0</v>
      </c>
      <c r="O37" s="1" t="str">
        <f>IF(M37=0,"-",M37/L37)</f>
        <v>-</v>
      </c>
    </row>
    <row r="38">
      <c r="A38" s="1" t="str">
        <v>CON-011</v>
      </c>
      <c r="B38" s="1" t="str">
        <v>AMC Contract</v>
      </c>
      <c r="C38" s="1" t="str">
        <v>Service Count &amp; Schedule</v>
      </c>
      <c r="D38" s="1" t="str">
        <v>1 service creates exactly 1 Maintenance Schedule row</v>
      </c>
      <c r="E38" s="1" t="str">
        <v>Critical</v>
      </c>
      <c r="F38" s="1" t="str">
        <v>Not Run</v>
      </c>
      <c r="G38" s="1" t="str">
        <v>Not Run</v>
      </c>
      <c r="H38" s="1" t="str">
        <v>Not Run</v>
      </c>
      <c r="I38" s="1" t="str">
        <v>Not Run</v>
      </c>
      <c r="J38" s="1" t="str">
        <v>Not Run</v>
      </c>
      <c r="K38" s="1" t="str">
        <v>Not Run</v>
      </c>
      <c r="L38" s="1">
        <f>COUNTA(F38:K38)</f>
        <v>6</v>
      </c>
      <c r="M38" s="1">
        <f>COUNTIF(F38:K38,"Pass")</f>
        <v>0</v>
      </c>
      <c r="N38" s="1">
        <f>COUNTIF(F38:K38,"Fail")</f>
        <v>0</v>
      </c>
      <c r="O38" s="1" t="str">
        <f>IF(M38=0,"-",M38/L38)</f>
        <v>-</v>
      </c>
    </row>
    <row r="39">
      <c r="A39" s="1" t="str">
        <v>CON-012</v>
      </c>
      <c r="B39" s="1" t="str">
        <v>AMC Contract</v>
      </c>
      <c r="C39" s="1" t="str">
        <v>Service Count &amp; Schedule</v>
      </c>
      <c r="D39" s="1" t="str">
        <v>All schedule dates fall within contract Start-End range</v>
      </c>
      <c r="E39" s="1" t="str">
        <v>Critical</v>
      </c>
      <c r="F39" s="1" t="str">
        <v>Not Run</v>
      </c>
      <c r="G39" s="1" t="str">
        <v>Not Run</v>
      </c>
      <c r="H39" s="1" t="str">
        <v>Not Run</v>
      </c>
      <c r="I39" s="1" t="str">
        <v>Not Run</v>
      </c>
      <c r="J39" s="1" t="str">
        <v>Not Run</v>
      </c>
      <c r="K39" s="1" t="str">
        <v>Not Run</v>
      </c>
      <c r="L39" s="1">
        <f>COUNTA(F39:K39)</f>
        <v>6</v>
      </c>
      <c r="M39" s="1">
        <f>COUNTIF(F39:K39,"Pass")</f>
        <v>0</v>
      </c>
      <c r="N39" s="1">
        <f>COUNTIF(F39:K39,"Fail")</f>
        <v>0</v>
      </c>
      <c r="O39" s="1" t="str">
        <f>IF(M39=0,"-",M39/L39)</f>
        <v>-</v>
      </c>
    </row>
    <row r="40">
      <c r="A40" s="1" t="str">
        <v>CON-013</v>
      </c>
      <c r="B40" s="1" t="str">
        <v>AMC Contract</v>
      </c>
      <c r="C40" s="1" t="str">
        <v>Service Count &amp; Schedule</v>
      </c>
      <c r="D40" s="1" t="str">
        <v>Changing No of Services from 4 to 6 regenerates 6 rows</v>
      </c>
      <c r="E40" s="1" t="str">
        <v>High</v>
      </c>
      <c r="F40" s="1" t="str">
        <v>Not Run</v>
      </c>
      <c r="G40" s="1" t="str">
        <v>Not Run</v>
      </c>
      <c r="H40" s="1" t="str">
        <v>Not Run</v>
      </c>
      <c r="I40" s="1" t="str">
        <v>Not Run</v>
      </c>
      <c r="J40" s="1" t="str">
        <v>Not Run</v>
      </c>
      <c r="K40" s="1" t="str">
        <v>Not Run</v>
      </c>
      <c r="L40" s="1">
        <f>COUNTA(F40:K40)</f>
        <v>6</v>
      </c>
      <c r="M40" s="1">
        <f>COUNTIF(F40:K40,"Pass")</f>
        <v>0</v>
      </c>
      <c r="N40" s="1">
        <f>COUNTIF(F40:K40,"Fail")</f>
        <v>0</v>
      </c>
      <c r="O40" s="1" t="str">
        <f>IF(M40=0,"-",M40/L40)</f>
        <v>-</v>
      </c>
    </row>
    <row r="41">
      <c r="A41" s="1" t="str">
        <v>CON-014</v>
      </c>
      <c r="B41" s="1" t="str">
        <v>AMC Contract</v>
      </c>
      <c r="C41" s="1" t="str">
        <v>Service Count &amp; Schedule</v>
      </c>
      <c r="D41" s="1" t="str">
        <v>Maintenance Schedule Equipment column filled per row</v>
      </c>
      <c r="E41" s="1" t="str">
        <v>High</v>
      </c>
      <c r="F41" s="1" t="str">
        <v>Not Run</v>
      </c>
      <c r="G41" s="1" t="str">
        <v>Not Run</v>
      </c>
      <c r="H41" s="1" t="str">
        <v>Not Run</v>
      </c>
      <c r="I41" s="1" t="str">
        <v>Not Run</v>
      </c>
      <c r="J41" s="1" t="str">
        <v>Not Run</v>
      </c>
      <c r="K41" s="1" t="str">
        <v>Not Run</v>
      </c>
      <c r="L41" s="1">
        <f>COUNTA(F41:K41)</f>
        <v>6</v>
      </c>
      <c r="M41" s="1">
        <f>COUNTIF(F41:K41,"Pass")</f>
        <v>0</v>
      </c>
      <c r="N41" s="1">
        <f>COUNTIF(F41:K41,"Fail")</f>
        <v>0</v>
      </c>
      <c r="O41" s="1" t="str">
        <f>IF(M41=0,"-",M41/L41)</f>
        <v>-</v>
      </c>
    </row>
    <row r="42">
      <c r="A42" s="1" t="str">
        <v>CON-015</v>
      </c>
      <c r="B42" s="1" t="str">
        <v>AMC Contract</v>
      </c>
      <c r="C42" s="1" t="str">
        <v>Customer &amp; Branch Linkage</v>
      </c>
      <c r="D42" s="1" t="str">
        <v>Contract cannot reference non-existent AMC Customer</v>
      </c>
      <c r="E42" s="1" t="str">
        <v>Critical</v>
      </c>
      <c r="F42" s="1" t="str">
        <v>Not Run</v>
      </c>
      <c r="G42" s="1" t="str">
        <v>Not Run</v>
      </c>
      <c r="H42" s="1" t="str">
        <v>Not Run</v>
      </c>
      <c r="I42" s="1" t="str">
        <v>Not Run</v>
      </c>
      <c r="J42" s="1" t="str">
        <v>Not Run</v>
      </c>
      <c r="K42" s="1" t="str">
        <v>Not Run</v>
      </c>
      <c r="L42" s="1">
        <f>COUNTA(F42:K42)</f>
        <v>6</v>
      </c>
      <c r="M42" s="1">
        <f>COUNTIF(F42:K42,"Pass")</f>
        <v>0</v>
      </c>
      <c r="N42" s="1">
        <f>COUNTIF(F42:K42,"Fail")</f>
        <v>0</v>
      </c>
      <c r="O42" s="1" t="str">
        <f>IF(M42=0,"-",M42/L42)</f>
        <v>-</v>
      </c>
    </row>
    <row r="43">
      <c r="A43" s="1" t="str">
        <v>CON-016</v>
      </c>
      <c r="B43" s="1" t="str">
        <v>AMC Contract</v>
      </c>
      <c r="C43" s="1" t="str">
        <v>Customer &amp; Branch Linkage</v>
      </c>
      <c r="D43" s="1" t="str">
        <v>Branch dropdown is empty until Customer is selected</v>
      </c>
      <c r="E43" s="1" t="str">
        <v>High</v>
      </c>
      <c r="F43" s="1" t="str">
        <v>Not Run</v>
      </c>
      <c r="G43" s="1" t="str">
        <v>Not Run</v>
      </c>
      <c r="H43" s="1" t="str">
        <v>Not Run</v>
      </c>
      <c r="I43" s="1" t="str">
        <v>Not Run</v>
      </c>
      <c r="J43" s="1" t="str">
        <v>Not Run</v>
      </c>
      <c r="K43" s="1" t="str">
        <v>Not Run</v>
      </c>
      <c r="L43" s="1">
        <f>COUNTA(F43:K43)</f>
        <v>6</v>
      </c>
      <c r="M43" s="1">
        <f>COUNTIF(F43:K43,"Pass")</f>
        <v>0</v>
      </c>
      <c r="N43" s="1">
        <f>COUNTIF(F43:K43,"Fail")</f>
        <v>0</v>
      </c>
      <c r="O43" s="1" t="str">
        <f>IF(M43=0,"-",M43/L43)</f>
        <v>-</v>
      </c>
    </row>
    <row r="44">
      <c r="A44" s="1" t="str">
        <v>CON-017</v>
      </c>
      <c r="B44" s="1" t="str">
        <v>AMC Contract</v>
      </c>
      <c r="C44" s="1" t="str">
        <v>Customer &amp; Branch Linkage</v>
      </c>
      <c r="D44" s="1" t="str">
        <v>Changing Customer clears Branch and Contact Person</v>
      </c>
      <c r="E44" s="1" t="str">
        <v>High</v>
      </c>
      <c r="F44" s="1" t="str">
        <v>Not Run</v>
      </c>
      <c r="G44" s="1" t="str">
        <v>Not Run</v>
      </c>
      <c r="H44" s="1" t="str">
        <v>Not Run</v>
      </c>
      <c r="I44" s="1" t="str">
        <v>Not Run</v>
      </c>
      <c r="J44" s="1" t="str">
        <v>Not Run</v>
      </c>
      <c r="K44" s="1" t="str">
        <v>Not Run</v>
      </c>
      <c r="L44" s="1">
        <f>COUNTA(F44:K44)</f>
        <v>6</v>
      </c>
      <c r="M44" s="1">
        <f>COUNTIF(F44:K44,"Pass")</f>
        <v>0</v>
      </c>
      <c r="N44" s="1">
        <f>COUNTIF(F44:K44,"Fail")</f>
        <v>0</v>
      </c>
      <c r="O44" s="1" t="str">
        <f>IF(M44=0,"-",M44/L44)</f>
        <v>-</v>
      </c>
    </row>
    <row r="45">
      <c r="A45" s="1" t="str">
        <v>CON-018</v>
      </c>
      <c r="B45" s="1" t="str">
        <v>AMC Contract</v>
      </c>
      <c r="C45" s="1" t="str">
        <v>Customer &amp; Branch Linkage</v>
      </c>
      <c r="D45" s="1" t="str">
        <v>Contact Person dropdown filtered by selected Branch</v>
      </c>
      <c r="E45" s="1" t="str">
        <v>High</v>
      </c>
      <c r="F45" s="1" t="str">
        <v>Not Run</v>
      </c>
      <c r="G45" s="1" t="str">
        <v>Not Run</v>
      </c>
      <c r="H45" s="1" t="str">
        <v>Not Run</v>
      </c>
      <c r="I45" s="1" t="str">
        <v>Not Run</v>
      </c>
      <c r="J45" s="1" t="str">
        <v>Not Run</v>
      </c>
      <c r="K45" s="1" t="str">
        <v>Not Run</v>
      </c>
      <c r="L45" s="1">
        <f>COUNTA(F45:K45)</f>
        <v>6</v>
      </c>
      <c r="M45" s="1">
        <f>COUNTIF(F45:K45,"Pass")</f>
        <v>0</v>
      </c>
      <c r="N45" s="1">
        <f>COUNTIF(F45:K45,"Fail")</f>
        <v>0</v>
      </c>
      <c r="O45" s="1" t="str">
        <f>IF(M45=0,"-",M45/L45)</f>
        <v>-</v>
      </c>
    </row>
    <row r="46">
      <c r="A46" s="1" t="str">
        <v>CON-019</v>
      </c>
      <c r="B46" s="1" t="str">
        <v>AMC Contract</v>
      </c>
      <c r="C46" s="1" t="str">
        <v>Contract Status</v>
      </c>
      <c r="D46" s="1" t="str">
        <v>Status field accepts Active value</v>
      </c>
      <c r="E46" s="1" t="str">
        <v>High</v>
      </c>
      <c r="F46" s="1" t="str">
        <v>Not Run</v>
      </c>
      <c r="G46" s="1" t="str">
        <v>Not Run</v>
      </c>
      <c r="H46" s="1" t="str">
        <v>Not Run</v>
      </c>
      <c r="I46" s="1" t="str">
        <v>Not Run</v>
      </c>
      <c r="J46" s="1" t="str">
        <v>Not Run</v>
      </c>
      <c r="K46" s="1" t="str">
        <v>Not Run</v>
      </c>
      <c r="L46" s="1">
        <f>COUNTA(F46:K46)</f>
        <v>6</v>
      </c>
      <c r="M46" s="1">
        <f>COUNTIF(F46:K46,"Pass")</f>
        <v>0</v>
      </c>
      <c r="N46" s="1">
        <f>COUNTIF(F46:K46,"Fail")</f>
        <v>0</v>
      </c>
      <c r="O46" s="1" t="str">
        <f>IF(M46=0,"-",M46/L46)</f>
        <v>-</v>
      </c>
    </row>
    <row r="47">
      <c r="A47" s="1" t="str">
        <v>CON-020</v>
      </c>
      <c r="B47" s="1" t="str">
        <v>AMC Contract</v>
      </c>
      <c r="C47" s="1" t="str">
        <v>Contract Status</v>
      </c>
      <c r="D47" s="1" t="str">
        <v>Status field accepts Inactive value</v>
      </c>
      <c r="E47" s="1" t="str">
        <v>High</v>
      </c>
      <c r="F47" s="1" t="str">
        <v>Not Run</v>
      </c>
      <c r="G47" s="1" t="str">
        <v>Not Run</v>
      </c>
      <c r="H47" s="1" t="str">
        <v>Not Run</v>
      </c>
      <c r="I47" s="1" t="str">
        <v>Not Run</v>
      </c>
      <c r="J47" s="1" t="str">
        <v>Not Run</v>
      </c>
      <c r="K47" s="1" t="str">
        <v>Not Run</v>
      </c>
      <c r="L47" s="1">
        <f>COUNTA(F47:K47)</f>
        <v>6</v>
      </c>
      <c r="M47" s="1">
        <f>COUNTIF(F47:K47,"Pass")</f>
        <v>0</v>
      </c>
      <c r="N47" s="1">
        <f>COUNTIF(F47:K47,"Fail")</f>
        <v>0</v>
      </c>
      <c r="O47" s="1" t="str">
        <f>IF(M47=0,"-",M47/L47)</f>
        <v>-</v>
      </c>
    </row>
    <row r="48">
      <c r="A48" s="1" t="str">
        <v>CON-021</v>
      </c>
      <c r="B48" s="1" t="str">
        <v>AMC Contract</v>
      </c>
      <c r="C48" s="1" t="str">
        <v>Contract Status</v>
      </c>
      <c r="D48" s="1" t="str">
        <v>Status is blank by default on new contract</v>
      </c>
      <c r="E48" s="1" t="str">
        <v>Medium</v>
      </c>
      <c r="F48" s="1" t="str">
        <v>Not Run</v>
      </c>
      <c r="G48" s="1" t="str">
        <v>Not Run</v>
      </c>
      <c r="H48" s="1" t="str">
        <v>Not Run</v>
      </c>
      <c r="I48" s="1" t="str">
        <v>Not Run</v>
      </c>
      <c r="J48" s="1" t="str">
        <v>Not Run</v>
      </c>
      <c r="K48" s="1" t="str">
        <v>Not Run</v>
      </c>
      <c r="L48" s="1">
        <f>COUNTA(F48:K48)</f>
        <v>6</v>
      </c>
      <c r="M48" s="1">
        <f>COUNTIF(F48:K48,"Pass")</f>
        <v>0</v>
      </c>
      <c r="N48" s="1">
        <f>COUNTIF(F48:K48,"Fail")</f>
        <v>0</v>
      </c>
      <c r="O48" s="1" t="str">
        <f>IF(M48=0,"-",M48/L48)</f>
        <v>-</v>
      </c>
    </row>
    <row r="49">
      <c r="A49" s="1" t="str">
        <v>CON-022</v>
      </c>
      <c r="B49" s="1" t="str">
        <v>AMC Contract</v>
      </c>
      <c r="C49" s="1" t="str">
        <v>Submit &amp; Amend Workflow</v>
      </c>
      <c r="D49" s="1" t="str">
        <v>Draft contract can be submitted</v>
      </c>
      <c r="E49" s="1" t="str">
        <v>Critical</v>
      </c>
      <c r="F49" s="1" t="str">
        <v>Not Run</v>
      </c>
      <c r="G49" s="1" t="str">
        <v>Not Run</v>
      </c>
      <c r="H49" s="1" t="str">
        <v>Not Run</v>
      </c>
      <c r="I49" s="1" t="str">
        <v>Not Run</v>
      </c>
      <c r="J49" s="1" t="str">
        <v>Not Run</v>
      </c>
      <c r="K49" s="1" t="str">
        <v>Not Run</v>
      </c>
      <c r="L49" s="1">
        <f>COUNTA(F49:K49)</f>
        <v>6</v>
      </c>
      <c r="M49" s="1">
        <f>COUNTIF(F49:K49,"Pass")</f>
        <v>0</v>
      </c>
      <c r="N49" s="1">
        <f>COUNTIF(F49:K49,"Fail")</f>
        <v>0</v>
      </c>
      <c r="O49" s="1" t="str">
        <f>IF(M49=0,"-",M49/L49)</f>
        <v>-</v>
      </c>
    </row>
    <row r="50">
      <c r="A50" s="1" t="str">
        <v>CON-023</v>
      </c>
      <c r="B50" s="1" t="str">
        <v>AMC Contract</v>
      </c>
      <c r="C50" s="1" t="str">
        <v>Submit &amp; Amend Workflow</v>
      </c>
      <c r="D50" s="1" t="str">
        <v>Submitted contract fields are read-only</v>
      </c>
      <c r="E50" s="1" t="str">
        <v>Critical</v>
      </c>
      <c r="F50" s="1" t="str">
        <v>Not Run</v>
      </c>
      <c r="G50" s="1" t="str">
        <v>Not Run</v>
      </c>
      <c r="H50" s="1" t="str">
        <v>Not Run</v>
      </c>
      <c r="I50" s="1" t="str">
        <v>Not Run</v>
      </c>
      <c r="J50" s="1" t="str">
        <v>Not Run</v>
      </c>
      <c r="K50" s="1" t="str">
        <v>Not Run</v>
      </c>
      <c r="L50" s="1">
        <f>COUNTA(F50:K50)</f>
        <v>6</v>
      </c>
      <c r="M50" s="1">
        <f>COUNTIF(F50:K50,"Pass")</f>
        <v>0</v>
      </c>
      <c r="N50" s="1">
        <f>COUNTIF(F50:K50,"Fail")</f>
        <v>0</v>
      </c>
      <c r="O50" s="1" t="str">
        <f>IF(M50=0,"-",M50/L50)</f>
        <v>-</v>
      </c>
    </row>
    <row r="51">
      <c r="A51" s="1" t="str">
        <v>CON-024</v>
      </c>
      <c r="B51" s="1" t="str">
        <v>AMC Contract</v>
      </c>
      <c r="C51" s="1" t="str">
        <v>Submit &amp; Amend Workflow</v>
      </c>
      <c r="D51" s="1" t="str">
        <v>Submitted contract can be amended to create new draft</v>
      </c>
      <c r="E51" s="1" t="str">
        <v>Critical</v>
      </c>
      <c r="F51" s="1" t="str">
        <v>Not Run</v>
      </c>
      <c r="G51" s="1" t="str">
        <v>Not Run</v>
      </c>
      <c r="H51" s="1" t="str">
        <v>Not Run</v>
      </c>
      <c r="I51" s="1" t="str">
        <v>Not Run</v>
      </c>
      <c r="J51" s="1" t="str">
        <v>Not Run</v>
      </c>
      <c r="K51" s="1" t="str">
        <v>Not Run</v>
      </c>
      <c r="L51" s="1">
        <f>COUNTA(F51:K51)</f>
        <v>6</v>
      </c>
      <c r="M51" s="1">
        <f>COUNTIF(F51:K51,"Pass")</f>
        <v>0</v>
      </c>
      <c r="N51" s="1">
        <f>COUNTIF(F51:K51,"Fail")</f>
        <v>0</v>
      </c>
      <c r="O51" s="1" t="str">
        <f>IF(M51=0,"-",M51/L51)</f>
        <v>-</v>
      </c>
    </row>
    <row r="52">
      <c r="A52" s="1" t="str">
        <v>CON-025</v>
      </c>
      <c r="B52" s="1" t="str">
        <v>AMC Contract</v>
      </c>
      <c r="C52" s="1" t="str">
        <v>Submit &amp; Amend Workflow</v>
      </c>
      <c r="D52" s="1" t="str">
        <v>Submitted contract can be cancelled</v>
      </c>
      <c r="E52" s="1" t="str">
        <v>High</v>
      </c>
      <c r="F52" s="1" t="str">
        <v>Not Run</v>
      </c>
      <c r="G52" s="1" t="str">
        <v>Not Run</v>
      </c>
      <c r="H52" s="1" t="str">
        <v>Not Run</v>
      </c>
      <c r="I52" s="1" t="str">
        <v>Not Run</v>
      </c>
      <c r="J52" s="1" t="str">
        <v>Not Run</v>
      </c>
      <c r="K52" s="1" t="str">
        <v>Not Run</v>
      </c>
      <c r="L52" s="1">
        <f>COUNTA(F52:K52)</f>
        <v>6</v>
      </c>
      <c r="M52" s="1">
        <f>COUNTIF(F52:K52,"Pass")</f>
        <v>0</v>
      </c>
      <c r="N52" s="1">
        <f>COUNTIF(F52:K52,"Fail")</f>
        <v>0</v>
      </c>
      <c r="O52" s="1" t="str">
        <f>IF(M52=0,"-",M52/L52)</f>
        <v>-</v>
      </c>
    </row>
    <row r="53">
      <c r="A53" s="1" t="str">
        <v>CON-026</v>
      </c>
      <c r="B53" s="1" t="str">
        <v>AMC Contract</v>
      </c>
      <c r="C53" s="1" t="str">
        <v>Company Branch</v>
      </c>
      <c r="D53" s="1" t="str">
        <v>Company Branch saved independently of Customer Branch</v>
      </c>
      <c r="E53" s="1" t="str">
        <v>High</v>
      </c>
      <c r="F53" s="1" t="str">
        <v>Not Run</v>
      </c>
      <c r="G53" s="1" t="str">
        <v>Not Run</v>
      </c>
      <c r="H53" s="1" t="str">
        <v>Not Run</v>
      </c>
      <c r="I53" s="1" t="str">
        <v>Not Run</v>
      </c>
      <c r="J53" s="1" t="str">
        <v>Not Run</v>
      </c>
      <c r="K53" s="1" t="str">
        <v>Not Run</v>
      </c>
      <c r="L53" s="1">
        <f>COUNTA(F53:K53)</f>
        <v>6</v>
      </c>
      <c r="M53" s="1">
        <f>COUNTIF(F53:K53,"Pass")</f>
        <v>0</v>
      </c>
      <c r="N53" s="1">
        <f>COUNTIF(F53:K53,"Fail")</f>
        <v>0</v>
      </c>
      <c r="O53" s="1" t="str">
        <f>IF(M53=0,"-",M53/L53)</f>
        <v>-</v>
      </c>
    </row>
    <row r="54">
      <c r="A54" s="1" t="str">
        <v>CON-027</v>
      </c>
      <c r="B54" s="1" t="str">
        <v>AMC Contract</v>
      </c>
      <c r="C54" s="1" t="str">
        <v>Service Calls Tab</v>
      </c>
      <c r="D54" s="1" t="str">
        <v>Service Calls tab shows generated calls after submission</v>
      </c>
      <c r="E54" s="1" t="str">
        <v>Critical</v>
      </c>
      <c r="F54" s="1" t="str">
        <v>Not Run</v>
      </c>
      <c r="G54" s="1" t="str">
        <v>Not Run</v>
      </c>
      <c r="H54" s="1" t="str">
        <v>Not Run</v>
      </c>
      <c r="I54" s="1" t="str">
        <v>Not Run</v>
      </c>
      <c r="J54" s="1" t="str">
        <v>Not Run</v>
      </c>
      <c r="K54" s="1" t="str">
        <v>Not Run</v>
      </c>
      <c r="L54" s="1">
        <f>COUNTA(F54:K54)</f>
        <v>6</v>
      </c>
      <c r="M54" s="1">
        <f>COUNTIF(F54:K54,"Pass")</f>
        <v>0</v>
      </c>
      <c r="N54" s="1">
        <f>COUNTIF(F54:K54,"Fail")</f>
        <v>0</v>
      </c>
      <c r="O54" s="1" t="str">
        <f>IF(M54=0,"-",M54/L54)</f>
        <v>-</v>
      </c>
    </row>
    <row r="55">
      <c r="A55" s="1" t="str">
        <v>CON-028</v>
      </c>
      <c r="B55" s="1" t="str">
        <v>AMC Contract</v>
      </c>
      <c r="C55" s="1" t="str">
        <v>Service Calls Tab</v>
      </c>
      <c r="D55" s="1" t="str">
        <v>Service Calls tab is empty for unsaved draft contract</v>
      </c>
      <c r="E55" s="1" t="str">
        <v>High</v>
      </c>
      <c r="F55" s="1" t="str">
        <v>Not Run</v>
      </c>
      <c r="G55" s="1" t="str">
        <v>Not Run</v>
      </c>
      <c r="H55" s="1" t="str">
        <v>Not Run</v>
      </c>
      <c r="I55" s="1" t="str">
        <v>Not Run</v>
      </c>
      <c r="J55" s="1" t="str">
        <v>Not Run</v>
      </c>
      <c r="K55" s="1" t="str">
        <v>Not Run</v>
      </c>
      <c r="L55" s="1">
        <f>COUNTA(F55:K55)</f>
        <v>6</v>
      </c>
      <c r="M55" s="1">
        <f>COUNTIF(F55:K55,"Pass")</f>
        <v>0</v>
      </c>
      <c r="N55" s="1">
        <f>COUNTIF(F55:K55,"Fail")</f>
        <v>0</v>
      </c>
      <c r="O55" s="1" t="str">
        <f>IF(M55=0,"-",M55/L55)</f>
        <v>-</v>
      </c>
    </row>
    <row r="56">
      <c r="A56" s="1" t="str">
        <v>CON-029</v>
      </c>
      <c r="B56" s="1" t="str">
        <v>AMC Contract</v>
      </c>
      <c r="C56" s="1" t="str">
        <v>Service Calls Tab</v>
      </c>
      <c r="D56" s="1" t="str">
        <v>Service Call count equals No of Services on contract</v>
      </c>
      <c r="E56" s="1" t="str">
        <v>Critical</v>
      </c>
      <c r="F56" s="1" t="str">
        <v>Not Run</v>
      </c>
      <c r="G56" s="1" t="str">
        <v>Not Run</v>
      </c>
      <c r="H56" s="1" t="str">
        <v>Not Run</v>
      </c>
      <c r="I56" s="1" t="str">
        <v>Not Run</v>
      </c>
      <c r="J56" s="1" t="str">
        <v>Not Run</v>
      </c>
      <c r="K56" s="1" t="str">
        <v>Not Run</v>
      </c>
      <c r="L56" s="1">
        <f>COUNTA(F56:K56)</f>
        <v>6</v>
      </c>
      <c r="M56" s="1">
        <f>COUNTIF(F56:K56,"Pass")</f>
        <v>0</v>
      </c>
      <c r="N56" s="1">
        <f>COUNTIF(F56:K56,"Fail")</f>
        <v>0</v>
      </c>
      <c r="O56" s="1" t="str">
        <f>IF(M56=0,"-",M56/L56)</f>
        <v>-</v>
      </c>
    </row>
    <row r="57">
      <c r="A57" s="1" t="str">
        <v>CON-030</v>
      </c>
      <c r="B57" s="1" t="str">
        <v>AMC Contract</v>
      </c>
      <c r="C57" s="1" t="str">
        <v>Cross-DocType Integration</v>
      </c>
      <c r="D57" s="1" t="str">
        <v>One customer can have contracts for multiple branches</v>
      </c>
      <c r="E57" s="1" t="str">
        <v>Critical</v>
      </c>
      <c r="F57" s="1" t="str">
        <v>Not Run</v>
      </c>
      <c r="G57" s="1" t="str">
        <v>Not Run</v>
      </c>
      <c r="H57" s="1" t="str">
        <v>Not Run</v>
      </c>
      <c r="I57" s="1" t="str">
        <v>Not Run</v>
      </c>
      <c r="J57" s="1" t="str">
        <v>Not Run</v>
      </c>
      <c r="K57" s="1" t="str">
        <v>Not Run</v>
      </c>
      <c r="L57" s="1">
        <f>COUNTA(F57:K57)</f>
        <v>6</v>
      </c>
      <c r="M57" s="1">
        <f>COUNTIF(F57:K57,"Pass")</f>
        <v>0</v>
      </c>
      <c r="N57" s="1">
        <f>COUNTIF(F57:K57,"Fail")</f>
        <v>0</v>
      </c>
      <c r="O57" s="1" t="str">
        <f>IF(M57=0,"-",M57/L57)</f>
        <v>-</v>
      </c>
    </row>
    <row r="58">
      <c r="A58" s="1" t="str">
        <v>CON-031</v>
      </c>
      <c r="B58" s="1" t="str">
        <v>AMC Contract</v>
      </c>
      <c r="C58" s="1" t="str">
        <v>Cross-DocType Integration</v>
      </c>
      <c r="D58" s="1" t="str">
        <v>Deleting customer with active contracts is blocked</v>
      </c>
      <c r="E58" s="1" t="str">
        <v>High</v>
      </c>
      <c r="F58" s="1" t="str">
        <v>Not Run</v>
      </c>
      <c r="G58" s="1" t="str">
        <v>Not Run</v>
      </c>
      <c r="H58" s="1" t="str">
        <v>Not Run</v>
      </c>
      <c r="I58" s="1" t="str">
        <v>Not Run</v>
      </c>
      <c r="J58" s="1" t="str">
        <v>Not Run</v>
      </c>
      <c r="K58" s="1" t="str">
        <v>Not Run</v>
      </c>
      <c r="L58" s="1">
        <f>COUNTA(F58:K58)</f>
        <v>6</v>
      </c>
      <c r="M58" s="1">
        <f>COUNTIF(F58:K58,"Pass")</f>
        <v>0</v>
      </c>
      <c r="N58" s="1">
        <f>COUNTIF(F58:K58,"Fail")</f>
        <v>0</v>
      </c>
      <c r="O58" s="1" t="str">
        <f>IF(M58=0,"-",M58/L58)</f>
        <v>-</v>
      </c>
    </row>
    <row r="59">
      <c r="A59" s="1" t="str">
        <v>CON-032</v>
      </c>
      <c r="B59" s="1" t="str">
        <v>AMC Contract</v>
      </c>
      <c r="C59" s="1" t="str">
        <v>Cross-DocType Integration</v>
      </c>
      <c r="D59" s="1" t="str">
        <v>Technician cannot cancel or delete AMC Contract</v>
      </c>
      <c r="E59" s="1" t="str">
        <v>Critical</v>
      </c>
      <c r="F59" s="1" t="str">
        <v>Not Run</v>
      </c>
      <c r="G59" s="1" t="str">
        <v>Not Run</v>
      </c>
      <c r="H59" s="1" t="str">
        <v>Not Run</v>
      </c>
      <c r="I59" s="1" t="str">
        <v>Not Run</v>
      </c>
      <c r="J59" s="1" t="str">
        <v>Not Run</v>
      </c>
      <c r="K59" s="1" t="str">
        <v>Not Run</v>
      </c>
      <c r="L59" s="1">
        <f>COUNTA(F59:K59)</f>
        <v>6</v>
      </c>
      <c r="M59" s="1">
        <f>COUNTIF(F59:K59,"Pass")</f>
        <v>0</v>
      </c>
      <c r="N59" s="1">
        <f>COUNTIF(F59:K59,"Fail")</f>
        <v>0</v>
      </c>
      <c r="O59" s="1" t="str">
        <f>IF(M59=0,"-",M59/L59)</f>
        <v>-</v>
      </c>
    </row>
    <row r="60">
      <c r="A60" s="1" t="str">
        <v>▌ Vendor</v>
      </c>
    </row>
    <row r="61">
      <c r="A61" s="1" t="str">
        <v>VEN-001</v>
      </c>
      <c r="B61" s="1" t="str">
        <v>Vendor</v>
      </c>
      <c r="C61" s="1" t="str">
        <v>Vendor Creation &amp; Basic Details</v>
      </c>
      <c r="D61" s="1" t="str">
        <v>Create Vendor with Vendor Name only (mandatory field)</v>
      </c>
      <c r="E61" s="1" t="str">
        <v>Critical</v>
      </c>
      <c r="F61" s="1" t="str">
        <v>Not Run</v>
      </c>
      <c r="G61" s="1" t="str">
        <v>Not Run</v>
      </c>
      <c r="H61" s="1" t="str">
        <v>Not Run</v>
      </c>
      <c r="I61" s="1" t="str">
        <v>Not Run</v>
      </c>
      <c r="J61" s="1" t="str">
        <v>Not Run</v>
      </c>
      <c r="K61" s="1" t="str">
        <v>Not Run</v>
      </c>
      <c r="L61" s="1">
        <f>COUNTA(F61:K61)</f>
        <v>6</v>
      </c>
      <c r="M61" s="1">
        <f>COUNTIF(F61:K61,"Pass")</f>
        <v>0</v>
      </c>
      <c r="N61" s="1">
        <f>COUNTIF(F61:K61,"Fail")</f>
        <v>0</v>
      </c>
      <c r="O61" s="1" t="str">
        <f>IF(M61=0,"-",M61/L61)</f>
        <v>-</v>
      </c>
    </row>
    <row r="62">
      <c r="A62" s="1" t="str">
        <v>VEN-002</v>
      </c>
      <c r="B62" s="1" t="str">
        <v>Vendor</v>
      </c>
      <c r="C62" s="1" t="str">
        <v>Vendor Creation &amp; Basic Details</v>
      </c>
      <c r="D62" s="1" t="str">
        <v>Create Vendor with all basic fields (Name, Type, PAN)</v>
      </c>
      <c r="E62" s="1" t="str">
        <v>Critical</v>
      </c>
      <c r="F62" s="1" t="str">
        <v>Not Run</v>
      </c>
      <c r="G62" s="1" t="str">
        <v>Not Run</v>
      </c>
      <c r="H62" s="1" t="str">
        <v>Not Run</v>
      </c>
      <c r="I62" s="1" t="str">
        <v>Not Run</v>
      </c>
      <c r="J62" s="1" t="str">
        <v>Not Run</v>
      </c>
      <c r="K62" s="1" t="str">
        <v>Not Run</v>
      </c>
      <c r="L62" s="1">
        <f>COUNTA(F62:K62)</f>
        <v>6</v>
      </c>
      <c r="M62" s="1">
        <f>COUNTIF(F62:K62,"Pass")</f>
        <v>0</v>
      </c>
      <c r="N62" s="1">
        <f>COUNTIF(F62:K62,"Fail")</f>
        <v>0</v>
      </c>
      <c r="O62" s="1" t="str">
        <f>IF(M62=0,"-",M62/L62)</f>
        <v>-</v>
      </c>
    </row>
    <row r="63">
      <c r="A63" s="1" t="str">
        <v>VEN-003</v>
      </c>
      <c r="B63" s="1" t="str">
        <v>Vendor</v>
      </c>
      <c r="C63" s="1" t="str">
        <v>Vendor Creation &amp; Basic Details</v>
      </c>
      <c r="D63" s="1" t="str">
        <v>Create Vendor with Type as Company</v>
      </c>
      <c r="E63" s="1" t="str">
        <v>High</v>
      </c>
      <c r="F63" s="1" t="str">
        <v>Not Run</v>
      </c>
      <c r="G63" s="1" t="str">
        <v>Not Run</v>
      </c>
      <c r="H63" s="1" t="str">
        <v>Not Run</v>
      </c>
      <c r="I63" s="1" t="str">
        <v>Not Run</v>
      </c>
      <c r="J63" s="1" t="str">
        <v>Not Run</v>
      </c>
      <c r="K63" s="1" t="str">
        <v>Not Run</v>
      </c>
      <c r="L63" s="1">
        <f>COUNTA(F63:K63)</f>
        <v>6</v>
      </c>
      <c r="M63" s="1">
        <f>COUNTIF(F63:K63,"Pass")</f>
        <v>0</v>
      </c>
      <c r="N63" s="1">
        <f>COUNTIF(F63:K63,"Fail")</f>
        <v>0</v>
      </c>
      <c r="O63" s="1" t="str">
        <f>IF(M63=0,"-",M63/L63)</f>
        <v>-</v>
      </c>
    </row>
    <row r="64">
      <c r="A64" s="1" t="str">
        <v>VEN-004</v>
      </c>
      <c r="B64" s="1" t="str">
        <v>Vendor</v>
      </c>
      <c r="C64" s="1" t="str">
        <v>Vendor Creation &amp; Basic Details</v>
      </c>
      <c r="D64" s="1" t="str">
        <v>Create Vendor with Type as Individual</v>
      </c>
      <c r="E64" s="1" t="str">
        <v>High</v>
      </c>
      <c r="F64" s="1" t="str">
        <v>Not Run</v>
      </c>
      <c r="G64" s="1" t="str">
        <v>Not Run</v>
      </c>
      <c r="H64" s="1" t="str">
        <v>Not Run</v>
      </c>
      <c r="I64" s="1" t="str">
        <v>Not Run</v>
      </c>
      <c r="J64" s="1" t="str">
        <v>Not Run</v>
      </c>
      <c r="K64" s="1" t="str">
        <v>Not Run</v>
      </c>
      <c r="L64" s="1">
        <f>COUNTA(F64:K64)</f>
        <v>6</v>
      </c>
      <c r="M64" s="1">
        <f>COUNTIF(F64:K64,"Pass")</f>
        <v>0</v>
      </c>
      <c r="N64" s="1">
        <f>COUNTIF(F64:K64,"Fail")</f>
        <v>0</v>
      </c>
      <c r="O64" s="1" t="str">
        <f>IF(M64=0,"-",M64/L64)</f>
        <v>-</v>
      </c>
    </row>
    <row r="65">
      <c r="A65" s="1" t="str">
        <v>VEN-005</v>
      </c>
      <c r="B65" s="1" t="str">
        <v>Vendor</v>
      </c>
      <c r="C65" s="1" t="str">
        <v>Primary Contact Details</v>
      </c>
      <c r="D65" s="1" t="str">
        <v>Add Primary Contact Person</v>
      </c>
      <c r="E65" s="1" t="str">
        <v>Critical</v>
      </c>
      <c r="F65" s="1" t="str">
        <v>Not Run</v>
      </c>
      <c r="G65" s="1" t="str">
        <v>Not Run</v>
      </c>
      <c r="H65" s="1" t="str">
        <v>Not Run</v>
      </c>
      <c r="I65" s="1" t="str">
        <v>Not Run</v>
      </c>
      <c r="J65" s="1" t="str">
        <v>Not Run</v>
      </c>
      <c r="K65" s="1" t="str">
        <v>Not Run</v>
      </c>
      <c r="L65" s="1">
        <f>COUNTA(F65:K65)</f>
        <v>6</v>
      </c>
      <c r="M65" s="1">
        <f>COUNTIF(F65:K65,"Pass")</f>
        <v>0</v>
      </c>
      <c r="N65" s="1">
        <f>COUNTIF(F65:K65,"Fail")</f>
        <v>0</v>
      </c>
      <c r="O65" s="1" t="str">
        <f>IF(M65=0,"-",M65/L65)</f>
        <v>-</v>
      </c>
    </row>
    <row r="66">
      <c r="A66" s="1" t="str">
        <v>VEN-006</v>
      </c>
      <c r="B66" s="1" t="str">
        <v>Vendor</v>
      </c>
      <c r="C66" s="1" t="str">
        <v>Primary Contact Details</v>
      </c>
      <c r="D66" s="1" t="str">
        <v>Valid phone number format in Mobile No field</v>
      </c>
      <c r="E66" s="1" t="str">
        <v>High</v>
      </c>
      <c r="F66" s="1" t="str">
        <v>Not Run</v>
      </c>
      <c r="G66" s="1" t="str">
        <v>Not Run</v>
      </c>
      <c r="H66" s="1" t="str">
        <v>Not Run</v>
      </c>
      <c r="I66" s="1" t="str">
        <v>Not Run</v>
      </c>
      <c r="J66" s="1" t="str">
        <v>Not Run</v>
      </c>
      <c r="K66" s="1" t="str">
        <v>Not Run</v>
      </c>
      <c r="L66" s="1">
        <f>COUNTA(F66:K66)</f>
        <v>6</v>
      </c>
      <c r="M66" s="1">
        <f>COUNTIF(F66:K66,"Pass")</f>
        <v>0</v>
      </c>
      <c r="N66" s="1">
        <f>COUNTIF(F66:K66,"Fail")</f>
        <v>0</v>
      </c>
      <c r="O66" s="1" t="str">
        <f>IF(M66=0,"-",M66/L66)</f>
        <v>-</v>
      </c>
    </row>
    <row r="67">
      <c r="A67" s="1" t="str">
        <v>VEN-007</v>
      </c>
      <c r="B67" s="1" t="str">
        <v>Vendor</v>
      </c>
      <c r="C67" s="1" t="str">
        <v>Primary Contact Details</v>
      </c>
      <c r="D67" s="1" t="str">
        <v>Invalid phone number format is rejected</v>
      </c>
      <c r="E67" s="1" t="str">
        <v>Critical</v>
      </c>
      <c r="F67" s="1" t="str">
        <v>Not Run</v>
      </c>
      <c r="G67" s="1" t="str">
        <v>Not Run</v>
      </c>
      <c r="H67" s="1" t="str">
        <v>Not Run</v>
      </c>
      <c r="I67" s="1" t="str">
        <v>Not Run</v>
      </c>
      <c r="J67" s="1" t="str">
        <v>Not Run</v>
      </c>
      <c r="K67" s="1" t="str">
        <v>Not Run</v>
      </c>
      <c r="L67" s="1">
        <f>COUNTA(F67:K67)</f>
        <v>6</v>
      </c>
      <c r="M67" s="1">
        <f>COUNTIF(F67:K67,"Pass")</f>
        <v>0</v>
      </c>
      <c r="N67" s="1">
        <f>COUNTIF(F67:K67,"Fail")</f>
        <v>0</v>
      </c>
      <c r="O67" s="1" t="str">
        <f>IF(M67=0,"-",M67/L67)</f>
        <v>-</v>
      </c>
    </row>
    <row r="68">
      <c r="A68" s="1" t="str">
        <v>VEN-008</v>
      </c>
      <c r="B68" s="1" t="str">
        <v>Vendor</v>
      </c>
      <c r="C68" s="1" t="str">
        <v>Primary Contact Details</v>
      </c>
      <c r="D68" s="1" t="str">
        <v>Valid email format is accepted</v>
      </c>
      <c r="E68" s="1" t="str">
        <v>High</v>
      </c>
      <c r="F68" s="1" t="str">
        <v>Not Run</v>
      </c>
      <c r="G68" s="1" t="str">
        <v>Not Run</v>
      </c>
      <c r="H68" s="1" t="str">
        <v>Not Run</v>
      </c>
      <c r="I68" s="1" t="str">
        <v>Not Run</v>
      </c>
      <c r="J68" s="1" t="str">
        <v>Not Run</v>
      </c>
      <c r="K68" s="1" t="str">
        <v>Not Run</v>
      </c>
      <c r="L68" s="1">
        <f>COUNTA(F68:K68)</f>
        <v>6</v>
      </c>
      <c r="M68" s="1">
        <f>COUNTIF(F68:K68,"Pass")</f>
        <v>0</v>
      </c>
      <c r="N68" s="1">
        <f>COUNTIF(F68:K68,"Fail")</f>
        <v>0</v>
      </c>
      <c r="O68" s="1" t="str">
        <f>IF(M68=0,"-",M68/L68)</f>
        <v>-</v>
      </c>
    </row>
    <row r="69">
      <c r="A69" s="1" t="str">
        <v>VEN-009</v>
      </c>
      <c r="B69" s="1" t="str">
        <v>Vendor</v>
      </c>
      <c r="C69" s="1" t="str">
        <v>Primary Contact Details</v>
      </c>
      <c r="D69" s="1" t="str">
        <v>Invalid email format is rejected with error message</v>
      </c>
      <c r="E69" s="1" t="str">
        <v>Critical</v>
      </c>
      <c r="F69" s="1" t="str">
        <v>Not Run</v>
      </c>
      <c r="G69" s="1" t="str">
        <v>Not Run</v>
      </c>
      <c r="H69" s="1" t="str">
        <v>Not Run</v>
      </c>
      <c r="I69" s="1" t="str">
        <v>Not Run</v>
      </c>
      <c r="J69" s="1" t="str">
        <v>Not Run</v>
      </c>
      <c r="K69" s="1" t="str">
        <v>Not Run</v>
      </c>
      <c r="L69" s="1">
        <f>COUNTA(F69:K69)</f>
        <v>6</v>
      </c>
      <c r="M69" s="1">
        <f>COUNTIF(F69:K69,"Pass")</f>
        <v>0</v>
      </c>
      <c r="N69" s="1">
        <f>COUNTIF(F69:K69,"Fail")</f>
        <v>0</v>
      </c>
      <c r="O69" s="1" t="str">
        <f>IF(M69=0,"-",M69/L69)</f>
        <v>-</v>
      </c>
    </row>
    <row r="70">
      <c r="A70" s="1" t="str">
        <v>VEN-010</v>
      </c>
      <c r="B70" s="1" t="str">
        <v>Vendor</v>
      </c>
      <c r="C70" s="1" t="str">
        <v>Tax Identification</v>
      </c>
      <c r="D70" s="1" t="str">
        <v>Valid PAN number format is accepted</v>
      </c>
      <c r="E70" s="1" t="str">
        <v>Critical</v>
      </c>
      <c r="F70" s="1" t="str">
        <v>Not Run</v>
      </c>
      <c r="G70" s="1" t="str">
        <v>Not Run</v>
      </c>
      <c r="H70" s="1" t="str">
        <v>Not Run</v>
      </c>
      <c r="I70" s="1" t="str">
        <v>Not Run</v>
      </c>
      <c r="J70" s="1" t="str">
        <v>Not Run</v>
      </c>
      <c r="K70" s="1" t="str">
        <v>Not Run</v>
      </c>
      <c r="L70" s="1">
        <f>COUNTA(F70:K70)</f>
        <v>6</v>
      </c>
      <c r="M70" s="1">
        <f>COUNTIF(F70:K70,"Pass")</f>
        <v>0</v>
      </c>
      <c r="N70" s="1">
        <f>COUNTIF(F70:K70,"Fail")</f>
        <v>0</v>
      </c>
      <c r="O70" s="1" t="str">
        <f>IF(M70=0,"-",M70/L70)</f>
        <v>-</v>
      </c>
    </row>
    <row r="71">
      <c r="A71" s="1" t="str">
        <v>VEN-011</v>
      </c>
      <c r="B71" s="1" t="str">
        <v>Vendor</v>
      </c>
      <c r="C71" s="1" t="str">
        <v>Tax Identification</v>
      </c>
      <c r="D71" s="1" t="str">
        <v>Invalid PAN format is rejected</v>
      </c>
      <c r="E71" s="1" t="str">
        <v>Critical</v>
      </c>
      <c r="F71" s="1" t="str">
        <v>Not Run</v>
      </c>
      <c r="G71" s="1" t="str">
        <v>Not Run</v>
      </c>
      <c r="H71" s="1" t="str">
        <v>Not Run</v>
      </c>
      <c r="I71" s="1" t="str">
        <v>Not Run</v>
      </c>
      <c r="J71" s="1" t="str">
        <v>Not Run</v>
      </c>
      <c r="K71" s="1" t="str">
        <v>Not Run</v>
      </c>
      <c r="L71" s="1">
        <f>COUNTA(F71:K71)</f>
        <v>6</v>
      </c>
      <c r="M71" s="1">
        <f>COUNTIF(F71:K71,"Pass")</f>
        <v>0</v>
      </c>
      <c r="N71" s="1">
        <f>COUNTIF(F71:K71,"Fail")</f>
        <v>0</v>
      </c>
      <c r="O71" s="1" t="str">
        <f>IF(M71=0,"-",M71/L71)</f>
        <v>-</v>
      </c>
    </row>
    <row r="72">
      <c r="A72" s="1" t="str">
        <v>VEN-012</v>
      </c>
      <c r="B72" s="1" t="str">
        <v>Vendor</v>
      </c>
      <c r="C72" s="1" t="str">
        <v>Tax Identification</v>
      </c>
      <c r="D72" s="1" t="str">
        <v>Duplicate PAN across two vendors is blocked</v>
      </c>
      <c r="E72" s="1" t="str">
        <v>Critical</v>
      </c>
      <c r="F72" s="1" t="str">
        <v>Not Run</v>
      </c>
      <c r="G72" s="1" t="str">
        <v>Not Run</v>
      </c>
      <c r="H72" s="1" t="str">
        <v>Not Run</v>
      </c>
      <c r="I72" s="1" t="str">
        <v>Not Run</v>
      </c>
      <c r="J72" s="1" t="str">
        <v>Not Run</v>
      </c>
      <c r="K72" s="1" t="str">
        <v>Not Run</v>
      </c>
      <c r="L72" s="1">
        <f>COUNTA(F72:K72)</f>
        <v>6</v>
      </c>
      <c r="M72" s="1">
        <f>COUNTIF(F72:K72,"Pass")</f>
        <v>0</v>
      </c>
      <c r="N72" s="1">
        <f>COUNTIF(F72:K72,"Fail")</f>
        <v>0</v>
      </c>
      <c r="O72" s="1" t="str">
        <f>IF(M72=0,"-",M72/L72)</f>
        <v>-</v>
      </c>
    </row>
    <row r="73">
      <c r="A73" s="1" t="str">
        <v>VEN-013</v>
      </c>
      <c r="B73" s="1" t="str">
        <v>Vendor</v>
      </c>
      <c r="C73" s="1" t="str">
        <v>Tax Identification</v>
      </c>
      <c r="D73" s="1" t="str">
        <v>PAN field can be left blank (optional)</v>
      </c>
      <c r="E73" s="1" t="str">
        <v>High</v>
      </c>
      <c r="F73" s="1" t="str">
        <v>Not Run</v>
      </c>
      <c r="G73" s="1" t="str">
        <v>Not Run</v>
      </c>
      <c r="H73" s="1" t="str">
        <v>Not Run</v>
      </c>
      <c r="I73" s="1" t="str">
        <v>Not Run</v>
      </c>
      <c r="J73" s="1" t="str">
        <v>Not Run</v>
      </c>
      <c r="K73" s="1" t="str">
        <v>Not Run</v>
      </c>
      <c r="L73" s="1">
        <f>COUNTA(F73:K73)</f>
        <v>6</v>
      </c>
      <c r="M73" s="1">
        <f>COUNTIF(F73:K73,"Pass")</f>
        <v>0</v>
      </c>
      <c r="N73" s="1">
        <f>COUNTIF(F73:K73,"Fail")</f>
        <v>0</v>
      </c>
      <c r="O73" s="1" t="str">
        <f>IF(M73=0,"-",M73/L73)</f>
        <v>-</v>
      </c>
    </row>
    <row r="74">
      <c r="A74" s="1" t="str">
        <v>VEN-014</v>
      </c>
      <c r="B74" s="1" t="str">
        <v>Vendor</v>
      </c>
      <c r="C74" s="1" t="str">
        <v>Registered Address</v>
      </c>
      <c r="D74" s="1" t="str">
        <v>Add Registered Address to Vendor</v>
      </c>
      <c r="E74" s="1" t="str">
        <v>High</v>
      </c>
      <c r="F74" s="1" t="str">
        <v>Not Run</v>
      </c>
      <c r="G74" s="1" t="str">
        <v>Not Run</v>
      </c>
      <c r="H74" s="1" t="str">
        <v>Not Run</v>
      </c>
      <c r="I74" s="1" t="str">
        <v>Not Run</v>
      </c>
      <c r="J74" s="1" t="str">
        <v>Not Run</v>
      </c>
      <c r="K74" s="1" t="str">
        <v>Not Run</v>
      </c>
      <c r="L74" s="1">
        <f>COUNTA(F74:K74)</f>
        <v>6</v>
      </c>
      <c r="M74" s="1">
        <f>COUNTIF(F74:K74,"Pass")</f>
        <v>0</v>
      </c>
      <c r="N74" s="1">
        <f>COUNTIF(F74:K74,"Fail")</f>
        <v>0</v>
      </c>
      <c r="O74" s="1" t="str">
        <f>IF(M74=0,"-",M74/L74)</f>
        <v>-</v>
      </c>
    </row>
    <row r="75">
      <c r="A75" s="1" t="str">
        <v>VEN-015</v>
      </c>
      <c r="B75" s="1" t="str">
        <v>Vendor</v>
      </c>
      <c r="C75" s="1" t="str">
        <v>Registered Address</v>
      </c>
      <c r="D75" s="1" t="str">
        <v>Registered Address text is saved correctly</v>
      </c>
      <c r="E75" s="1" t="str">
        <v>High</v>
      </c>
      <c r="F75" s="1" t="str">
        <v>Not Run</v>
      </c>
      <c r="G75" s="1" t="str">
        <v>Not Run</v>
      </c>
      <c r="H75" s="1" t="str">
        <v>Not Run</v>
      </c>
      <c r="I75" s="1" t="str">
        <v>Not Run</v>
      </c>
      <c r="J75" s="1" t="str">
        <v>Not Run</v>
      </c>
      <c r="K75" s="1" t="str">
        <v>Not Run</v>
      </c>
      <c r="L75" s="1">
        <f>COUNTA(F75:K75)</f>
        <v>6</v>
      </c>
      <c r="M75" s="1">
        <f>COUNTIF(F75:K75,"Pass")</f>
        <v>0</v>
      </c>
      <c r="N75" s="1">
        <f>COUNTIF(F75:K75,"Fail")</f>
        <v>0</v>
      </c>
      <c r="O75" s="1" t="str">
        <f>IF(M75=0,"-",M75/L75)</f>
        <v>-</v>
      </c>
    </row>
    <row r="76">
      <c r="A76" s="1" t="str">
        <v>VEN-016</v>
      </c>
      <c r="B76" s="1" t="str">
        <v>Vendor</v>
      </c>
      <c r="C76" s="1" t="str">
        <v>Registered Address</v>
      </c>
      <c r="D76" s="1" t="str">
        <v>Registered Address with special characters is accepted</v>
      </c>
      <c r="E76" s="1" t="str">
        <v>Medium</v>
      </c>
      <c r="F76" s="1" t="str">
        <v>Not Run</v>
      </c>
      <c r="G76" s="1" t="str">
        <v>Not Run</v>
      </c>
      <c r="H76" s="1" t="str">
        <v>Not Run</v>
      </c>
      <c r="I76" s="1" t="str">
        <v>Not Run</v>
      </c>
      <c r="J76" s="1" t="str">
        <v>Not Run</v>
      </c>
      <c r="K76" s="1" t="str">
        <v>Not Run</v>
      </c>
      <c r="L76" s="1">
        <f>COUNTA(F76:K76)</f>
        <v>6</v>
      </c>
      <c r="M76" s="1">
        <f>COUNTIF(F76:K76,"Pass")</f>
        <v>0</v>
      </c>
      <c r="N76" s="1">
        <f>COUNTIF(F76:K76,"Fail")</f>
        <v>0</v>
      </c>
      <c r="O76" s="1" t="str">
        <f>IF(M76=0,"-",M76/L76)</f>
        <v>-</v>
      </c>
    </row>
    <row r="77">
      <c r="A77" s="1" t="str">
        <v>VEN-017</v>
      </c>
      <c r="B77" s="1" t="str">
        <v>Vendor</v>
      </c>
      <c r="C77" s="1" t="str">
        <v>Address Table</v>
      </c>
      <c r="D77" s="1" t="str">
        <v>Add single address row to Vendor</v>
      </c>
      <c r="E77" s="1" t="str">
        <v>Critical</v>
      </c>
      <c r="F77" s="1" t="str">
        <v>Not Run</v>
      </c>
      <c r="G77" s="1" t="str">
        <v>Not Run</v>
      </c>
      <c r="H77" s="1" t="str">
        <v>Not Run</v>
      </c>
      <c r="I77" s="1" t="str">
        <v>Not Run</v>
      </c>
      <c r="J77" s="1" t="str">
        <v>Not Run</v>
      </c>
      <c r="K77" s="1" t="str">
        <v>Not Run</v>
      </c>
      <c r="L77" s="1">
        <f>COUNTA(F77:K77)</f>
        <v>6</v>
      </c>
      <c r="M77" s="1">
        <f>COUNTIF(F77:K77,"Pass")</f>
        <v>0</v>
      </c>
      <c r="N77" s="1">
        <f>COUNTIF(F77:K77,"Fail")</f>
        <v>0</v>
      </c>
      <c r="O77" s="1" t="str">
        <f>IF(M77=0,"-",M77/L77)</f>
        <v>-</v>
      </c>
    </row>
    <row r="78">
      <c r="A78" s="1" t="str">
        <v>VEN-018</v>
      </c>
      <c r="B78" s="1" t="str">
        <v>Vendor</v>
      </c>
      <c r="C78" s="1" t="str">
        <v>Address Table</v>
      </c>
      <c r="D78" s="1" t="str">
        <v>Add multiple address rows to same Vendor</v>
      </c>
      <c r="E78" s="1" t="str">
        <v>High</v>
      </c>
      <c r="F78" s="1" t="str">
        <v>Not Run</v>
      </c>
      <c r="G78" s="1" t="str">
        <v>Not Run</v>
      </c>
      <c r="H78" s="1" t="str">
        <v>Not Run</v>
      </c>
      <c r="I78" s="1" t="str">
        <v>Not Run</v>
      </c>
      <c r="J78" s="1" t="str">
        <v>Not Run</v>
      </c>
      <c r="K78" s="1" t="str">
        <v>Not Run</v>
      </c>
      <c r="L78" s="1">
        <f>COUNTA(F78:K78)</f>
        <v>6</v>
      </c>
      <c r="M78" s="1">
        <f>COUNTIF(F78:K78,"Pass")</f>
        <v>0</v>
      </c>
      <c r="N78" s="1">
        <f>COUNTIF(F78:K78,"Fail")</f>
        <v>0</v>
      </c>
      <c r="O78" s="1" t="str">
        <f>IF(M78=0,"-",M78/L78)</f>
        <v>-</v>
      </c>
    </row>
    <row r="79">
      <c r="A79" s="1" t="str">
        <v>VEN-019</v>
      </c>
      <c r="B79" s="1" t="str">
        <v>Vendor</v>
      </c>
      <c r="C79" s="1" t="str">
        <v>Address Table</v>
      </c>
      <c r="D79" s="1" t="str">
        <v>Delete address row from table</v>
      </c>
      <c r="E79" s="1" t="str">
        <v>Medium</v>
      </c>
      <c r="F79" s="1" t="str">
        <v>Not Run</v>
      </c>
      <c r="G79" s="1" t="str">
        <v>Not Run</v>
      </c>
      <c r="H79" s="1" t="str">
        <v>Not Run</v>
      </c>
      <c r="I79" s="1" t="str">
        <v>Not Run</v>
      </c>
      <c r="J79" s="1" t="str">
        <v>Not Run</v>
      </c>
      <c r="K79" s="1" t="str">
        <v>Not Run</v>
      </c>
      <c r="L79" s="1">
        <f>COUNTA(F79:K79)</f>
        <v>6</v>
      </c>
      <c r="M79" s="1">
        <f>COUNTIF(F79:K79,"Pass")</f>
        <v>0</v>
      </c>
      <c r="N79" s="1">
        <f>COUNTIF(F79:K79,"Fail")</f>
        <v>0</v>
      </c>
      <c r="O79" s="1" t="str">
        <f>IF(M79=0,"-",M79/L79)</f>
        <v>-</v>
      </c>
    </row>
    <row r="80">
      <c r="A80" s="1" t="str">
        <v>VEN-020</v>
      </c>
      <c r="B80" s="1" t="str">
        <v>Vendor</v>
      </c>
      <c r="C80" s="1" t="str">
        <v>Address Table</v>
      </c>
      <c r="D80" s="1" t="str">
        <v>Address row Name field is populated correctly</v>
      </c>
      <c r="E80" s="1" t="str">
        <v>High</v>
      </c>
      <c r="F80" s="1" t="str">
        <v>Not Run</v>
      </c>
      <c r="G80" s="1" t="str">
        <v>Not Run</v>
      </c>
      <c r="H80" s="1" t="str">
        <v>Not Run</v>
      </c>
      <c r="I80" s="1" t="str">
        <v>Not Run</v>
      </c>
      <c r="J80" s="1" t="str">
        <v>Not Run</v>
      </c>
      <c r="K80" s="1" t="str">
        <v>Not Run</v>
      </c>
      <c r="L80" s="1">
        <f>COUNTA(F80:K80)</f>
        <v>6</v>
      </c>
      <c r="M80" s="1">
        <f>COUNTIF(F80:K80,"Pass")</f>
        <v>0</v>
      </c>
      <c r="N80" s="1">
        <f>COUNTIF(F80:K80,"Fail")</f>
        <v>0</v>
      </c>
      <c r="O80" s="1" t="str">
        <f>IF(M80=0,"-",M80/L80)</f>
        <v>-</v>
      </c>
    </row>
    <row r="81">
      <c r="A81" s="1" t="str">
        <v>VEN-021</v>
      </c>
      <c r="B81" s="1" t="str">
        <v>Vendor</v>
      </c>
      <c r="C81" s="1" t="str">
        <v>Address Table</v>
      </c>
      <c r="D81" s="1" t="str">
        <v>Address row City field is populated correctly</v>
      </c>
      <c r="E81" s="1" t="str">
        <v>High</v>
      </c>
      <c r="F81" s="1" t="str">
        <v>Not Run</v>
      </c>
      <c r="G81" s="1" t="str">
        <v>Not Run</v>
      </c>
      <c r="H81" s="1" t="str">
        <v>Not Run</v>
      </c>
      <c r="I81" s="1" t="str">
        <v>Not Run</v>
      </c>
      <c r="J81" s="1" t="str">
        <v>Not Run</v>
      </c>
      <c r="K81" s="1" t="str">
        <v>Not Run</v>
      </c>
      <c r="L81" s="1">
        <f>COUNTA(F81:K81)</f>
        <v>6</v>
      </c>
      <c r="M81" s="1">
        <f>COUNTIF(F81:K81,"Pass")</f>
        <v>0</v>
      </c>
      <c r="N81" s="1">
        <f>COUNTIF(F81:K81,"Fail")</f>
        <v>0</v>
      </c>
      <c r="O81" s="1" t="str">
        <f>IF(M81=0,"-",M81/L81)</f>
        <v>-</v>
      </c>
    </row>
    <row r="82">
      <c r="A82" s="1" t="str">
        <v>VEN-022</v>
      </c>
      <c r="B82" s="1" t="str">
        <v>Vendor</v>
      </c>
      <c r="C82" s="1" t="str">
        <v>Address Table</v>
      </c>
      <c r="D82" s="1" t="str">
        <v>Address row State field is populated correctly</v>
      </c>
      <c r="E82" s="1" t="str">
        <v>High</v>
      </c>
      <c r="F82" s="1" t="str">
        <v>Not Run</v>
      </c>
      <c r="G82" s="1" t="str">
        <v>Not Run</v>
      </c>
      <c r="H82" s="1" t="str">
        <v>Not Run</v>
      </c>
      <c r="I82" s="1" t="str">
        <v>Not Run</v>
      </c>
      <c r="J82" s="1" t="str">
        <v>Not Run</v>
      </c>
      <c r="K82" s="1" t="str">
        <v>Not Run</v>
      </c>
      <c r="L82" s="1">
        <f>COUNTA(F82:K82)</f>
        <v>6</v>
      </c>
      <c r="M82" s="1">
        <f>COUNTIF(F82:K82,"Pass")</f>
        <v>0</v>
      </c>
      <c r="N82" s="1">
        <f>COUNTIF(F82:K82,"Fail")</f>
        <v>0</v>
      </c>
      <c r="O82" s="1" t="str">
        <f>IF(M82=0,"-",M82/L82)</f>
        <v>-</v>
      </c>
    </row>
    <row r="83">
      <c r="A83" s="1" t="str">
        <v>VEN-023</v>
      </c>
      <c r="B83" s="1" t="str">
        <v>Vendor</v>
      </c>
      <c r="C83" s="1" t="str">
        <v>Address Table</v>
      </c>
      <c r="D83" s="1" t="str">
        <v>Address row GST No is validated and accepted</v>
      </c>
      <c r="E83" s="1" t="str">
        <v>Critical</v>
      </c>
      <c r="F83" s="1" t="str">
        <v>Not Run</v>
      </c>
      <c r="G83" s="1" t="str">
        <v>Not Run</v>
      </c>
      <c r="H83" s="1" t="str">
        <v>Not Run</v>
      </c>
      <c r="I83" s="1" t="str">
        <v>Not Run</v>
      </c>
      <c r="J83" s="1" t="str">
        <v>Not Run</v>
      </c>
      <c r="K83" s="1" t="str">
        <v>Not Run</v>
      </c>
      <c r="L83" s="1">
        <f>COUNTA(F83:K83)</f>
        <v>6</v>
      </c>
      <c r="M83" s="1">
        <f>COUNTIF(F83:K83,"Pass")</f>
        <v>0</v>
      </c>
      <c r="N83" s="1">
        <f>COUNTIF(F83:K83,"Fail")</f>
        <v>0</v>
      </c>
      <c r="O83" s="1" t="str">
        <f>IF(M83=0,"-",M83/L83)</f>
        <v>-</v>
      </c>
    </row>
    <row r="84">
      <c r="A84" s="1" t="str">
        <v>VEN-024</v>
      </c>
      <c r="B84" s="1" t="str">
        <v>Vendor</v>
      </c>
      <c r="C84" s="1" t="str">
        <v>Address Table</v>
      </c>
      <c r="D84" s="1" t="str">
        <v>Invalid GST No in address row is rejected</v>
      </c>
      <c r="E84" s="1" t="str">
        <v>Critical</v>
      </c>
      <c r="F84" s="1" t="str">
        <v>Not Run</v>
      </c>
      <c r="G84" s="1" t="str">
        <v>Not Run</v>
      </c>
      <c r="H84" s="1" t="str">
        <v>Not Run</v>
      </c>
      <c r="I84" s="1" t="str">
        <v>Not Run</v>
      </c>
      <c r="J84" s="1" t="str">
        <v>Not Run</v>
      </c>
      <c r="K84" s="1" t="str">
        <v>Not Run</v>
      </c>
      <c r="L84" s="1">
        <f>COUNTA(F84:K84)</f>
        <v>6</v>
      </c>
      <c r="M84" s="1">
        <f>COUNTIF(F84:K84,"Pass")</f>
        <v>0</v>
      </c>
      <c r="N84" s="1">
        <f>COUNTIF(F84:K84,"Fail")</f>
        <v>0</v>
      </c>
      <c r="O84" s="1" t="str">
        <f>IF(M84=0,"-",M84/L84)</f>
        <v>-</v>
      </c>
    </row>
    <row r="85">
      <c r="A85" s="1" t="str">
        <v>VEN-025</v>
      </c>
      <c r="B85" s="1" t="str">
        <v>Vendor</v>
      </c>
      <c r="C85" s="1" t="str">
        <v>Address Table</v>
      </c>
      <c r="D85" s="1" t="str">
        <v>Address row Mobile No field validation</v>
      </c>
      <c r="E85" s="1" t="str">
        <v>High</v>
      </c>
      <c r="F85" s="1" t="str">
        <v>Not Run</v>
      </c>
      <c r="G85" s="1" t="str">
        <v>Not Run</v>
      </c>
      <c r="H85" s="1" t="str">
        <v>Not Run</v>
      </c>
      <c r="I85" s="1" t="str">
        <v>Not Run</v>
      </c>
      <c r="J85" s="1" t="str">
        <v>Not Run</v>
      </c>
      <c r="K85" s="1" t="str">
        <v>Not Run</v>
      </c>
      <c r="L85" s="1">
        <f>COUNTA(F85:K85)</f>
        <v>6</v>
      </c>
      <c r="M85" s="1">
        <f>COUNTIF(F85:K85,"Pass")</f>
        <v>0</v>
      </c>
      <c r="N85" s="1">
        <f>COUNTIF(F85:K85,"Fail")</f>
        <v>0</v>
      </c>
      <c r="O85" s="1" t="str">
        <f>IF(M85=0,"-",M85/L85)</f>
        <v>-</v>
      </c>
    </row>
    <row r="86">
      <c r="A86" s="1" t="str">
        <v>VEN-026</v>
      </c>
      <c r="B86" s="1" t="str">
        <v>Vendor</v>
      </c>
      <c r="C86" s="1" t="str">
        <v>Address Table</v>
      </c>
      <c r="D86" s="1" t="str">
        <v>Duplicate GST No across address rows is blocked</v>
      </c>
      <c r="E86" s="1" t="str">
        <v>Critical</v>
      </c>
      <c r="F86" s="1" t="str">
        <v>Not Run</v>
      </c>
      <c r="G86" s="1" t="str">
        <v>Not Run</v>
      </c>
      <c r="H86" s="1" t="str">
        <v>Not Run</v>
      </c>
      <c r="I86" s="1" t="str">
        <v>Not Run</v>
      </c>
      <c r="J86" s="1" t="str">
        <v>Not Run</v>
      </c>
      <c r="K86" s="1" t="str">
        <v>Not Run</v>
      </c>
      <c r="L86" s="1">
        <f>COUNTA(F86:K86)</f>
        <v>6</v>
      </c>
      <c r="M86" s="1">
        <f>COUNTIF(F86:K86,"Pass")</f>
        <v>0</v>
      </c>
      <c r="N86" s="1">
        <f>COUNTIF(F86:K86,"Fail")</f>
        <v>0</v>
      </c>
      <c r="O86" s="1" t="str">
        <f>IF(M86=0,"-",M86/L86)</f>
        <v>-</v>
      </c>
    </row>
    <row r="87">
      <c r="A87" s="1" t="str">
        <v>VEN-027</v>
      </c>
      <c r="B87" s="1" t="str">
        <v>Vendor</v>
      </c>
      <c r="C87" s="1" t="str">
        <v>Data Validation</v>
      </c>
      <c r="D87" s="1" t="str">
        <v>Vendor cannot be saved without Vendor Name</v>
      </c>
      <c r="E87" s="1" t="str">
        <v>Critical</v>
      </c>
      <c r="F87" s="1" t="str">
        <v>Not Run</v>
      </c>
      <c r="G87" s="1" t="str">
        <v>Not Run</v>
      </c>
      <c r="H87" s="1" t="str">
        <v>Not Run</v>
      </c>
      <c r="I87" s="1" t="str">
        <v>Not Run</v>
      </c>
      <c r="J87" s="1" t="str">
        <v>Not Run</v>
      </c>
      <c r="K87" s="1" t="str">
        <v>Not Run</v>
      </c>
      <c r="L87" s="1">
        <f>COUNTA(F87:K87)</f>
        <v>6</v>
      </c>
      <c r="M87" s="1">
        <f>COUNTIF(F87:K87,"Pass")</f>
        <v>0</v>
      </c>
      <c r="N87" s="1">
        <f>COUNTIF(F87:K87,"Fail")</f>
        <v>0</v>
      </c>
      <c r="O87" s="1" t="str">
        <f>IF(M87=0,"-",M87/L87)</f>
        <v>-</v>
      </c>
    </row>
    <row r="88">
      <c r="A88" s="1" t="str">
        <v>VEN-028</v>
      </c>
      <c r="B88" s="1" t="str">
        <v>Vendor</v>
      </c>
      <c r="C88" s="1" t="str">
        <v>Data Validation</v>
      </c>
      <c r="D88" s="1" t="str">
        <v>Vendor Name with special characters is accepted</v>
      </c>
      <c r="E88" s="1" t="str">
        <v>Medium</v>
      </c>
      <c r="F88" s="1" t="str">
        <v>Not Run</v>
      </c>
      <c r="G88" s="1" t="str">
        <v>Not Run</v>
      </c>
      <c r="H88" s="1" t="str">
        <v>Not Run</v>
      </c>
      <c r="I88" s="1" t="str">
        <v>Not Run</v>
      </c>
      <c r="J88" s="1" t="str">
        <v>Not Run</v>
      </c>
      <c r="K88" s="1" t="str">
        <v>Not Run</v>
      </c>
      <c r="L88" s="1">
        <f>COUNTA(F88:K88)</f>
        <v>6</v>
      </c>
      <c r="M88" s="1">
        <f>COUNTIF(F88:K88,"Pass")</f>
        <v>0</v>
      </c>
      <c r="N88" s="1">
        <f>COUNTIF(F88:K88,"Fail")</f>
        <v>0</v>
      </c>
      <c r="O88" s="1" t="str">
        <f>IF(M88=0,"-",M88/L88)</f>
        <v>-</v>
      </c>
    </row>
    <row r="89">
      <c r="A89" s="1" t="str">
        <v>VEN-029</v>
      </c>
      <c r="B89" s="1" t="str">
        <v>Vendor</v>
      </c>
      <c r="C89" s="1" t="str">
        <v>Data Validation</v>
      </c>
      <c r="D89" s="1" t="str">
        <v>Type field dropdown shows all available options</v>
      </c>
      <c r="E89" s="1" t="str">
        <v>Medium</v>
      </c>
      <c r="F89" s="1" t="str">
        <v>Not Run</v>
      </c>
      <c r="G89" s="1" t="str">
        <v>Not Run</v>
      </c>
      <c r="H89" s="1" t="str">
        <v>Not Run</v>
      </c>
      <c r="I89" s="1" t="str">
        <v>Not Run</v>
      </c>
      <c r="J89" s="1" t="str">
        <v>Not Run</v>
      </c>
      <c r="K89" s="1" t="str">
        <v>Not Run</v>
      </c>
      <c r="L89" s="1">
        <f>COUNTA(F89:K89)</f>
        <v>6</v>
      </c>
      <c r="M89" s="1">
        <f>COUNTIF(F89:K89,"Pass")</f>
        <v>0</v>
      </c>
      <c r="N89" s="1">
        <f>COUNTIF(F89:K89,"Fail")</f>
        <v>0</v>
      </c>
      <c r="O89" s="1" t="str">
        <f>IF(M89=0,"-",M89/L89)</f>
        <v>-</v>
      </c>
    </row>
    <row r="90">
      <c r="A90" s="1" t="str">
        <v>VEN-030</v>
      </c>
      <c r="B90" s="1" t="str">
        <v>Vendor</v>
      </c>
      <c r="C90" s="1" t="str">
        <v>Data Validation</v>
      </c>
      <c r="D90" s="1" t="str">
        <v>Empty Type field defaults to Company</v>
      </c>
      <c r="E90" s="1" t="str">
        <v>High</v>
      </c>
      <c r="F90" s="1" t="str">
        <v>Not Run</v>
      </c>
      <c r="G90" s="1" t="str">
        <v>Not Run</v>
      </c>
      <c r="H90" s="1" t="str">
        <v>Not Run</v>
      </c>
      <c r="I90" s="1" t="str">
        <v>Not Run</v>
      </c>
      <c r="J90" s="1" t="str">
        <v>Not Run</v>
      </c>
      <c r="K90" s="1" t="str">
        <v>Not Run</v>
      </c>
      <c r="L90" s="1">
        <f>COUNTA(F90:K90)</f>
        <v>6</v>
      </c>
      <c r="M90" s="1">
        <f>COUNTIF(F90:K90,"Pass")</f>
        <v>0</v>
      </c>
      <c r="N90" s="1">
        <f>COUNTIF(F90:K90,"Fail")</f>
        <v>0</v>
      </c>
      <c r="O90" s="1" t="str">
        <f>IF(M90=0,"-",M90/L90)</f>
        <v>-</v>
      </c>
    </row>
    <row r="91">
      <c r="A91" s="1" t="str">
        <v>VEN-031</v>
      </c>
      <c r="B91" s="1" t="str">
        <v>Vendor</v>
      </c>
      <c r="C91" s="1" t="str">
        <v>Editing &amp; Updates</v>
      </c>
      <c r="D91" s="1" t="str">
        <v>Edit existing Vendor Name</v>
      </c>
      <c r="E91" s="1" t="str">
        <v>High</v>
      </c>
      <c r="F91" s="1" t="str">
        <v>Not Run</v>
      </c>
      <c r="G91" s="1" t="str">
        <v>Not Run</v>
      </c>
      <c r="H91" s="1" t="str">
        <v>Not Run</v>
      </c>
      <c r="I91" s="1" t="str">
        <v>Not Run</v>
      </c>
      <c r="J91" s="1" t="str">
        <v>Not Run</v>
      </c>
      <c r="K91" s="1" t="str">
        <v>Not Run</v>
      </c>
      <c r="L91" s="1">
        <f>COUNTA(F91:K91)</f>
        <v>6</v>
      </c>
      <c r="M91" s="1">
        <f>COUNTIF(F91:K91,"Pass")</f>
        <v>0</v>
      </c>
      <c r="N91" s="1">
        <f>COUNTIF(F91:K91,"Fail")</f>
        <v>0</v>
      </c>
      <c r="O91" s="1" t="str">
        <f>IF(M91=0,"-",M91/L91)</f>
        <v>-</v>
      </c>
    </row>
    <row r="92">
      <c r="A92" s="1" t="str">
        <v>VEN-032</v>
      </c>
      <c r="B92" s="1" t="str">
        <v>Vendor</v>
      </c>
      <c r="C92" s="1" t="str">
        <v>Editing &amp; Updates</v>
      </c>
      <c r="D92" s="1" t="str">
        <v>Edit Primary Contact Person details</v>
      </c>
      <c r="E92" s="1" t="str">
        <v>High</v>
      </c>
      <c r="F92" s="1" t="str">
        <v>Not Run</v>
      </c>
      <c r="G92" s="1" t="str">
        <v>Not Run</v>
      </c>
      <c r="H92" s="1" t="str">
        <v>Not Run</v>
      </c>
      <c r="I92" s="1" t="str">
        <v>Not Run</v>
      </c>
      <c r="J92" s="1" t="str">
        <v>Not Run</v>
      </c>
      <c r="K92" s="1" t="str">
        <v>Not Run</v>
      </c>
      <c r="L92" s="1">
        <f>COUNTA(F92:K92)</f>
        <v>6</v>
      </c>
      <c r="M92" s="1">
        <f>COUNTIF(F92:K92,"Pass")</f>
        <v>0</v>
      </c>
      <c r="N92" s="1">
        <f>COUNTIF(F92:K92,"Fail")</f>
        <v>0</v>
      </c>
      <c r="O92" s="1" t="str">
        <f>IF(M92=0,"-",M92/L92)</f>
        <v>-</v>
      </c>
    </row>
    <row r="93">
      <c r="A93" s="1" t="str">
        <v>VEN-033</v>
      </c>
      <c r="B93" s="1" t="str">
        <v>Vendor</v>
      </c>
      <c r="C93" s="1" t="str">
        <v>Editing &amp; Updates</v>
      </c>
      <c r="D93" s="1" t="str">
        <v>Edit PAN number</v>
      </c>
      <c r="E93" s="1" t="str">
        <v>High</v>
      </c>
      <c r="F93" s="1" t="str">
        <v>Not Run</v>
      </c>
      <c r="G93" s="1" t="str">
        <v>Not Run</v>
      </c>
      <c r="H93" s="1" t="str">
        <v>Not Run</v>
      </c>
      <c r="I93" s="1" t="str">
        <v>Not Run</v>
      </c>
      <c r="J93" s="1" t="str">
        <v>Not Run</v>
      </c>
      <c r="K93" s="1" t="str">
        <v>Not Run</v>
      </c>
      <c r="L93" s="1">
        <f>COUNTA(F93:K93)</f>
        <v>6</v>
      </c>
      <c r="M93" s="1">
        <f>COUNTIF(F93:K93,"Pass")</f>
        <v>0</v>
      </c>
      <c r="N93" s="1">
        <f>COUNTIF(F93:K93,"Fail")</f>
        <v>0</v>
      </c>
      <c r="O93" s="1" t="str">
        <f>IF(M93=0,"-",M93/L93)</f>
        <v>-</v>
      </c>
    </row>
    <row r="94">
      <c r="A94" s="1" t="str">
        <v>VEN-034</v>
      </c>
      <c r="B94" s="1" t="str">
        <v>Vendor</v>
      </c>
      <c r="C94" s="1" t="str">
        <v>Editing &amp; Updates</v>
      </c>
      <c r="D94" s="1" t="str">
        <v>Edit Registered Address</v>
      </c>
      <c r="E94" s="1" t="str">
        <v>Medium</v>
      </c>
      <c r="F94" s="1" t="str">
        <v>Not Run</v>
      </c>
      <c r="G94" s="1" t="str">
        <v>Not Run</v>
      </c>
      <c r="H94" s="1" t="str">
        <v>Not Run</v>
      </c>
      <c r="I94" s="1" t="str">
        <v>Not Run</v>
      </c>
      <c r="J94" s="1" t="str">
        <v>Not Run</v>
      </c>
      <c r="K94" s="1" t="str">
        <v>Not Run</v>
      </c>
      <c r="L94" s="1">
        <f>COUNTA(F94:K94)</f>
        <v>6</v>
      </c>
      <c r="M94" s="1">
        <f>COUNTIF(F94:K94,"Pass")</f>
        <v>0</v>
      </c>
      <c r="N94" s="1">
        <f>COUNTIF(F94:K94,"Fail")</f>
        <v>0</v>
      </c>
      <c r="O94" s="1" t="str">
        <f>IF(M94=0,"-",M94/L94)</f>
        <v>-</v>
      </c>
    </row>
    <row r="95">
      <c r="A95" s="1" t="str">
        <v>VEN-035</v>
      </c>
      <c r="B95" s="1" t="str">
        <v>Vendor</v>
      </c>
      <c r="C95" s="1" t="str">
        <v>Editing &amp; Updates</v>
      </c>
      <c r="D95" s="1" t="str">
        <v>Edit address table rows</v>
      </c>
      <c r="E95" s="1" t="str">
        <v>Medium</v>
      </c>
      <c r="F95" s="1" t="str">
        <v>Not Run</v>
      </c>
      <c r="G95" s="1" t="str">
        <v>Not Run</v>
      </c>
      <c r="H95" s="1" t="str">
        <v>Not Run</v>
      </c>
      <c r="I95" s="1" t="str">
        <v>Not Run</v>
      </c>
      <c r="J95" s="1" t="str">
        <v>Not Run</v>
      </c>
      <c r="K95" s="1" t="str">
        <v>Not Run</v>
      </c>
      <c r="L95" s="1">
        <f>COUNTA(F95:K95)</f>
        <v>6</v>
      </c>
      <c r="M95" s="1">
        <f>COUNTIF(F95:K95,"Pass")</f>
        <v>0</v>
      </c>
      <c r="N95" s="1">
        <f>COUNTIF(F95:K95,"Fail")</f>
        <v>0</v>
      </c>
      <c r="O95" s="1" t="str">
        <f>IF(M95=0,"-",M95/L95)</f>
        <v>-</v>
      </c>
    </row>
    <row r="96">
      <c r="A96" s="1" t="str">
        <v>VEN-036</v>
      </c>
      <c r="B96" s="1" t="str">
        <v>Vendor</v>
      </c>
      <c r="C96" s="1" t="str">
        <v>Form Actions</v>
      </c>
      <c r="D96" s="1" t="str">
        <v>Save Vendor successfully</v>
      </c>
      <c r="E96" s="1" t="str">
        <v>Critical</v>
      </c>
      <c r="F96" s="1" t="str">
        <v>Not Run</v>
      </c>
      <c r="G96" s="1" t="str">
        <v>Not Run</v>
      </c>
      <c r="H96" s="1" t="str">
        <v>Not Run</v>
      </c>
      <c r="I96" s="1" t="str">
        <v>Not Run</v>
      </c>
      <c r="J96" s="1" t="str">
        <v>Not Run</v>
      </c>
      <c r="K96" s="1" t="str">
        <v>Not Run</v>
      </c>
      <c r="L96" s="1">
        <f>COUNTA(F96:K96)</f>
        <v>6</v>
      </c>
      <c r="M96" s="1">
        <f>COUNTIF(F96:K96,"Pass")</f>
        <v>0</v>
      </c>
      <c r="N96" s="1">
        <f>COUNTIF(F96:K96,"Fail")</f>
        <v>0</v>
      </c>
      <c r="O96" s="1" t="str">
        <f>IF(M96=0,"-",M96/L96)</f>
        <v>-</v>
      </c>
    </row>
    <row r="97">
      <c r="A97" s="1" t="str">
        <v>VEN-037</v>
      </c>
      <c r="B97" s="1" t="str">
        <v>Vendor</v>
      </c>
      <c r="C97" s="1" t="str">
        <v>Form Actions</v>
      </c>
      <c r="D97" s="1" t="str">
        <v>Form shows "Not Saved" status before save</v>
      </c>
      <c r="E97" s="1" t="str">
        <v>Medium</v>
      </c>
      <c r="F97" s="1" t="str">
        <v>Not Run</v>
      </c>
      <c r="G97" s="1" t="str">
        <v>Not Run</v>
      </c>
      <c r="H97" s="1" t="str">
        <v>Not Run</v>
      </c>
      <c r="I97" s="1" t="str">
        <v>Not Run</v>
      </c>
      <c r="J97" s="1" t="str">
        <v>Not Run</v>
      </c>
      <c r="K97" s="1" t="str">
        <v>Not Run</v>
      </c>
      <c r="L97" s="1">
        <f>COUNTA(F97:K97)</f>
        <v>6</v>
      </c>
      <c r="M97" s="1">
        <f>COUNTIF(F97:K97,"Pass")</f>
        <v>0</v>
      </c>
      <c r="N97" s="1">
        <f>COUNTIF(F97:K97,"Fail")</f>
        <v>0</v>
      </c>
      <c r="O97" s="1" t="str">
        <f>IF(M97=0,"-",M97/L97)</f>
        <v>-</v>
      </c>
    </row>
    <row r="98">
      <c r="A98" s="1" t="str">
        <v>VEN-038</v>
      </c>
      <c r="B98" s="1" t="str">
        <v>Vendor</v>
      </c>
      <c r="C98" s="1" t="str">
        <v>Form Actions</v>
      </c>
      <c r="D98" s="1" t="str">
        <v>Form shows "Saved" status after successful save</v>
      </c>
      <c r="E98" s="1" t="str">
        <v>Medium</v>
      </c>
      <c r="F98" s="1" t="str">
        <v>Not Run</v>
      </c>
      <c r="G98" s="1" t="str">
        <v>Not Run</v>
      </c>
      <c r="H98" s="1" t="str">
        <v>Not Run</v>
      </c>
      <c r="I98" s="1" t="str">
        <v>Not Run</v>
      </c>
      <c r="J98" s="1" t="str">
        <v>Not Run</v>
      </c>
      <c r="K98" s="1" t="str">
        <v>Not Run</v>
      </c>
      <c r="L98" s="1">
        <f>COUNTA(F98:K98)</f>
        <v>6</v>
      </c>
      <c r="M98" s="1">
        <f>COUNTIF(F98:K98,"Pass")</f>
        <v>0</v>
      </c>
      <c r="N98" s="1">
        <f>COUNTIF(F98:K98,"Fail")</f>
        <v>0</v>
      </c>
      <c r="O98" s="1" t="str">
        <f>IF(M98=0,"-",M98/L98)</f>
        <v>-</v>
      </c>
    </row>
    <row r="99">
      <c r="A99" s="1" t="str">
        <v>VEN-039</v>
      </c>
      <c r="B99" s="1" t="str">
        <v>Vendor</v>
      </c>
      <c r="C99" s="1" t="str">
        <v>Form Actions</v>
      </c>
      <c r="D99" s="1" t="str">
        <v>Duplicate existing Vendor</v>
      </c>
      <c r="E99" s="1" t="str">
        <v>High</v>
      </c>
      <c r="F99" s="1" t="str">
        <v>Not Run</v>
      </c>
      <c r="G99" s="1" t="str">
        <v>Not Run</v>
      </c>
      <c r="H99" s="1" t="str">
        <v>Not Run</v>
      </c>
      <c r="I99" s="1" t="str">
        <v>Not Run</v>
      </c>
      <c r="J99" s="1" t="str">
        <v>Not Run</v>
      </c>
      <c r="K99" s="1" t="str">
        <v>Not Run</v>
      </c>
      <c r="L99" s="1">
        <f>COUNTA(F99:K99)</f>
        <v>6</v>
      </c>
      <c r="M99" s="1">
        <f>COUNTIF(F99:K99,"Pass")</f>
        <v>0</v>
      </c>
      <c r="N99" s="1">
        <f>COUNTIF(F99:K99,"Fail")</f>
        <v>0</v>
      </c>
      <c r="O99" s="1" t="str">
        <f>IF(M99=0,"-",M99/L99)</f>
        <v>-</v>
      </c>
    </row>
    <row r="100">
      <c r="A100" s="1" t="str">
        <v>VEN-040</v>
      </c>
      <c r="B100" s="1" t="str">
        <v>Vendor</v>
      </c>
      <c r="C100" s="1" t="str">
        <v>Form Actions</v>
      </c>
      <c r="D100" s="1" t="str">
        <v>Delete Vendor (if permitted)</v>
      </c>
      <c r="E100" s="1" t="str">
        <v>High</v>
      </c>
      <c r="F100" s="1" t="str">
        <v>Not Run</v>
      </c>
      <c r="G100" s="1" t="str">
        <v>Not Run</v>
      </c>
      <c r="H100" s="1" t="str">
        <v>Not Run</v>
      </c>
      <c r="I100" s="1" t="str">
        <v>Not Run</v>
      </c>
      <c r="J100" s="1" t="str">
        <v>Not Run</v>
      </c>
      <c r="K100" s="1" t="str">
        <v>Not Run</v>
      </c>
      <c r="L100" s="1">
        <f>COUNTA(F100:K100)</f>
        <v>6</v>
      </c>
      <c r="M100" s="1">
        <f>COUNTIF(F100:K100,"Pass")</f>
        <v>0</v>
      </c>
      <c r="N100" s="1">
        <f>COUNTIF(F100:K100,"Fail")</f>
        <v>0</v>
      </c>
      <c r="O100" s="1" t="str">
        <f>IF(M100=0,"-",M100/L100)</f>
        <v>-</v>
      </c>
    </row>
    <row r="101">
      <c r="A101" s="1" t="str">
        <v>▌ Attendance</v>
      </c>
    </row>
    <row r="102">
      <c r="A102" s="1" t="str">
        <v>ATT-001</v>
      </c>
      <c r="B102" s="1" t="str">
        <v>Attendance</v>
      </c>
      <c r="C102" s="1" t="str">
        <v>Attendance Creation &amp; Basic Details</v>
      </c>
      <c r="D102" s="1" t="str">
        <v>Create Attendance with mandatory fields only (Employee, Status, Attendance Date)</v>
      </c>
      <c r="E102" s="1" t="str">
        <v>Critical</v>
      </c>
      <c r="F102" s="1" t="str">
        <v>Not Run</v>
      </c>
      <c r="G102" s="1" t="str">
        <v>Not Run</v>
      </c>
      <c r="H102" s="1" t="str">
        <v>Not Run</v>
      </c>
      <c r="I102" s="1" t="str">
        <v>Not Run</v>
      </c>
      <c r="J102" s="1" t="str">
        <v>Not Run</v>
      </c>
      <c r="K102" s="1" t="str">
        <v>Not Run</v>
      </c>
      <c r="L102" s="1">
        <f>COUNTA(F102:K102)</f>
        <v>6</v>
      </c>
      <c r="M102" s="1">
        <f>COUNTIF(F102:K102,"Pass")</f>
        <v>0</v>
      </c>
      <c r="N102" s="1">
        <f>COUNTIF(F102:K102,"Fail")</f>
        <v>0</v>
      </c>
      <c r="O102" s="1" t="str">
        <f>IF(M102=0,"-",M102/L102)</f>
        <v>-</v>
      </c>
    </row>
    <row r="103">
      <c r="A103" s="1" t="str">
        <v>ATT-002</v>
      </c>
      <c r="B103" s="1" t="str">
        <v>Attendance</v>
      </c>
      <c r="C103" s="1" t="str">
        <v>Attendance Creation &amp; Basic Details</v>
      </c>
      <c r="D103" s="1" t="str">
        <v>Create Attendance with all basic fields (Employee, Status, Date, Company, Shift)</v>
      </c>
      <c r="E103" s="1" t="str">
        <v>Critical</v>
      </c>
      <c r="F103" s="1" t="str">
        <v>Not Run</v>
      </c>
      <c r="G103" s="1" t="str">
        <v>Not Run</v>
      </c>
      <c r="H103" s="1" t="str">
        <v>Not Run</v>
      </c>
      <c r="I103" s="1" t="str">
        <v>Not Run</v>
      </c>
      <c r="J103" s="1" t="str">
        <v>Not Run</v>
      </c>
      <c r="K103" s="1" t="str">
        <v>Not Run</v>
      </c>
      <c r="L103" s="1">
        <f>COUNTA(F103:K103)</f>
        <v>6</v>
      </c>
      <c r="M103" s="1">
        <f>COUNTIF(F103:K103,"Pass")</f>
        <v>0</v>
      </c>
      <c r="N103" s="1">
        <f>COUNTIF(F103:K103,"Fail")</f>
        <v>0</v>
      </c>
      <c r="O103" s="1" t="str">
        <f>IF(M103=0,"-",M103/L103)</f>
        <v>-</v>
      </c>
    </row>
    <row r="104">
      <c r="A104" s="1" t="str">
        <v>ATT-003</v>
      </c>
      <c r="B104" s="1" t="str">
        <v>Attendance</v>
      </c>
      <c r="C104" s="1" t="str">
        <v>Attendance Creation &amp; Basic Details</v>
      </c>
      <c r="D104" s="1" t="str">
        <v>Create Attendance with Status as Present</v>
      </c>
      <c r="E104" s="1" t="str">
        <v>Critical</v>
      </c>
      <c r="F104" s="1" t="str">
        <v>Not Run</v>
      </c>
      <c r="G104" s="1" t="str">
        <v>Not Run</v>
      </c>
      <c r="H104" s="1" t="str">
        <v>Not Run</v>
      </c>
      <c r="I104" s="1" t="str">
        <v>Not Run</v>
      </c>
      <c r="J104" s="1" t="str">
        <v>Not Run</v>
      </c>
      <c r="K104" s="1" t="str">
        <v>Not Run</v>
      </c>
      <c r="L104" s="1">
        <f>COUNTA(F104:K104)</f>
        <v>6</v>
      </c>
      <c r="M104" s="1">
        <f>COUNTIF(F104:K104,"Pass")</f>
        <v>0</v>
      </c>
      <c r="N104" s="1">
        <f>COUNTIF(F104:K104,"Fail")</f>
        <v>0</v>
      </c>
      <c r="O104" s="1" t="str">
        <f>IF(M104=0,"-",M104/L104)</f>
        <v>-</v>
      </c>
    </row>
    <row r="105">
      <c r="A105" s="1" t="str">
        <v>ATT-004</v>
      </c>
      <c r="B105" s="1" t="str">
        <v>Attendance</v>
      </c>
      <c r="C105" s="1" t="str">
        <v>Attendance Creation &amp; Basic Details</v>
      </c>
      <c r="D105" s="1" t="str">
        <v>Create Attendance with Status as Absent</v>
      </c>
      <c r="E105" s="1" t="str">
        <v>Critical</v>
      </c>
      <c r="F105" s="1" t="str">
        <v>Not Run</v>
      </c>
      <c r="G105" s="1" t="str">
        <v>Not Run</v>
      </c>
      <c r="H105" s="1" t="str">
        <v>Not Run</v>
      </c>
      <c r="I105" s="1" t="str">
        <v>Not Run</v>
      </c>
      <c r="J105" s="1" t="str">
        <v>Not Run</v>
      </c>
      <c r="K105" s="1" t="str">
        <v>Not Run</v>
      </c>
      <c r="L105" s="1">
        <f>COUNTA(F105:K105)</f>
        <v>6</v>
      </c>
      <c r="M105" s="1">
        <f>COUNTIF(F105:K105,"Pass")</f>
        <v>0</v>
      </c>
      <c r="N105" s="1">
        <f>COUNTIF(F105:K105,"Fail")</f>
        <v>0</v>
      </c>
      <c r="O105" s="1" t="str">
        <f>IF(M105=0,"-",M105/L105)</f>
        <v>-</v>
      </c>
    </row>
    <row r="106">
      <c r="A106" s="1" t="str">
        <v>ATT-005</v>
      </c>
      <c r="B106" s="1" t="str">
        <v>Attendance</v>
      </c>
      <c r="C106" s="1" t="str">
        <v>Attendance Creation &amp; Basic Details</v>
      </c>
      <c r="D106" s="1" t="str">
        <v>Create Attendance with Status as Leave</v>
      </c>
      <c r="E106" s="1" t="str">
        <v>High</v>
      </c>
      <c r="F106" s="1" t="str">
        <v>Not Run</v>
      </c>
      <c r="G106" s="1" t="str">
        <v>Not Run</v>
      </c>
      <c r="H106" s="1" t="str">
        <v>Not Run</v>
      </c>
      <c r="I106" s="1" t="str">
        <v>Not Run</v>
      </c>
      <c r="J106" s="1" t="str">
        <v>Not Run</v>
      </c>
      <c r="K106" s="1" t="str">
        <v>Not Run</v>
      </c>
      <c r="L106" s="1">
        <f>COUNTA(F106:K106)</f>
        <v>6</v>
      </c>
      <c r="M106" s="1">
        <f>COUNTIF(F106:K106,"Pass")</f>
        <v>0</v>
      </c>
      <c r="N106" s="1">
        <f>COUNTIF(F106:K106,"Fail")</f>
        <v>0</v>
      </c>
      <c r="O106" s="1" t="str">
        <f>IF(M106=0,"-",M106/L106)</f>
        <v>-</v>
      </c>
    </row>
    <row r="107">
      <c r="A107" s="1" t="str">
        <v>ATT-006</v>
      </c>
      <c r="B107" s="1" t="str">
        <v>Attendance</v>
      </c>
      <c r="C107" s="1" t="str">
        <v>Attendance Creation &amp; Basic Details</v>
      </c>
      <c r="D107" s="1" t="str">
        <v>Create Attendance with Status as Half Day</v>
      </c>
      <c r="E107" s="1" t="str">
        <v>High</v>
      </c>
      <c r="F107" s="1" t="str">
        <v>Not Run</v>
      </c>
      <c r="G107" s="1" t="str">
        <v>Not Run</v>
      </c>
      <c r="H107" s="1" t="str">
        <v>Not Run</v>
      </c>
      <c r="I107" s="1" t="str">
        <v>Not Run</v>
      </c>
      <c r="J107" s="1" t="str">
        <v>Not Run</v>
      </c>
      <c r="K107" s="1" t="str">
        <v>Not Run</v>
      </c>
      <c r="L107" s="1">
        <f>COUNTA(F107:K107)</f>
        <v>6</v>
      </c>
      <c r="M107" s="1">
        <f>COUNTIF(F107:K107,"Pass")</f>
        <v>0</v>
      </c>
      <c r="N107" s="1">
        <f>COUNTIF(F107:K107,"Fail")</f>
        <v>0</v>
      </c>
      <c r="O107" s="1" t="str">
        <f>IF(M107=0,"-",M107/L107)</f>
        <v>-</v>
      </c>
    </row>
    <row r="108">
      <c r="A108" s="1" t="str">
        <v>ATT-007</v>
      </c>
      <c r="B108" s="1" t="str">
        <v>Attendance</v>
      </c>
      <c r="C108" s="1" t="str">
        <v>Series &amp; Auto-generation</v>
      </c>
      <c r="D108" s="1" t="str">
        <v>Series field is auto-generated in format HR-ATT-.YYYY.-</v>
      </c>
      <c r="E108" s="1" t="str">
        <v>Critical</v>
      </c>
      <c r="F108" s="1" t="str">
        <v>Not Run</v>
      </c>
      <c r="G108" s="1" t="str">
        <v>Not Run</v>
      </c>
      <c r="H108" s="1" t="str">
        <v>Not Run</v>
      </c>
      <c r="I108" s="1" t="str">
        <v>Not Run</v>
      </c>
      <c r="J108" s="1" t="str">
        <v>Not Run</v>
      </c>
      <c r="K108" s="1" t="str">
        <v>Not Run</v>
      </c>
      <c r="L108" s="1">
        <f>COUNTA(F108:K108)</f>
        <v>6</v>
      </c>
      <c r="M108" s="1">
        <f>COUNTIF(F108:K108,"Pass")</f>
        <v>0</v>
      </c>
      <c r="N108" s="1">
        <f>COUNTIF(F108:K108,"Fail")</f>
        <v>0</v>
      </c>
      <c r="O108" s="1" t="str">
        <f>IF(M108=0,"-",M108/L108)</f>
        <v>-</v>
      </c>
    </row>
    <row r="109">
      <c r="A109" s="1" t="str">
        <v>ATT-008</v>
      </c>
      <c r="B109" s="1" t="str">
        <v>Attendance</v>
      </c>
      <c r="C109" s="1" t="str">
        <v>Series &amp; Auto-generation</v>
      </c>
      <c r="D109" s="1" t="str">
        <v>Series field cannot be manually edited</v>
      </c>
      <c r="E109" s="1" t="str">
        <v>High</v>
      </c>
      <c r="F109" s="1" t="str">
        <v>Not Run</v>
      </c>
      <c r="G109" s="1" t="str">
        <v>Not Run</v>
      </c>
      <c r="H109" s="1" t="str">
        <v>Not Run</v>
      </c>
      <c r="I109" s="1" t="str">
        <v>Not Run</v>
      </c>
      <c r="J109" s="1" t="str">
        <v>Not Run</v>
      </c>
      <c r="K109" s="1" t="str">
        <v>Not Run</v>
      </c>
      <c r="L109" s="1">
        <f>COUNTA(F109:K109)</f>
        <v>6</v>
      </c>
      <c r="M109" s="1">
        <f>COUNTIF(F109:K109,"Pass")</f>
        <v>0</v>
      </c>
      <c r="N109" s="1">
        <f>COUNTIF(F109:K109,"Fail")</f>
        <v>0</v>
      </c>
      <c r="O109" s="1" t="str">
        <f>IF(M109=0,"-",M109/L109)</f>
        <v>-</v>
      </c>
    </row>
    <row r="110">
      <c r="A110" s="1" t="str">
        <v>ATT-009</v>
      </c>
      <c r="B110" s="1" t="str">
        <v>Attendance</v>
      </c>
      <c r="C110" s="1" t="str">
        <v>Series &amp; Auto-generation</v>
      </c>
      <c r="D110" s="1" t="str">
        <v>Unique Series is generated for each attendance record</v>
      </c>
      <c r="E110" s="1" t="str">
        <v>Critical</v>
      </c>
      <c r="F110" s="1" t="str">
        <v>Not Run</v>
      </c>
      <c r="G110" s="1" t="str">
        <v>Not Run</v>
      </c>
      <c r="H110" s="1" t="str">
        <v>Not Run</v>
      </c>
      <c r="I110" s="1" t="str">
        <v>Not Run</v>
      </c>
      <c r="J110" s="1" t="str">
        <v>Not Run</v>
      </c>
      <c r="K110" s="1" t="str">
        <v>Not Run</v>
      </c>
      <c r="L110" s="1">
        <f>COUNTA(F110:K110)</f>
        <v>6</v>
      </c>
      <c r="M110" s="1">
        <f>COUNTIF(F110:K110,"Pass")</f>
        <v>0</v>
      </c>
      <c r="N110" s="1">
        <f>COUNTIF(F110:K110,"Fail")</f>
        <v>0</v>
      </c>
      <c r="O110" s="1" t="str">
        <f>IF(M110=0,"-",M110/L110)</f>
        <v>-</v>
      </c>
    </row>
    <row r="111">
      <c r="A111" s="1" t="str">
        <v>ATT-010</v>
      </c>
      <c r="B111" s="1" t="str">
        <v>Attendance</v>
      </c>
      <c r="C111" s="1" t="str">
        <v>Employee Selection</v>
      </c>
      <c r="D111" s="1" t="str">
        <v>Valid employee can be selected from dropdown</v>
      </c>
      <c r="E111" s="1" t="str">
        <v>Critical</v>
      </c>
      <c r="F111" s="1" t="str">
        <v>Not Run</v>
      </c>
      <c r="G111" s="1" t="str">
        <v>Not Run</v>
      </c>
      <c r="H111" s="1" t="str">
        <v>Not Run</v>
      </c>
      <c r="I111" s="1" t="str">
        <v>Not Run</v>
      </c>
      <c r="J111" s="1" t="str">
        <v>Not Run</v>
      </c>
      <c r="K111" s="1" t="str">
        <v>Not Run</v>
      </c>
      <c r="L111" s="1">
        <f>COUNTA(F111:K111)</f>
        <v>6</v>
      </c>
      <c r="M111" s="1">
        <f>COUNTIF(F111:K111,"Pass")</f>
        <v>0</v>
      </c>
      <c r="N111" s="1">
        <f>COUNTIF(F111:K111,"Fail")</f>
        <v>0</v>
      </c>
      <c r="O111" s="1" t="str">
        <f>IF(M111=0,"-",M111/L111)</f>
        <v>-</v>
      </c>
    </row>
    <row r="112">
      <c r="A112" s="1" t="str">
        <v>ATT-011</v>
      </c>
      <c r="B112" s="1" t="str">
        <v>Attendance</v>
      </c>
      <c r="C112" s="1" t="str">
        <v>Employee Selection</v>
      </c>
      <c r="D112" s="1" t="str">
        <v>Invalid/non-existent employee is rejected</v>
      </c>
      <c r="E112" s="1" t="str">
        <v>Critical</v>
      </c>
      <c r="F112" s="1" t="str">
        <v>Not Run</v>
      </c>
      <c r="G112" s="1" t="str">
        <v>Not Run</v>
      </c>
      <c r="H112" s="1" t="str">
        <v>Not Run</v>
      </c>
      <c r="I112" s="1" t="str">
        <v>Not Run</v>
      </c>
      <c r="J112" s="1" t="str">
        <v>Not Run</v>
      </c>
      <c r="K112" s="1" t="str">
        <v>Not Run</v>
      </c>
      <c r="L112" s="1">
        <f>COUNTA(F112:K112)</f>
        <v>6</v>
      </c>
      <c r="M112" s="1">
        <f>COUNTIF(F112:K112,"Pass")</f>
        <v>0</v>
      </c>
      <c r="N112" s="1">
        <f>COUNTIF(F112:K112,"Fail")</f>
        <v>0</v>
      </c>
      <c r="O112" s="1" t="str">
        <f>IF(M112=0,"-",M112/L112)</f>
        <v>-</v>
      </c>
    </row>
    <row r="113">
      <c r="A113" s="1" t="str">
        <v>ATT-012</v>
      </c>
      <c r="B113" s="1" t="str">
        <v>Attendance</v>
      </c>
      <c r="C113" s="1" t="str">
        <v>Employee Selection</v>
      </c>
      <c r="D113" s="1" t="str">
        <v>Employee field is mandatory and cannot be left blank</v>
      </c>
      <c r="E113" s="1" t="str">
        <v>Critical</v>
      </c>
      <c r="F113" s="1" t="str">
        <v>Not Run</v>
      </c>
      <c r="G113" s="1" t="str">
        <v>Not Run</v>
      </c>
      <c r="H113" s="1" t="str">
        <v>Not Run</v>
      </c>
      <c r="I113" s="1" t="str">
        <v>Not Run</v>
      </c>
      <c r="J113" s="1" t="str">
        <v>Not Run</v>
      </c>
      <c r="K113" s="1" t="str">
        <v>Not Run</v>
      </c>
      <c r="L113" s="1">
        <f>COUNTA(F113:K113)</f>
        <v>6</v>
      </c>
      <c r="M113" s="1">
        <f>COUNTIF(F113:K113,"Pass")</f>
        <v>0</v>
      </c>
      <c r="N113" s="1">
        <f>COUNTIF(F113:K113,"Fail")</f>
        <v>0</v>
      </c>
      <c r="O113" s="1" t="str">
        <f>IF(M113=0,"-",M113/L113)</f>
        <v>-</v>
      </c>
    </row>
    <row r="114">
      <c r="A114" s="1" t="str">
        <v>ATT-013</v>
      </c>
      <c r="B114" s="1" t="str">
        <v>Attendance</v>
      </c>
      <c r="C114" s="1" t="str">
        <v>Employee Selection</v>
      </c>
      <c r="D114" s="1" t="str">
        <v>Duplicate attendance for same employee on same date is blocked</v>
      </c>
      <c r="E114" s="1" t="str">
        <v>Critical</v>
      </c>
      <c r="F114" s="1" t="str">
        <v>Not Run</v>
      </c>
      <c r="G114" s="1" t="str">
        <v>Not Run</v>
      </c>
      <c r="H114" s="1" t="str">
        <v>Not Run</v>
      </c>
      <c r="I114" s="1" t="str">
        <v>Not Run</v>
      </c>
      <c r="J114" s="1" t="str">
        <v>Not Run</v>
      </c>
      <c r="K114" s="1" t="str">
        <v>Not Run</v>
      </c>
      <c r="L114" s="1">
        <f>COUNTA(F114:K114)</f>
        <v>6</v>
      </c>
      <c r="M114" s="1">
        <f>COUNTIF(F114:K114,"Pass")</f>
        <v>0</v>
      </c>
      <c r="N114" s="1">
        <f>COUNTIF(F114:K114,"Fail")</f>
        <v>0</v>
      </c>
      <c r="O114" s="1" t="str">
        <f>IF(M114=0,"-",M114/L114)</f>
        <v>-</v>
      </c>
    </row>
    <row r="115">
      <c r="A115" s="1" t="str">
        <v>ATT-014</v>
      </c>
      <c r="B115" s="1" t="str">
        <v>Attendance</v>
      </c>
      <c r="C115" s="1" t="str">
        <v>Attendance Date</v>
      </c>
      <c r="D115" s="1" t="str">
        <v>Valid attendance date is accepted</v>
      </c>
      <c r="E115" s="1" t="str">
        <v>Critical</v>
      </c>
      <c r="F115" s="1" t="str">
        <v>Not Run</v>
      </c>
      <c r="G115" s="1" t="str">
        <v>Not Run</v>
      </c>
      <c r="H115" s="1" t="str">
        <v>Not Run</v>
      </c>
      <c r="I115" s="1" t="str">
        <v>Not Run</v>
      </c>
      <c r="J115" s="1" t="str">
        <v>Not Run</v>
      </c>
      <c r="K115" s="1" t="str">
        <v>Not Run</v>
      </c>
      <c r="L115" s="1">
        <f>COUNTA(F115:K115)</f>
        <v>6</v>
      </c>
      <c r="M115" s="1">
        <f>COUNTIF(F115:K115,"Pass")</f>
        <v>0</v>
      </c>
      <c r="N115" s="1">
        <f>COUNTIF(F115:K115,"Fail")</f>
        <v>0</v>
      </c>
      <c r="O115" s="1" t="str">
        <f>IF(M115=0,"-",M115/L115)</f>
        <v>-</v>
      </c>
    </row>
    <row r="116">
      <c r="A116" s="1" t="str">
        <v>ATT-015</v>
      </c>
      <c r="B116" s="1" t="str">
        <v>Attendance</v>
      </c>
      <c r="C116" s="1" t="str">
        <v>Attendance Date</v>
      </c>
      <c r="D116" s="1" t="str">
        <v>Attendance Date cannot be left blank (mandatory)</v>
      </c>
      <c r="E116" s="1" t="str">
        <v>Critical</v>
      </c>
      <c r="F116" s="1" t="str">
        <v>Not Run</v>
      </c>
      <c r="G116" s="1" t="str">
        <v>Not Run</v>
      </c>
      <c r="H116" s="1" t="str">
        <v>Not Run</v>
      </c>
      <c r="I116" s="1" t="str">
        <v>Not Run</v>
      </c>
      <c r="J116" s="1" t="str">
        <v>Not Run</v>
      </c>
      <c r="K116" s="1" t="str">
        <v>Not Run</v>
      </c>
      <c r="L116" s="1">
        <f>COUNTA(F116:K116)</f>
        <v>6</v>
      </c>
      <c r="M116" s="1">
        <f>COUNTIF(F116:K116,"Pass")</f>
        <v>0</v>
      </c>
      <c r="N116" s="1">
        <f>COUNTIF(F116:K116,"Fail")</f>
        <v>0</v>
      </c>
      <c r="O116" s="1" t="str">
        <f>IF(M116=0,"-",M116/L116)</f>
        <v>-</v>
      </c>
    </row>
    <row r="117">
      <c r="A117" s="1" t="str">
        <v>ATT-016</v>
      </c>
      <c r="B117" s="1" t="str">
        <v>Attendance</v>
      </c>
      <c r="C117" s="1" t="str">
        <v>Attendance Date</v>
      </c>
      <c r="D117" s="1" t="str">
        <v>Future attendance date is accepted</v>
      </c>
      <c r="E117" s="1" t="str">
        <v>Medium</v>
      </c>
      <c r="F117" s="1" t="str">
        <v>Not Run</v>
      </c>
      <c r="G117" s="1" t="str">
        <v>Not Run</v>
      </c>
      <c r="H117" s="1" t="str">
        <v>Not Run</v>
      </c>
      <c r="I117" s="1" t="str">
        <v>Not Run</v>
      </c>
      <c r="J117" s="1" t="str">
        <v>Not Run</v>
      </c>
      <c r="K117" s="1" t="str">
        <v>Not Run</v>
      </c>
      <c r="L117" s="1">
        <f>COUNTA(F117:K117)</f>
        <v>6</v>
      </c>
      <c r="M117" s="1">
        <f>COUNTIF(F117:K117,"Pass")</f>
        <v>0</v>
      </c>
      <c r="N117" s="1">
        <f>COUNTIF(F117:K117,"Fail")</f>
        <v>0</v>
      </c>
      <c r="O117" s="1" t="str">
        <f>IF(M117=0,"-",M117/L117)</f>
        <v>-</v>
      </c>
    </row>
    <row r="118">
      <c r="A118" s="1" t="str">
        <v>ATT-017</v>
      </c>
      <c r="B118" s="1" t="str">
        <v>Attendance</v>
      </c>
      <c r="C118" s="1" t="str">
        <v>Attendance Date</v>
      </c>
      <c r="D118" s="1" t="str">
        <v>Past attendance date is accepted</v>
      </c>
      <c r="E118" s="1" t="str">
        <v>High</v>
      </c>
      <c r="F118" s="1" t="str">
        <v>Not Run</v>
      </c>
      <c r="G118" s="1" t="str">
        <v>Not Run</v>
      </c>
      <c r="H118" s="1" t="str">
        <v>Not Run</v>
      </c>
      <c r="I118" s="1" t="str">
        <v>Not Run</v>
      </c>
      <c r="J118" s="1" t="str">
        <v>Not Run</v>
      </c>
      <c r="K118" s="1" t="str">
        <v>Not Run</v>
      </c>
      <c r="L118" s="1">
        <f>COUNTA(F118:K118)</f>
        <v>6</v>
      </c>
      <c r="M118" s="1">
        <f>COUNTIF(F118:K118,"Pass")</f>
        <v>0</v>
      </c>
      <c r="N118" s="1">
        <f>COUNTIF(F118:K118,"Fail")</f>
        <v>0</v>
      </c>
      <c r="O118" s="1" t="str">
        <f>IF(M118=0,"-",M118/L118)</f>
        <v>-</v>
      </c>
    </row>
    <row r="119">
      <c r="A119" s="1" t="str">
        <v>ATT-018</v>
      </c>
      <c r="B119" s="1" t="str">
        <v>Attendance</v>
      </c>
      <c r="C119" s="1" t="str">
        <v>Attendance Date</v>
      </c>
      <c r="D119" s="1" t="str">
        <v>Invalid date format is rejected</v>
      </c>
      <c r="E119" s="1" t="str">
        <v>Critical</v>
      </c>
      <c r="F119" s="1" t="str">
        <v>Not Run</v>
      </c>
      <c r="G119" s="1" t="str">
        <v>Not Run</v>
      </c>
      <c r="H119" s="1" t="str">
        <v>Not Run</v>
      </c>
      <c r="I119" s="1" t="str">
        <v>Not Run</v>
      </c>
      <c r="J119" s="1" t="str">
        <v>Not Run</v>
      </c>
      <c r="K119" s="1" t="str">
        <v>Not Run</v>
      </c>
      <c r="L119" s="1">
        <f>COUNTA(F119:K119)</f>
        <v>6</v>
      </c>
      <c r="M119" s="1">
        <f>COUNTIF(F119:K119,"Pass")</f>
        <v>0</v>
      </c>
      <c r="N119" s="1">
        <f>COUNTIF(F119:K119,"Fail")</f>
        <v>0</v>
      </c>
      <c r="O119" s="1" t="str">
        <f>IF(M119=0,"-",M119/L119)</f>
        <v>-</v>
      </c>
    </row>
    <row r="120">
      <c r="A120" s="1" t="str">
        <v>ATT-019</v>
      </c>
      <c r="B120" s="1" t="str">
        <v>Attendance</v>
      </c>
      <c r="C120" s="1" t="str">
        <v>Status Management</v>
      </c>
      <c r="D120" s="1" t="str">
        <v>Status dropdown shows all available options (Present, Absent, Leave, Half Day)</v>
      </c>
      <c r="E120" s="1" t="str">
        <v>High</v>
      </c>
      <c r="F120" s="1" t="str">
        <v>Not Run</v>
      </c>
      <c r="G120" s="1" t="str">
        <v>Not Run</v>
      </c>
      <c r="H120" s="1" t="str">
        <v>Not Run</v>
      </c>
      <c r="I120" s="1" t="str">
        <v>Not Run</v>
      </c>
      <c r="J120" s="1" t="str">
        <v>Not Run</v>
      </c>
      <c r="K120" s="1" t="str">
        <v>Not Run</v>
      </c>
      <c r="L120" s="1">
        <f>COUNTA(F120:K120)</f>
        <v>6</v>
      </c>
      <c r="M120" s="1">
        <f>COUNTIF(F120:K120,"Pass")</f>
        <v>0</v>
      </c>
      <c r="N120" s="1">
        <f>COUNTIF(F120:K120,"Fail")</f>
        <v>0</v>
      </c>
      <c r="O120" s="1" t="str">
        <f>IF(M120=0,"-",M120/L120)</f>
        <v>-</v>
      </c>
    </row>
    <row r="121">
      <c r="A121" s="1" t="str">
        <v>ATT-020</v>
      </c>
      <c r="B121" s="1" t="str">
        <v>Attendance</v>
      </c>
      <c r="C121" s="1" t="str">
        <v>Status Management</v>
      </c>
      <c r="D121" s="1" t="str">
        <v>Status cannot be left blank (mandatory)</v>
      </c>
      <c r="E121" s="1" t="str">
        <v>Critical</v>
      </c>
      <c r="F121" s="1" t="str">
        <v>Not Run</v>
      </c>
      <c r="G121" s="1" t="str">
        <v>Not Run</v>
      </c>
      <c r="H121" s="1" t="str">
        <v>Not Run</v>
      </c>
      <c r="I121" s="1" t="str">
        <v>Not Run</v>
      </c>
      <c r="J121" s="1" t="str">
        <v>Not Run</v>
      </c>
      <c r="K121" s="1" t="str">
        <v>Not Run</v>
      </c>
      <c r="L121" s="1">
        <f>COUNTA(F121:K121)</f>
        <v>6</v>
      </c>
      <c r="M121" s="1">
        <f>COUNTIF(F121:K121,"Pass")</f>
        <v>0</v>
      </c>
      <c r="N121" s="1">
        <f>COUNTIF(F121:K121,"Fail")</f>
        <v>0</v>
      </c>
      <c r="O121" s="1" t="str">
        <f>IF(M121=0,"-",M121/L121)</f>
        <v>-</v>
      </c>
    </row>
    <row r="122">
      <c r="A122" s="1" t="str">
        <v>ATT-021</v>
      </c>
      <c r="B122" s="1" t="str">
        <v>Attendance</v>
      </c>
      <c r="C122" s="1" t="str">
        <v>Status Management</v>
      </c>
      <c r="D122" s="1" t="str">
        <v>Status can be changed after creation</v>
      </c>
      <c r="E122" s="1" t="str">
        <v>High</v>
      </c>
      <c r="F122" s="1" t="str">
        <v>Not Run</v>
      </c>
      <c r="G122" s="1" t="str">
        <v>Not Run</v>
      </c>
      <c r="H122" s="1" t="str">
        <v>Not Run</v>
      </c>
      <c r="I122" s="1" t="str">
        <v>Not Run</v>
      </c>
      <c r="J122" s="1" t="str">
        <v>Not Run</v>
      </c>
      <c r="K122" s="1" t="str">
        <v>Not Run</v>
      </c>
      <c r="L122" s="1">
        <f>COUNTA(F122:K122)</f>
        <v>6</v>
      </c>
      <c r="M122" s="1">
        <f>COUNTIF(F122:K122,"Pass")</f>
        <v>0</v>
      </c>
      <c r="N122" s="1">
        <f>COUNTIF(F122:K122,"Fail")</f>
        <v>0</v>
      </c>
      <c r="O122" s="1" t="str">
        <f>IF(M122=0,"-",M122/L122)</f>
        <v>-</v>
      </c>
    </row>
    <row r="123">
      <c r="A123" s="1" t="str">
        <v>ATT-022</v>
      </c>
      <c r="B123" s="1" t="str">
        <v>Attendance</v>
      </c>
      <c r="C123" s="1" t="str">
        <v>Company Assignment</v>
      </c>
      <c r="D123" s="1" t="str">
        <v>Valid company is selected and displayed</v>
      </c>
      <c r="E123" s="1" t="str">
        <v>High</v>
      </c>
      <c r="F123" s="1" t="str">
        <v>Not Run</v>
      </c>
      <c r="G123" s="1" t="str">
        <v>Not Run</v>
      </c>
      <c r="H123" s="1" t="str">
        <v>Not Run</v>
      </c>
      <c r="I123" s="1" t="str">
        <v>Not Run</v>
      </c>
      <c r="J123" s="1" t="str">
        <v>Not Run</v>
      </c>
      <c r="K123" s="1" t="str">
        <v>Not Run</v>
      </c>
      <c r="L123" s="1">
        <f>COUNTA(F123:K123)</f>
        <v>6</v>
      </c>
      <c r="M123" s="1">
        <f>COUNTIF(F123:K123,"Pass")</f>
        <v>0</v>
      </c>
      <c r="N123" s="1">
        <f>COUNTIF(F123:K123,"Fail")</f>
        <v>0</v>
      </c>
      <c r="O123" s="1" t="str">
        <f>IF(M123=0,"-",M123/L123)</f>
        <v>-</v>
      </c>
    </row>
    <row r="124">
      <c r="A124" s="1" t="str">
        <v>ATT-023</v>
      </c>
      <c r="B124" s="1" t="str">
        <v>Attendance</v>
      </c>
      <c r="C124" s="1" t="str">
        <v>Company Assignment</v>
      </c>
      <c r="D124" s="1" t="str">
        <v>Company field is auto-populated based on employee</v>
      </c>
      <c r="E124" s="1" t="str">
        <v>High</v>
      </c>
      <c r="F124" s="1" t="str">
        <v>Not Run</v>
      </c>
      <c r="G124" s="1" t="str">
        <v>Not Run</v>
      </c>
      <c r="H124" s="1" t="str">
        <v>Not Run</v>
      </c>
      <c r="I124" s="1" t="str">
        <v>Not Run</v>
      </c>
      <c r="J124" s="1" t="str">
        <v>Not Run</v>
      </c>
      <c r="K124" s="1" t="str">
        <v>Not Run</v>
      </c>
      <c r="L124" s="1">
        <f>COUNTA(F124:K124)</f>
        <v>6</v>
      </c>
      <c r="M124" s="1">
        <f>COUNTIF(F124:K124,"Pass")</f>
        <v>0</v>
      </c>
      <c r="N124" s="1">
        <f>COUNTIF(F124:K124,"Fail")</f>
        <v>0</v>
      </c>
      <c r="O124" s="1" t="str">
        <f>IF(M124=0,"-",M124/L124)</f>
        <v>-</v>
      </c>
    </row>
    <row r="125">
      <c r="A125" s="1" t="str">
        <v>ATT-024</v>
      </c>
      <c r="B125" s="1" t="str">
        <v>Attendance</v>
      </c>
      <c r="C125" s="1" t="str">
        <v>Company Assignment</v>
      </c>
      <c r="D125" s="1" t="str">
        <v>Company field can be manually changed</v>
      </c>
      <c r="E125" s="1" t="str">
        <v>Medium</v>
      </c>
      <c r="F125" s="1" t="str">
        <v>Not Run</v>
      </c>
      <c r="G125" s="1" t="str">
        <v>Not Run</v>
      </c>
      <c r="H125" s="1" t="str">
        <v>Not Run</v>
      </c>
      <c r="I125" s="1" t="str">
        <v>Not Run</v>
      </c>
      <c r="J125" s="1" t="str">
        <v>Not Run</v>
      </c>
      <c r="K125" s="1" t="str">
        <v>Not Run</v>
      </c>
      <c r="L125" s="1">
        <f>COUNTA(F125:K125)</f>
        <v>6</v>
      </c>
      <c r="M125" s="1">
        <f>COUNTIF(F125:K125,"Pass")</f>
        <v>0</v>
      </c>
      <c r="N125" s="1">
        <f>COUNTIF(F125:K125,"Fail")</f>
        <v>0</v>
      </c>
      <c r="O125" s="1" t="str">
        <f>IF(M125=0,"-",M125/L125)</f>
        <v>-</v>
      </c>
    </row>
    <row r="126">
      <c r="A126" s="1" t="str">
        <v>ATT-025</v>
      </c>
      <c r="B126" s="1" t="str">
        <v>Attendance</v>
      </c>
      <c r="C126" s="1" t="str">
        <v>Shift Details</v>
      </c>
      <c r="D126" s="1" t="str">
        <v>Valid shift can be selected from dropdown</v>
      </c>
      <c r="E126" s="1" t="str">
        <v>High</v>
      </c>
      <c r="F126" s="1" t="str">
        <v>Not Run</v>
      </c>
      <c r="G126" s="1" t="str">
        <v>Not Run</v>
      </c>
      <c r="H126" s="1" t="str">
        <v>Not Run</v>
      </c>
      <c r="I126" s="1" t="str">
        <v>Not Run</v>
      </c>
      <c r="J126" s="1" t="str">
        <v>Not Run</v>
      </c>
      <c r="K126" s="1" t="str">
        <v>Not Run</v>
      </c>
      <c r="L126" s="1">
        <f>COUNTA(F126:K126)</f>
        <v>6</v>
      </c>
      <c r="M126" s="1">
        <f>COUNTIF(F126:K126,"Pass")</f>
        <v>0</v>
      </c>
      <c r="N126" s="1">
        <f>COUNTIF(F126:K126,"Fail")</f>
        <v>0</v>
      </c>
      <c r="O126" s="1" t="str">
        <f>IF(M126=0,"-",M126/L126)</f>
        <v>-</v>
      </c>
    </row>
    <row r="127">
      <c r="A127" s="1" t="str">
        <v>ATT-026</v>
      </c>
      <c r="B127" s="1" t="str">
        <v>Attendance</v>
      </c>
      <c r="C127" s="1" t="str">
        <v>Shift Details</v>
      </c>
      <c r="D127" s="1" t="str">
        <v>Shift field is optional and can be left blank</v>
      </c>
      <c r="E127" s="1" t="str">
        <v>Medium</v>
      </c>
      <c r="F127" s="1" t="str">
        <v>Not Run</v>
      </c>
      <c r="G127" s="1" t="str">
        <v>Not Run</v>
      </c>
      <c r="H127" s="1" t="str">
        <v>Not Run</v>
      </c>
      <c r="I127" s="1" t="str">
        <v>Not Run</v>
      </c>
      <c r="J127" s="1" t="str">
        <v>Not Run</v>
      </c>
      <c r="K127" s="1" t="str">
        <v>Not Run</v>
      </c>
      <c r="L127" s="1">
        <f>COUNTA(F127:K127)</f>
        <v>6</v>
      </c>
      <c r="M127" s="1">
        <f>COUNTIF(F127:K127,"Pass")</f>
        <v>0</v>
      </c>
      <c r="N127" s="1">
        <f>COUNTIF(F127:K127,"Fail")</f>
        <v>0</v>
      </c>
      <c r="O127" s="1" t="str">
        <f>IF(M127=0,"-",M127/L127)</f>
        <v>-</v>
      </c>
    </row>
    <row r="128">
      <c r="A128" s="1" t="str">
        <v>ATT-027</v>
      </c>
      <c r="B128" s="1" t="str">
        <v>Attendance</v>
      </c>
      <c r="C128" s="1" t="str">
        <v>Shift Details</v>
      </c>
      <c r="D128" s="1" t="str">
        <v>Shift auto-populates based on employee's assigned shift</v>
      </c>
      <c r="E128" s="1" t="str">
        <v>High</v>
      </c>
      <c r="F128" s="1" t="str">
        <v>Not Run</v>
      </c>
      <c r="G128" s="1" t="str">
        <v>Not Run</v>
      </c>
      <c r="H128" s="1" t="str">
        <v>Not Run</v>
      </c>
      <c r="I128" s="1" t="str">
        <v>Not Run</v>
      </c>
      <c r="J128" s="1" t="str">
        <v>Not Run</v>
      </c>
      <c r="K128" s="1" t="str">
        <v>Not Run</v>
      </c>
      <c r="L128" s="1">
        <f>COUNTA(F128:K128)</f>
        <v>6</v>
      </c>
      <c r="M128" s="1">
        <f>COUNTIF(F128:K128,"Pass")</f>
        <v>0</v>
      </c>
      <c r="N128" s="1">
        <f>COUNTIF(F128:K128,"Fail")</f>
        <v>0</v>
      </c>
      <c r="O128" s="1" t="str">
        <f>IF(M128=0,"-",M128/L128)</f>
        <v>-</v>
      </c>
    </row>
    <row r="129">
      <c r="A129" s="1" t="str">
        <v>ATT-028</v>
      </c>
      <c r="B129" s="1" t="str">
        <v>Attendance</v>
      </c>
      <c r="C129" s="1" t="str">
        <v>Shift Details</v>
      </c>
      <c r="D129" s="1" t="str">
        <v>Multiple shifts can be assigned to same employee on different dates</v>
      </c>
      <c r="E129" s="1" t="str">
        <v>Medium</v>
      </c>
      <c r="F129" s="1" t="str">
        <v>Not Run</v>
      </c>
      <c r="G129" s="1" t="str">
        <v>Not Run</v>
      </c>
      <c r="H129" s="1" t="str">
        <v>Not Run</v>
      </c>
      <c r="I129" s="1" t="str">
        <v>Not Run</v>
      </c>
      <c r="J129" s="1" t="str">
        <v>Not Run</v>
      </c>
      <c r="K129" s="1" t="str">
        <v>Not Run</v>
      </c>
      <c r="L129" s="1">
        <f>COUNTA(F129:K129)</f>
        <v>6</v>
      </c>
      <c r="M129" s="1">
        <f>COUNTIF(F129:K129,"Pass")</f>
        <v>0</v>
      </c>
      <c r="N129" s="1">
        <f>COUNTIF(F129:K129,"Fail")</f>
        <v>0</v>
      </c>
      <c r="O129" s="1" t="str">
        <f>IF(M129=0,"-",M129/L129)</f>
        <v>-</v>
      </c>
    </row>
    <row r="130">
      <c r="A130" s="1" t="str">
        <v>ATT-029</v>
      </c>
      <c r="B130" s="1" t="str">
        <v>Attendance</v>
      </c>
      <c r="C130" s="1" t="str">
        <v>Late Entry Tracking</v>
      </c>
      <c r="D130" s="1" t="str">
        <v>Late Entry checkbox can be marked</v>
      </c>
      <c r="E130" s="1" t="str">
        <v>High</v>
      </c>
      <c r="F130" s="1" t="str">
        <v>Not Run</v>
      </c>
      <c r="G130" s="1" t="str">
        <v>Not Run</v>
      </c>
      <c r="H130" s="1" t="str">
        <v>Not Run</v>
      </c>
      <c r="I130" s="1" t="str">
        <v>Not Run</v>
      </c>
      <c r="J130" s="1" t="str">
        <v>Not Run</v>
      </c>
      <c r="K130" s="1" t="str">
        <v>Not Run</v>
      </c>
      <c r="L130" s="1">
        <f>COUNTA(F130:K130)</f>
        <v>6</v>
      </c>
      <c r="M130" s="1">
        <f>COUNTIF(F130:K130,"Pass")</f>
        <v>0</v>
      </c>
      <c r="N130" s="1">
        <f>COUNTIF(F130:K130,"Fail")</f>
        <v>0</v>
      </c>
      <c r="O130" s="1" t="str">
        <f>IF(M130=0,"-",M130/L130)</f>
        <v>-</v>
      </c>
    </row>
    <row r="131">
      <c r="A131" s="1" t="str">
        <v>ATT-030</v>
      </c>
      <c r="B131" s="1" t="str">
        <v>Attendance</v>
      </c>
      <c r="C131" s="1" t="str">
        <v>Late Entry Tracking</v>
      </c>
      <c r="D131" s="1" t="str">
        <v>Late Entry is checked when employee arrives after scheduled time</v>
      </c>
      <c r="E131" s="1" t="str">
        <v>High</v>
      </c>
      <c r="F131" s="1" t="str">
        <v>Not Run</v>
      </c>
      <c r="G131" s="1" t="str">
        <v>Not Run</v>
      </c>
      <c r="H131" s="1" t="str">
        <v>Not Run</v>
      </c>
      <c r="I131" s="1" t="str">
        <v>Not Run</v>
      </c>
      <c r="J131" s="1" t="str">
        <v>Not Run</v>
      </c>
      <c r="K131" s="1" t="str">
        <v>Not Run</v>
      </c>
      <c r="L131" s="1">
        <f>COUNTA(F131:K131)</f>
        <v>6</v>
      </c>
      <c r="M131" s="1">
        <f>COUNTIF(F131:K131,"Pass")</f>
        <v>0</v>
      </c>
      <c r="N131" s="1">
        <f>COUNTIF(F131:K131,"Fail")</f>
        <v>0</v>
      </c>
      <c r="O131" s="1" t="str">
        <f>IF(M131=0,"-",M131/L131)</f>
        <v>-</v>
      </c>
    </row>
    <row r="132">
      <c r="A132" s="1" t="str">
        <v>ATT-031</v>
      </c>
      <c r="B132" s="1" t="str">
        <v>Attendance</v>
      </c>
      <c r="C132" s="1" t="str">
        <v>Late Entry Tracking</v>
      </c>
      <c r="D132" s="1" t="str">
        <v>Late Entry with Present status is valid</v>
      </c>
      <c r="E132" s="1" t="str">
        <v>Critical</v>
      </c>
      <c r="F132" s="1" t="str">
        <v>Not Run</v>
      </c>
      <c r="G132" s="1" t="str">
        <v>Not Run</v>
      </c>
      <c r="H132" s="1" t="str">
        <v>Not Run</v>
      </c>
      <c r="I132" s="1" t="str">
        <v>Not Run</v>
      </c>
      <c r="J132" s="1" t="str">
        <v>Not Run</v>
      </c>
      <c r="K132" s="1" t="str">
        <v>Not Run</v>
      </c>
      <c r="L132" s="1">
        <f>COUNTA(F132:K132)</f>
        <v>6</v>
      </c>
      <c r="M132" s="1">
        <f>COUNTIF(F132:K132,"Pass")</f>
        <v>0</v>
      </c>
      <c r="N132" s="1">
        <f>COUNTIF(F132:K132,"Fail")</f>
        <v>0</v>
      </c>
      <c r="O132" s="1" t="str">
        <f>IF(M132=0,"-",M132/L132)</f>
        <v>-</v>
      </c>
    </row>
    <row r="133">
      <c r="A133" s="1" t="str">
        <v>ATT-032</v>
      </c>
      <c r="B133" s="1" t="str">
        <v>Attendance</v>
      </c>
      <c r="C133" s="1" t="str">
        <v>Late Entry Tracking</v>
      </c>
      <c r="D133" s="1" t="str">
        <v>Late Entry with Absent status is invalid</v>
      </c>
      <c r="E133" s="1" t="str">
        <v>Critical</v>
      </c>
      <c r="F133" s="1" t="str">
        <v>Not Run</v>
      </c>
      <c r="G133" s="1" t="str">
        <v>Not Run</v>
      </c>
      <c r="H133" s="1" t="str">
        <v>Not Run</v>
      </c>
      <c r="I133" s="1" t="str">
        <v>Not Run</v>
      </c>
      <c r="J133" s="1" t="str">
        <v>Not Run</v>
      </c>
      <c r="K133" s="1" t="str">
        <v>Not Run</v>
      </c>
      <c r="L133" s="1">
        <f>COUNTA(F133:K133)</f>
        <v>6</v>
      </c>
      <c r="M133" s="1">
        <f>COUNTIF(F133:K133,"Pass")</f>
        <v>0</v>
      </c>
      <c r="N133" s="1">
        <f>COUNTIF(F133:K133,"Fail")</f>
        <v>0</v>
      </c>
      <c r="O133" s="1" t="str">
        <f>IF(M133=0,"-",M133/L133)</f>
        <v>-</v>
      </c>
    </row>
    <row r="134">
      <c r="A134" s="1" t="str">
        <v>ATT-033</v>
      </c>
      <c r="B134" s="1" t="str">
        <v>Attendance</v>
      </c>
      <c r="C134" s="1" t="str">
        <v>Late Entry Tracking</v>
      </c>
      <c r="D134" s="1" t="str">
        <v>Late Entry checkbox can be unchecked</v>
      </c>
      <c r="E134" s="1" t="str">
        <v>Medium</v>
      </c>
      <c r="F134" s="1" t="str">
        <v>Not Run</v>
      </c>
      <c r="G134" s="1" t="str">
        <v>Not Run</v>
      </c>
      <c r="H134" s="1" t="str">
        <v>Not Run</v>
      </c>
      <c r="I134" s="1" t="str">
        <v>Not Run</v>
      </c>
      <c r="J134" s="1" t="str">
        <v>Not Run</v>
      </c>
      <c r="K134" s="1" t="str">
        <v>Not Run</v>
      </c>
      <c r="L134" s="1">
        <f>COUNTA(F134:K134)</f>
        <v>6</v>
      </c>
      <c r="M134" s="1">
        <f>COUNTIF(F134:K134,"Pass")</f>
        <v>0</v>
      </c>
      <c r="N134" s="1">
        <f>COUNTIF(F134:K134,"Fail")</f>
        <v>0</v>
      </c>
      <c r="O134" s="1" t="str">
        <f>IF(M134=0,"-",M134/L134)</f>
        <v>-</v>
      </c>
    </row>
    <row r="135">
      <c r="A135" s="1" t="str">
        <v>ATT-034</v>
      </c>
      <c r="B135" s="1" t="str">
        <v>Attendance</v>
      </c>
      <c r="C135" s="1" t="str">
        <v>Early Exit Tracking</v>
      </c>
      <c r="D135" s="1" t="str">
        <v>Early Exit checkbox can be marked</v>
      </c>
      <c r="E135" s="1" t="str">
        <v>High</v>
      </c>
      <c r="F135" s="1" t="str">
        <v>Not Run</v>
      </c>
      <c r="G135" s="1" t="str">
        <v>Not Run</v>
      </c>
      <c r="H135" s="1" t="str">
        <v>Not Run</v>
      </c>
      <c r="I135" s="1" t="str">
        <v>Not Run</v>
      </c>
      <c r="J135" s="1" t="str">
        <v>Not Run</v>
      </c>
      <c r="K135" s="1" t="str">
        <v>Not Run</v>
      </c>
      <c r="L135" s="1">
        <f>COUNTA(F135:K135)</f>
        <v>6</v>
      </c>
      <c r="M135" s="1">
        <f>COUNTIF(F135:K135,"Pass")</f>
        <v>0</v>
      </c>
      <c r="N135" s="1">
        <f>COUNTIF(F135:K135,"Fail")</f>
        <v>0</v>
      </c>
      <c r="O135" s="1" t="str">
        <f>IF(M135=0,"-",M135/L135)</f>
        <v>-</v>
      </c>
    </row>
    <row r="136">
      <c r="A136" s="1" t="str">
        <v>ATT-035</v>
      </c>
      <c r="B136" s="1" t="str">
        <v>Attendance</v>
      </c>
      <c r="C136" s="1" t="str">
        <v>Early Exit Tracking</v>
      </c>
      <c r="D136" s="1" t="str">
        <v>Early Exit is checked when employee leaves before scheduled time</v>
      </c>
      <c r="E136" s="1" t="str">
        <v>High</v>
      </c>
      <c r="F136" s="1" t="str">
        <v>Not Run</v>
      </c>
      <c r="G136" s="1" t="str">
        <v>Not Run</v>
      </c>
      <c r="H136" s="1" t="str">
        <v>Not Run</v>
      </c>
      <c r="I136" s="1" t="str">
        <v>Not Run</v>
      </c>
      <c r="J136" s="1" t="str">
        <v>Not Run</v>
      </c>
      <c r="K136" s="1" t="str">
        <v>Not Run</v>
      </c>
      <c r="L136" s="1">
        <f>COUNTA(F136:K136)</f>
        <v>6</v>
      </c>
      <c r="M136" s="1">
        <f>COUNTIF(F136:K136,"Pass")</f>
        <v>0</v>
      </c>
      <c r="N136" s="1">
        <f>COUNTIF(F136:K136,"Fail")</f>
        <v>0</v>
      </c>
      <c r="O136" s="1" t="str">
        <f>IF(M136=0,"-",M136/L136)</f>
        <v>-</v>
      </c>
    </row>
    <row r="137">
      <c r="A137" s="1" t="str">
        <v>ATT-036</v>
      </c>
      <c r="B137" s="1" t="str">
        <v>Attendance</v>
      </c>
      <c r="C137" s="1" t="str">
        <v>Early Exit Tracking</v>
      </c>
      <c r="D137" s="1" t="str">
        <v>Early Exit with Present status is valid</v>
      </c>
      <c r="E137" s="1" t="str">
        <v>Critical</v>
      </c>
      <c r="F137" s="1" t="str">
        <v>Not Run</v>
      </c>
      <c r="G137" s="1" t="str">
        <v>Not Run</v>
      </c>
      <c r="H137" s="1" t="str">
        <v>Not Run</v>
      </c>
      <c r="I137" s="1" t="str">
        <v>Not Run</v>
      </c>
      <c r="J137" s="1" t="str">
        <v>Not Run</v>
      </c>
      <c r="K137" s="1" t="str">
        <v>Not Run</v>
      </c>
      <c r="L137" s="1">
        <f>COUNTA(F137:K137)</f>
        <v>6</v>
      </c>
      <c r="M137" s="1">
        <f>COUNTIF(F137:K137,"Pass")</f>
        <v>0</v>
      </c>
      <c r="N137" s="1">
        <f>COUNTIF(F137:K137,"Fail")</f>
        <v>0</v>
      </c>
      <c r="O137" s="1" t="str">
        <f>IF(M137=0,"-",M137/L137)</f>
        <v>-</v>
      </c>
    </row>
    <row r="138">
      <c r="A138" s="1" t="str">
        <v>ATT-037</v>
      </c>
      <c r="B138" s="1" t="str">
        <v>Attendance</v>
      </c>
      <c r="C138" s="1" t="str">
        <v>Early Exit Tracking</v>
      </c>
      <c r="D138" s="1" t="str">
        <v>Early Exit with Absent status is invalid</v>
      </c>
      <c r="E138" s="1" t="str">
        <v>Critical</v>
      </c>
      <c r="F138" s="1" t="str">
        <v>Not Run</v>
      </c>
      <c r="G138" s="1" t="str">
        <v>Not Run</v>
      </c>
      <c r="H138" s="1" t="str">
        <v>Not Run</v>
      </c>
      <c r="I138" s="1" t="str">
        <v>Not Run</v>
      </c>
      <c r="J138" s="1" t="str">
        <v>Not Run</v>
      </c>
      <c r="K138" s="1" t="str">
        <v>Not Run</v>
      </c>
      <c r="L138" s="1">
        <f>COUNTA(F138:K138)</f>
        <v>6</v>
      </c>
      <c r="M138" s="1">
        <f>COUNTIF(F138:K138,"Pass")</f>
        <v>0</v>
      </c>
      <c r="N138" s="1">
        <f>COUNTIF(F138:K138,"Fail")</f>
        <v>0</v>
      </c>
      <c r="O138" s="1" t="str">
        <f>IF(M138=0,"-",M138/L138)</f>
        <v>-</v>
      </c>
    </row>
    <row r="139">
      <c r="A139" s="1" t="str">
        <v>ATT-038</v>
      </c>
      <c r="B139" s="1" t="str">
        <v>Attendance</v>
      </c>
      <c r="C139" s="1" t="str">
        <v>Early Exit Tracking</v>
      </c>
      <c r="D139" s="1" t="str">
        <v>Early Exit checkbox can be unchecked</v>
      </c>
      <c r="E139" s="1" t="str">
        <v>Medium</v>
      </c>
      <c r="F139" s="1" t="str">
        <v>Not Run</v>
      </c>
      <c r="G139" s="1" t="str">
        <v>Not Run</v>
      </c>
      <c r="H139" s="1" t="str">
        <v>Not Run</v>
      </c>
      <c r="I139" s="1" t="str">
        <v>Not Run</v>
      </c>
      <c r="J139" s="1" t="str">
        <v>Not Run</v>
      </c>
      <c r="K139" s="1" t="str">
        <v>Not Run</v>
      </c>
      <c r="L139" s="1">
        <f>COUNTA(F139:K139)</f>
        <v>6</v>
      </c>
      <c r="M139" s="1">
        <f>COUNTIF(F139:K139,"Pass")</f>
        <v>0</v>
      </c>
      <c r="N139" s="1">
        <f>COUNTIF(F139:K139,"Fail")</f>
        <v>0</v>
      </c>
      <c r="O139" s="1" t="str">
        <f>IF(M139=0,"-",M139/L139)</f>
        <v>-</v>
      </c>
    </row>
    <row r="140">
      <c r="A140" s="1" t="str">
        <v>ATT-039</v>
      </c>
      <c r="B140" s="1" t="str">
        <v>Attendance</v>
      </c>
      <c r="C140" s="1" t="str">
        <v>Late Entry &amp; Early Exit Combination</v>
      </c>
      <c r="D140" s="1" t="str">
        <v>Both Late Entry and Early Exit can be checked together</v>
      </c>
      <c r="E140" s="1" t="str">
        <v>High</v>
      </c>
      <c r="F140" s="1" t="str">
        <v>Not Run</v>
      </c>
      <c r="G140" s="1" t="str">
        <v>Not Run</v>
      </c>
      <c r="H140" s="1" t="str">
        <v>Not Run</v>
      </c>
      <c r="I140" s="1" t="str">
        <v>Not Run</v>
      </c>
      <c r="J140" s="1" t="str">
        <v>Not Run</v>
      </c>
      <c r="K140" s="1" t="str">
        <v>Not Run</v>
      </c>
      <c r="L140" s="1">
        <f>COUNTA(F140:K140)</f>
        <v>6</v>
      </c>
      <c r="M140" s="1">
        <f>COUNTIF(F140:K140,"Pass")</f>
        <v>0</v>
      </c>
      <c r="N140" s="1">
        <f>COUNTIF(F140:K140,"Fail")</f>
        <v>0</v>
      </c>
      <c r="O140" s="1" t="str">
        <f>IF(M140=0,"-",M140/L140)</f>
        <v>-</v>
      </c>
    </row>
    <row r="141">
      <c r="A141" s="1" t="str">
        <v>ATT-040</v>
      </c>
      <c r="B141" s="1" t="str">
        <v>Attendance</v>
      </c>
      <c r="C141" s="1" t="str">
        <v>Late Entry &amp; Early Exit Combination</v>
      </c>
      <c r="D141" s="1" t="str">
        <v>Both Late Entry and Early Exit cannot be checked with Absent status</v>
      </c>
      <c r="E141" s="1" t="str">
        <v>Critical</v>
      </c>
      <c r="F141" s="1" t="str">
        <v>Not Run</v>
      </c>
      <c r="G141" s="1" t="str">
        <v>Not Run</v>
      </c>
      <c r="H141" s="1" t="str">
        <v>Not Run</v>
      </c>
      <c r="I141" s="1" t="str">
        <v>Not Run</v>
      </c>
      <c r="J141" s="1" t="str">
        <v>Not Run</v>
      </c>
      <c r="K141" s="1" t="str">
        <v>Not Run</v>
      </c>
      <c r="L141" s="1">
        <f>COUNTA(F141:K141)</f>
        <v>6</v>
      </c>
      <c r="M141" s="1">
        <f>COUNTIF(F141:K141,"Pass")</f>
        <v>0</v>
      </c>
      <c r="N141" s="1">
        <f>COUNTIF(F141:K141,"Fail")</f>
        <v>0</v>
      </c>
      <c r="O141" s="1" t="str">
        <f>IF(M141=0,"-",M141/L141)</f>
        <v>-</v>
      </c>
    </row>
    <row r="142">
      <c r="A142" s="1" t="str">
        <v>ATT-041</v>
      </c>
      <c r="B142" s="1" t="str">
        <v>Attendance</v>
      </c>
      <c r="C142" s="1" t="str">
        <v>Data Validation</v>
      </c>
      <c r="D142" s="1" t="str">
        <v>Attendance cannot be saved without Employee</v>
      </c>
      <c r="E142" s="1" t="str">
        <v>Critical</v>
      </c>
      <c r="F142" s="1" t="str">
        <v>Not Run</v>
      </c>
      <c r="G142" s="1" t="str">
        <v>Not Run</v>
      </c>
      <c r="H142" s="1" t="str">
        <v>Not Run</v>
      </c>
      <c r="I142" s="1" t="str">
        <v>Not Run</v>
      </c>
      <c r="J142" s="1" t="str">
        <v>Not Run</v>
      </c>
      <c r="K142" s="1" t="str">
        <v>Not Run</v>
      </c>
      <c r="L142" s="1">
        <f>COUNTA(F142:K142)</f>
        <v>6</v>
      </c>
      <c r="M142" s="1">
        <f>COUNTIF(F142:K142,"Pass")</f>
        <v>0</v>
      </c>
      <c r="N142" s="1">
        <f>COUNTIF(F142:K142,"Fail")</f>
        <v>0</v>
      </c>
      <c r="O142" s="1" t="str">
        <f>IF(M142=0,"-",M142/L142)</f>
        <v>-</v>
      </c>
    </row>
    <row r="143">
      <c r="A143" s="1" t="str">
        <v>ATT-042</v>
      </c>
      <c r="B143" s="1" t="str">
        <v>Attendance</v>
      </c>
      <c r="C143" s="1" t="str">
        <v>Data Validation</v>
      </c>
      <c r="D143" s="1" t="str">
        <v>Attendance cannot be saved without Status</v>
      </c>
      <c r="E143" s="1" t="str">
        <v>Critical</v>
      </c>
      <c r="F143" s="1" t="str">
        <v>Not Run</v>
      </c>
      <c r="G143" s="1" t="str">
        <v>Not Run</v>
      </c>
      <c r="H143" s="1" t="str">
        <v>Not Run</v>
      </c>
      <c r="I143" s="1" t="str">
        <v>Not Run</v>
      </c>
      <c r="J143" s="1" t="str">
        <v>Not Run</v>
      </c>
      <c r="K143" s="1" t="str">
        <v>Not Run</v>
      </c>
      <c r="L143" s="1">
        <f>COUNTA(F143:K143)</f>
        <v>6</v>
      </c>
      <c r="M143" s="1">
        <f>COUNTIF(F143:K143,"Pass")</f>
        <v>0</v>
      </c>
      <c r="N143" s="1">
        <f>COUNTIF(F143:K143,"Fail")</f>
        <v>0</v>
      </c>
      <c r="O143" s="1" t="str">
        <f>IF(M143=0,"-",M143/L143)</f>
        <v>-</v>
      </c>
    </row>
    <row r="144">
      <c r="A144" s="1" t="str">
        <v>ATT-043</v>
      </c>
      <c r="B144" s="1" t="str">
        <v>Attendance</v>
      </c>
      <c r="C144" s="1" t="str">
        <v>Data Validation</v>
      </c>
      <c r="D144" s="1" t="str">
        <v>Attendance cannot be saved without Attendance Date</v>
      </c>
      <c r="E144" s="1" t="str">
        <v>Critical</v>
      </c>
      <c r="F144" s="1" t="str">
        <v>Not Run</v>
      </c>
      <c r="G144" s="1" t="str">
        <v>Not Run</v>
      </c>
      <c r="H144" s="1" t="str">
        <v>Not Run</v>
      </c>
      <c r="I144" s="1" t="str">
        <v>Not Run</v>
      </c>
      <c r="J144" s="1" t="str">
        <v>Not Run</v>
      </c>
      <c r="K144" s="1" t="str">
        <v>Not Run</v>
      </c>
      <c r="L144" s="1">
        <f>COUNTA(F144:K144)</f>
        <v>6</v>
      </c>
      <c r="M144" s="1">
        <f>COUNTIF(F144:K144,"Pass")</f>
        <v>0</v>
      </c>
      <c r="N144" s="1">
        <f>COUNTIF(F144:K144,"Fail")</f>
        <v>0</v>
      </c>
      <c r="O144" s="1" t="str">
        <f>IF(M144=0,"-",M144/L144)</f>
        <v>-</v>
      </c>
    </row>
    <row r="145">
      <c r="A145" s="1" t="str">
        <v>ATT-044</v>
      </c>
      <c r="B145" s="1" t="str">
        <v>Attendance</v>
      </c>
      <c r="C145" s="1" t="str">
        <v>Editing &amp; Updates</v>
      </c>
      <c r="D145" s="1" t="str">
        <v>Edit existing Attendance Status</v>
      </c>
      <c r="E145" s="1" t="str">
        <v>High</v>
      </c>
      <c r="F145" s="1" t="str">
        <v>Not Run</v>
      </c>
      <c r="G145" s="1" t="str">
        <v>Not Run</v>
      </c>
      <c r="H145" s="1" t="str">
        <v>Not Run</v>
      </c>
      <c r="I145" s="1" t="str">
        <v>Not Run</v>
      </c>
      <c r="J145" s="1" t="str">
        <v>Not Run</v>
      </c>
      <c r="K145" s="1" t="str">
        <v>Not Run</v>
      </c>
      <c r="L145" s="1">
        <f>COUNTA(F145:K145)</f>
        <v>6</v>
      </c>
      <c r="M145" s="1">
        <f>COUNTIF(F145:K145,"Pass")</f>
        <v>0</v>
      </c>
      <c r="N145" s="1">
        <f>COUNTIF(F145:K145,"Fail")</f>
        <v>0</v>
      </c>
      <c r="O145" s="1" t="str">
        <f>IF(M145=0,"-",M145/L145)</f>
        <v>-</v>
      </c>
    </row>
    <row r="146">
      <c r="A146" s="1" t="str">
        <v>ATT-045</v>
      </c>
      <c r="B146" s="1" t="str">
        <v>Attendance</v>
      </c>
      <c r="C146" s="1" t="str">
        <v>Editing &amp; Updates</v>
      </c>
      <c r="D146" s="1" t="str">
        <v>Edit Employee in existing Attendance</v>
      </c>
      <c r="E146" s="1" t="str">
        <v>High</v>
      </c>
      <c r="F146" s="1" t="str">
        <v>Not Run</v>
      </c>
      <c r="G146" s="1" t="str">
        <v>Not Run</v>
      </c>
      <c r="H146" s="1" t="str">
        <v>Not Run</v>
      </c>
      <c r="I146" s="1" t="str">
        <v>Not Run</v>
      </c>
      <c r="J146" s="1" t="str">
        <v>Not Run</v>
      </c>
      <c r="K146" s="1" t="str">
        <v>Not Run</v>
      </c>
      <c r="L146" s="1">
        <f>COUNTA(F146:K146)</f>
        <v>6</v>
      </c>
      <c r="M146" s="1">
        <f>COUNTIF(F146:K146,"Pass")</f>
        <v>0</v>
      </c>
      <c r="N146" s="1">
        <f>COUNTIF(F146:K146,"Fail")</f>
        <v>0</v>
      </c>
      <c r="O146" s="1" t="str">
        <f>IF(M146=0,"-",M146/L146)</f>
        <v>-</v>
      </c>
    </row>
    <row r="147">
      <c r="A147" s="1" t="str">
        <v>ATT-046</v>
      </c>
      <c r="B147" s="1" t="str">
        <v>Attendance</v>
      </c>
      <c r="C147" s="1" t="str">
        <v>Editing &amp; Updates</v>
      </c>
      <c r="D147" s="1" t="str">
        <v>Edit Attendance Date</v>
      </c>
      <c r="E147" s="1" t="str">
        <v>High</v>
      </c>
      <c r="F147" s="1" t="str">
        <v>Not Run</v>
      </c>
      <c r="G147" s="1" t="str">
        <v>Not Run</v>
      </c>
      <c r="H147" s="1" t="str">
        <v>Not Run</v>
      </c>
      <c r="I147" s="1" t="str">
        <v>Not Run</v>
      </c>
      <c r="J147" s="1" t="str">
        <v>Not Run</v>
      </c>
      <c r="K147" s="1" t="str">
        <v>Not Run</v>
      </c>
      <c r="L147" s="1">
        <f>COUNTA(F147:K147)</f>
        <v>6</v>
      </c>
      <c r="M147" s="1">
        <f>COUNTIF(F147:K147,"Pass")</f>
        <v>0</v>
      </c>
      <c r="N147" s="1">
        <f>COUNTIF(F147:K147,"Fail")</f>
        <v>0</v>
      </c>
      <c r="O147" s="1" t="str">
        <f>IF(M147=0,"-",M147/L147)</f>
        <v>-</v>
      </c>
    </row>
    <row r="148">
      <c r="A148" s="1" t="str">
        <v>ATT-047</v>
      </c>
      <c r="B148" s="1" t="str">
        <v>Attendance</v>
      </c>
      <c r="C148" s="1" t="str">
        <v>Editing &amp; Updates</v>
      </c>
      <c r="D148" s="1" t="str">
        <v>Edit Shift details</v>
      </c>
      <c r="E148" s="1" t="str">
        <v>Medium</v>
      </c>
      <c r="F148" s="1" t="str">
        <v>Not Run</v>
      </c>
      <c r="G148" s="1" t="str">
        <v>Not Run</v>
      </c>
      <c r="H148" s="1" t="str">
        <v>Not Run</v>
      </c>
      <c r="I148" s="1" t="str">
        <v>Not Run</v>
      </c>
      <c r="J148" s="1" t="str">
        <v>Not Run</v>
      </c>
      <c r="K148" s="1" t="str">
        <v>Not Run</v>
      </c>
      <c r="L148" s="1">
        <f>COUNTA(F148:K148)</f>
        <v>6</v>
      </c>
      <c r="M148" s="1">
        <f>COUNTIF(F148:K148,"Pass")</f>
        <v>0</v>
      </c>
      <c r="N148" s="1">
        <f>COUNTIF(F148:K148,"Fail")</f>
        <v>0</v>
      </c>
      <c r="O148" s="1" t="str">
        <f>IF(M148=0,"-",M148/L148)</f>
        <v>-</v>
      </c>
    </row>
    <row r="149">
      <c r="A149" s="1" t="str">
        <v>ATT-048</v>
      </c>
      <c r="B149" s="1" t="str">
        <v>Attendance</v>
      </c>
      <c r="C149" s="1" t="str">
        <v>Editing &amp; Updates</v>
      </c>
      <c r="D149" s="1" t="str">
        <v>Toggle Late Entry checkbox</v>
      </c>
      <c r="E149" s="1" t="str">
        <v>Medium</v>
      </c>
      <c r="F149" s="1" t="str">
        <v>Not Run</v>
      </c>
      <c r="G149" s="1" t="str">
        <v>Not Run</v>
      </c>
      <c r="H149" s="1" t="str">
        <v>Not Run</v>
      </c>
      <c r="I149" s="1" t="str">
        <v>Not Run</v>
      </c>
      <c r="J149" s="1" t="str">
        <v>Not Run</v>
      </c>
      <c r="K149" s="1" t="str">
        <v>Not Run</v>
      </c>
      <c r="L149" s="1">
        <f>COUNTA(F149:K149)</f>
        <v>6</v>
      </c>
      <c r="M149" s="1">
        <f>COUNTIF(F149:K149,"Pass")</f>
        <v>0</v>
      </c>
      <c r="N149" s="1">
        <f>COUNTIF(F149:K149,"Fail")</f>
        <v>0</v>
      </c>
      <c r="O149" s="1" t="str">
        <f>IF(M149=0,"-",M149/L149)</f>
        <v>-</v>
      </c>
    </row>
    <row r="150">
      <c r="A150" s="1" t="str">
        <v>ATT-049</v>
      </c>
      <c r="B150" s="1" t="str">
        <v>Attendance</v>
      </c>
      <c r="C150" s="1" t="str">
        <v>Editing &amp; Updates</v>
      </c>
      <c r="D150" s="1" t="str">
        <v>Toggle Early Exit checkbox</v>
      </c>
      <c r="E150" s="1" t="str">
        <v>Medium</v>
      </c>
      <c r="F150" s="1" t="str">
        <v>Not Run</v>
      </c>
      <c r="G150" s="1" t="str">
        <v>Not Run</v>
      </c>
      <c r="H150" s="1" t="str">
        <v>Not Run</v>
      </c>
      <c r="I150" s="1" t="str">
        <v>Not Run</v>
      </c>
      <c r="J150" s="1" t="str">
        <v>Not Run</v>
      </c>
      <c r="K150" s="1" t="str">
        <v>Not Run</v>
      </c>
      <c r="L150" s="1">
        <f>COUNTA(F150:K150)</f>
        <v>6</v>
      </c>
      <c r="M150" s="1">
        <f>COUNTIF(F150:K150,"Pass")</f>
        <v>0</v>
      </c>
      <c r="N150" s="1">
        <f>COUNTIF(F150:K150,"Fail")</f>
        <v>0</v>
      </c>
      <c r="O150" s="1" t="str">
        <f>IF(M150=0,"-",M150/L150)</f>
        <v>-</v>
      </c>
    </row>
    <row r="151">
      <c r="A151" s="1" t="str">
        <v>ATT-050</v>
      </c>
      <c r="B151" s="1" t="str">
        <v>Attendance</v>
      </c>
      <c r="C151" s="1" t="str">
        <v>Form Actions</v>
      </c>
      <c r="D151" s="1" t="str">
        <v>Save Attendance successfully</v>
      </c>
      <c r="E151" s="1" t="str">
        <v>Critical</v>
      </c>
      <c r="F151" s="1" t="str">
        <v>Not Run</v>
      </c>
      <c r="G151" s="1" t="str">
        <v>Not Run</v>
      </c>
      <c r="H151" s="1" t="str">
        <v>Not Run</v>
      </c>
      <c r="I151" s="1" t="str">
        <v>Not Run</v>
      </c>
      <c r="J151" s="1" t="str">
        <v>Not Run</v>
      </c>
      <c r="K151" s="1" t="str">
        <v>Not Run</v>
      </c>
      <c r="L151" s="1">
        <f>COUNTA(F151:K151)</f>
        <v>6</v>
      </c>
      <c r="M151" s="1">
        <f>COUNTIF(F151:K151,"Pass")</f>
        <v>0</v>
      </c>
      <c r="N151" s="1">
        <f>COUNTIF(F151:K151,"Fail")</f>
        <v>0</v>
      </c>
      <c r="O151" s="1" t="str">
        <f>IF(M151=0,"-",M151/L151)</f>
        <v>-</v>
      </c>
    </row>
    <row r="152">
      <c r="A152" s="1" t="str">
        <v>ATT-051</v>
      </c>
      <c r="B152" s="1" t="str">
        <v>Attendance</v>
      </c>
      <c r="C152" s="1" t="str">
        <v>Form Actions</v>
      </c>
      <c r="D152" s="1" t="str">
        <v>Form shows "Not Saved" status before save</v>
      </c>
      <c r="E152" s="1" t="str">
        <v>Medium</v>
      </c>
      <c r="F152" s="1" t="str">
        <v>Not Run</v>
      </c>
      <c r="G152" s="1" t="str">
        <v>Not Run</v>
      </c>
      <c r="H152" s="1" t="str">
        <v>Not Run</v>
      </c>
      <c r="I152" s="1" t="str">
        <v>Not Run</v>
      </c>
      <c r="J152" s="1" t="str">
        <v>Not Run</v>
      </c>
      <c r="K152" s="1" t="str">
        <v>Not Run</v>
      </c>
      <c r="L152" s="1">
        <f>COUNTA(F152:K152)</f>
        <v>6</v>
      </c>
      <c r="M152" s="1">
        <f>COUNTIF(F152:K152,"Pass")</f>
        <v>0</v>
      </c>
      <c r="N152" s="1">
        <f>COUNTIF(F152:K152,"Fail")</f>
        <v>0</v>
      </c>
      <c r="O152" s="1" t="str">
        <f>IF(M152=0,"-",M152/L152)</f>
        <v>-</v>
      </c>
    </row>
    <row r="153">
      <c r="A153" s="1" t="str">
        <v>ATT-052</v>
      </c>
      <c r="B153" s="1" t="str">
        <v>Attendance</v>
      </c>
      <c r="C153" s="1" t="str">
        <v>Form Actions</v>
      </c>
      <c r="D153" s="1" t="str">
        <v>Form shows "Saved" status after successful save</v>
      </c>
      <c r="E153" s="1" t="str">
        <v>Medium</v>
      </c>
      <c r="F153" s="1" t="str">
        <v>Not Run</v>
      </c>
      <c r="G153" s="1" t="str">
        <v>Not Run</v>
      </c>
      <c r="H153" s="1" t="str">
        <v>Not Run</v>
      </c>
      <c r="I153" s="1" t="str">
        <v>Not Run</v>
      </c>
      <c r="J153" s="1" t="str">
        <v>Not Run</v>
      </c>
      <c r="K153" s="1" t="str">
        <v>Not Run</v>
      </c>
      <c r="L153" s="1">
        <f>COUNTA(F153:K153)</f>
        <v>6</v>
      </c>
      <c r="M153" s="1">
        <f>COUNTIF(F153:K153,"Pass")</f>
        <v>0</v>
      </c>
      <c r="N153" s="1">
        <f>COUNTIF(F153:K153,"Fail")</f>
        <v>0</v>
      </c>
      <c r="O153" s="1" t="str">
        <f>IF(M153=0,"-",M153/L153)</f>
        <v>-</v>
      </c>
    </row>
    <row r="154">
      <c r="A154" s="1" t="str">
        <v>▌ Expense Claim</v>
      </c>
    </row>
    <row r="155">
      <c r="A155" s="1" t="str">
        <v>EXP-001</v>
      </c>
      <c r="B155" s="1" t="str">
        <v>Expense Claim</v>
      </c>
      <c r="C155" s="1" t="str">
        <v>Expense Claim Creation &amp; Basic Details</v>
      </c>
      <c r="D155" s="1" t="str">
        <v>Create Expense Claim with mandatory fields only (From Employee, Expense Approver)</v>
      </c>
      <c r="E155" s="1" t="str">
        <v>Critical</v>
      </c>
      <c r="F155" s="1" t="str">
        <v>Not Run</v>
      </c>
      <c r="G155" s="1" t="str">
        <v>Not Run</v>
      </c>
      <c r="H155" s="1" t="str">
        <v>Not Run</v>
      </c>
      <c r="I155" s="1" t="str">
        <v>Not Run</v>
      </c>
      <c r="J155" s="1" t="str">
        <v>Not Run</v>
      </c>
      <c r="K155" s="1" t="str">
        <v>Not Run</v>
      </c>
      <c r="L155" s="1">
        <f>COUNTA(F155:K155)</f>
        <v>6</v>
      </c>
      <c r="M155" s="1">
        <f>COUNTIF(F155:K155,"Pass")</f>
        <v>0</v>
      </c>
      <c r="N155" s="1">
        <f>COUNTIF(F155:K155,"Fail")</f>
        <v>0</v>
      </c>
      <c r="O155" s="1" t="str">
        <f>IF(M155=0,"-",M155/L155)</f>
        <v>-</v>
      </c>
    </row>
    <row r="156">
      <c r="A156" s="1" t="str">
        <v>EXP-002</v>
      </c>
      <c r="B156" s="1" t="str">
        <v>Expense Claim</v>
      </c>
      <c r="C156" s="1" t="str">
        <v>Expense Claim Creation &amp; Basic Details</v>
      </c>
      <c r="D156" s="1" t="str">
        <v>Create Expense Claim with all basic fields (Employee, Department, Company, Approver)</v>
      </c>
      <c r="E156" s="1" t="str">
        <v>Critical</v>
      </c>
      <c r="F156" s="1" t="str">
        <v>Not Run</v>
      </c>
      <c r="G156" s="1" t="str">
        <v>Not Run</v>
      </c>
      <c r="H156" s="1" t="str">
        <v>Not Run</v>
      </c>
      <c r="I156" s="1" t="str">
        <v>Not Run</v>
      </c>
      <c r="J156" s="1" t="str">
        <v>Not Run</v>
      </c>
      <c r="K156" s="1" t="str">
        <v>Not Run</v>
      </c>
      <c r="L156" s="1">
        <f>COUNTA(F156:K156)</f>
        <v>6</v>
      </c>
      <c r="M156" s="1">
        <f>COUNTIF(F156:K156,"Pass")</f>
        <v>0</v>
      </c>
      <c r="N156" s="1">
        <f>COUNTIF(F156:K156,"Fail")</f>
        <v>0</v>
      </c>
      <c r="O156" s="1" t="str">
        <f>IF(M156=0,"-",M156/L156)</f>
        <v>-</v>
      </c>
    </row>
    <row r="157">
      <c r="A157" s="1" t="str">
        <v>EXP-003</v>
      </c>
      <c r="B157" s="1" t="str">
        <v>Expense Claim</v>
      </c>
      <c r="C157" s="1" t="str">
        <v>Series &amp; Auto-generation</v>
      </c>
      <c r="D157" s="1" t="str">
        <v>Series field is auto-generated in format HR-EXP-.YYYY.-</v>
      </c>
      <c r="E157" s="1" t="str">
        <v>Critical</v>
      </c>
      <c r="F157" s="1" t="str">
        <v>Not Run</v>
      </c>
      <c r="G157" s="1" t="str">
        <v>Not Run</v>
      </c>
      <c r="H157" s="1" t="str">
        <v>Not Run</v>
      </c>
      <c r="I157" s="1" t="str">
        <v>Not Run</v>
      </c>
      <c r="J157" s="1" t="str">
        <v>Not Run</v>
      </c>
      <c r="K157" s="1" t="str">
        <v>Not Run</v>
      </c>
      <c r="L157" s="1">
        <f>COUNTA(F157:K157)</f>
        <v>6</v>
      </c>
      <c r="M157" s="1">
        <f>COUNTIF(F157:K157,"Pass")</f>
        <v>0</v>
      </c>
      <c r="N157" s="1">
        <f>COUNTIF(F157:K157,"Fail")</f>
        <v>0</v>
      </c>
      <c r="O157" s="1" t="str">
        <f>IF(M157=0,"-",M157/L157)</f>
        <v>-</v>
      </c>
    </row>
    <row r="158">
      <c r="A158" s="1" t="str">
        <v>EXP-004</v>
      </c>
      <c r="B158" s="1" t="str">
        <v>Expense Claim</v>
      </c>
      <c r="C158" s="1" t="str">
        <v>Series &amp; Auto-generation</v>
      </c>
      <c r="D158" s="1" t="str">
        <v>Series field cannot be manually edited</v>
      </c>
      <c r="E158" s="1" t="str">
        <v>High</v>
      </c>
      <c r="F158" s="1" t="str">
        <v>Not Run</v>
      </c>
      <c r="G158" s="1" t="str">
        <v>Not Run</v>
      </c>
      <c r="H158" s="1" t="str">
        <v>Not Run</v>
      </c>
      <c r="I158" s="1" t="str">
        <v>Not Run</v>
      </c>
      <c r="J158" s="1" t="str">
        <v>Not Run</v>
      </c>
      <c r="K158" s="1" t="str">
        <v>Not Run</v>
      </c>
      <c r="L158" s="1">
        <f>COUNTA(F158:K158)</f>
        <v>6</v>
      </c>
      <c r="M158" s="1">
        <f>COUNTIF(F158:K158,"Pass")</f>
        <v>0</v>
      </c>
      <c r="N158" s="1">
        <f>COUNTIF(F158:K158,"Fail")</f>
        <v>0</v>
      </c>
      <c r="O158" s="1" t="str">
        <f>IF(M158=0,"-",M158/L158)</f>
        <v>-</v>
      </c>
    </row>
    <row r="159">
      <c r="A159" s="1" t="str">
        <v>EXP-005</v>
      </c>
      <c r="B159" s="1" t="str">
        <v>Expense Claim</v>
      </c>
      <c r="C159" s="1" t="str">
        <v>Series &amp; Auto-generation</v>
      </c>
      <c r="D159" s="1" t="str">
        <v>Unique Series is generated for each expense claim record</v>
      </c>
      <c r="E159" s="1" t="str">
        <v>Critical</v>
      </c>
      <c r="F159" s="1" t="str">
        <v>Not Run</v>
      </c>
      <c r="G159" s="1" t="str">
        <v>Not Run</v>
      </c>
      <c r="H159" s="1" t="str">
        <v>Not Run</v>
      </c>
      <c r="I159" s="1" t="str">
        <v>Not Run</v>
      </c>
      <c r="J159" s="1" t="str">
        <v>Not Run</v>
      </c>
      <c r="K159" s="1" t="str">
        <v>Not Run</v>
      </c>
      <c r="L159" s="1">
        <f>COUNTA(F159:K159)</f>
        <v>6</v>
      </c>
      <c r="M159" s="1">
        <f>COUNTIF(F159:K159,"Pass")</f>
        <v>0</v>
      </c>
      <c r="N159" s="1">
        <f>COUNTIF(F159:K159,"Fail")</f>
        <v>0</v>
      </c>
      <c r="O159" s="1" t="str">
        <f>IF(M159=0,"-",M159/L159)</f>
        <v>-</v>
      </c>
    </row>
    <row r="160">
      <c r="A160" s="1" t="str">
        <v>EXP-006</v>
      </c>
      <c r="B160" s="1" t="str">
        <v>Expense Claim</v>
      </c>
      <c r="C160" s="1" t="str">
        <v>Employee Selection</v>
      </c>
      <c r="D160" s="1" t="str">
        <v>Valid employee can be selected in From Employee field</v>
      </c>
      <c r="E160" s="1" t="str">
        <v>Critical</v>
      </c>
      <c r="F160" s="1" t="str">
        <v>Not Run</v>
      </c>
      <c r="G160" s="1" t="str">
        <v>Not Run</v>
      </c>
      <c r="H160" s="1" t="str">
        <v>Not Run</v>
      </c>
      <c r="I160" s="1" t="str">
        <v>Not Run</v>
      </c>
      <c r="J160" s="1" t="str">
        <v>Not Run</v>
      </c>
      <c r="K160" s="1" t="str">
        <v>Not Run</v>
      </c>
      <c r="L160" s="1">
        <f>COUNTA(F160:K160)</f>
        <v>6</v>
      </c>
      <c r="M160" s="1">
        <f>COUNTIF(F160:K160,"Pass")</f>
        <v>0</v>
      </c>
      <c r="N160" s="1">
        <f>COUNTIF(F160:K160,"Fail")</f>
        <v>0</v>
      </c>
      <c r="O160" s="1" t="str">
        <f>IF(M160=0,"-",M160/L160)</f>
        <v>-</v>
      </c>
    </row>
    <row r="161">
      <c r="A161" s="1" t="str">
        <v>EXP-007</v>
      </c>
      <c r="B161" s="1" t="str">
        <v>Expense Claim</v>
      </c>
      <c r="C161" s="1" t="str">
        <v>Employee Selection</v>
      </c>
      <c r="D161" s="1" t="str">
        <v>Invalid/non-existent employee is rejected</v>
      </c>
      <c r="E161" s="1" t="str">
        <v>Critical</v>
      </c>
      <c r="F161" s="1" t="str">
        <v>Not Run</v>
      </c>
      <c r="G161" s="1" t="str">
        <v>Not Run</v>
      </c>
      <c r="H161" s="1" t="str">
        <v>Not Run</v>
      </c>
      <c r="I161" s="1" t="str">
        <v>Not Run</v>
      </c>
      <c r="J161" s="1" t="str">
        <v>Not Run</v>
      </c>
      <c r="K161" s="1" t="str">
        <v>Not Run</v>
      </c>
      <c r="L161" s="1">
        <f>COUNTA(F161:K161)</f>
        <v>6</v>
      </c>
      <c r="M161" s="1">
        <f>COUNTIF(F161:K161,"Pass")</f>
        <v>0</v>
      </c>
      <c r="N161" s="1">
        <f>COUNTIF(F161:K161,"Fail")</f>
        <v>0</v>
      </c>
      <c r="O161" s="1" t="str">
        <f>IF(M161=0,"-",M161/L161)</f>
        <v>-</v>
      </c>
    </row>
    <row r="162">
      <c r="A162" s="1" t="str">
        <v>EXP-008</v>
      </c>
      <c r="B162" s="1" t="str">
        <v>Expense Claim</v>
      </c>
      <c r="C162" s="1" t="str">
        <v>Employee Selection</v>
      </c>
      <c r="D162" s="1" t="str">
        <v>From Employee field is mandatory and cannot be left blank</v>
      </c>
      <c r="E162" s="1" t="str">
        <v>Critical</v>
      </c>
      <c r="F162" s="1" t="str">
        <v>Not Run</v>
      </c>
      <c r="G162" s="1" t="str">
        <v>Not Run</v>
      </c>
      <c r="H162" s="1" t="str">
        <v>Not Run</v>
      </c>
      <c r="I162" s="1" t="str">
        <v>Not Run</v>
      </c>
      <c r="J162" s="1" t="str">
        <v>Not Run</v>
      </c>
      <c r="K162" s="1" t="str">
        <v>Not Run</v>
      </c>
      <c r="L162" s="1">
        <f>COUNTA(F162:K162)</f>
        <v>6</v>
      </c>
      <c r="M162" s="1">
        <f>COUNTIF(F162:K162,"Pass")</f>
        <v>0</v>
      </c>
      <c r="N162" s="1">
        <f>COUNTIF(F162:K162,"Fail")</f>
        <v>0</v>
      </c>
      <c r="O162" s="1" t="str">
        <f>IF(M162=0,"-",M162/L162)</f>
        <v>-</v>
      </c>
    </row>
    <row r="163">
      <c r="A163" s="1" t="str">
        <v>EXP-009</v>
      </c>
      <c r="B163" s="1" t="str">
        <v>Expense Claim</v>
      </c>
      <c r="C163" s="1" t="str">
        <v>Employee Selection</v>
      </c>
      <c r="D163" s="1" t="str">
        <v>Department auto-populates based on selected employee</v>
      </c>
      <c r="E163" s="1" t="str">
        <v>High</v>
      </c>
      <c r="F163" s="1" t="str">
        <v>Not Run</v>
      </c>
      <c r="G163" s="1" t="str">
        <v>Not Run</v>
      </c>
      <c r="H163" s="1" t="str">
        <v>Not Run</v>
      </c>
      <c r="I163" s="1" t="str">
        <v>Not Run</v>
      </c>
      <c r="J163" s="1" t="str">
        <v>Not Run</v>
      </c>
      <c r="K163" s="1" t="str">
        <v>Not Run</v>
      </c>
      <c r="L163" s="1">
        <f>COUNTA(F163:K163)</f>
        <v>6</v>
      </c>
      <c r="M163" s="1">
        <f>COUNTIF(F163:K163,"Pass")</f>
        <v>0</v>
      </c>
      <c r="N163" s="1">
        <f>COUNTIF(F163:K163,"Fail")</f>
        <v>0</v>
      </c>
      <c r="O163" s="1" t="str">
        <f>IF(M163=0,"-",M163/L163)</f>
        <v>-</v>
      </c>
    </row>
    <row r="164">
      <c r="A164" s="1" t="str">
        <v>EXP-010</v>
      </c>
      <c r="B164" s="1" t="str">
        <v>Expense Claim</v>
      </c>
      <c r="C164" s="1" t="str">
        <v>Company Details</v>
      </c>
      <c r="D164" s="1" t="str">
        <v>Valid company is selected and displayed</v>
      </c>
      <c r="E164" s="1" t="str">
        <v>Critical</v>
      </c>
      <c r="F164" s="1" t="str">
        <v>Not Run</v>
      </c>
      <c r="G164" s="1" t="str">
        <v>Not Run</v>
      </c>
      <c r="H164" s="1" t="str">
        <v>Not Run</v>
      </c>
      <c r="I164" s="1" t="str">
        <v>Not Run</v>
      </c>
      <c r="J164" s="1" t="str">
        <v>Not Run</v>
      </c>
      <c r="K164" s="1" t="str">
        <v>Not Run</v>
      </c>
      <c r="L164" s="1">
        <f>COUNTA(F164:K164)</f>
        <v>6</v>
      </c>
      <c r="M164" s="1">
        <f>COUNTIF(F164:K164,"Pass")</f>
        <v>0</v>
      </c>
      <c r="N164" s="1">
        <f>COUNTIF(F164:K164,"Fail")</f>
        <v>0</v>
      </c>
      <c r="O164" s="1" t="str">
        <f>IF(M164=0,"-",M164/L164)</f>
        <v>-</v>
      </c>
    </row>
    <row r="165">
      <c r="A165" s="1" t="str">
        <v>EXP-011</v>
      </c>
      <c r="B165" s="1" t="str">
        <v>Expense Claim</v>
      </c>
      <c r="C165" s="1" t="str">
        <v>Company Details</v>
      </c>
      <c r="D165" s="1" t="str">
        <v>Company field is mandatory</v>
      </c>
      <c r="E165" s="1" t="str">
        <v>Critical</v>
      </c>
      <c r="F165" s="1" t="str">
        <v>Not Run</v>
      </c>
      <c r="G165" s="1" t="str">
        <v>Not Run</v>
      </c>
      <c r="H165" s="1" t="str">
        <v>Not Run</v>
      </c>
      <c r="I165" s="1" t="str">
        <v>Not Run</v>
      </c>
      <c r="J165" s="1" t="str">
        <v>Not Run</v>
      </c>
      <c r="K165" s="1" t="str">
        <v>Not Run</v>
      </c>
      <c r="L165" s="1">
        <f>COUNTA(F165:K165)</f>
        <v>6</v>
      </c>
      <c r="M165" s="1">
        <f>COUNTIF(F165:K165,"Pass")</f>
        <v>0</v>
      </c>
      <c r="N165" s="1">
        <f>COUNTIF(F165:K165,"Fail")</f>
        <v>0</v>
      </c>
      <c r="O165" s="1" t="str">
        <f>IF(M165=0,"-",M165/L165)</f>
        <v>-</v>
      </c>
    </row>
    <row r="166">
      <c r="A166" s="1" t="str">
        <v>EXP-012</v>
      </c>
      <c r="B166" s="1" t="str">
        <v>Expense Claim</v>
      </c>
      <c r="C166" s="1" t="str">
        <v>Company Details</v>
      </c>
      <c r="D166" s="1" t="str">
        <v>Company GSTIN is auto-populated based on selected company</v>
      </c>
      <c r="E166" s="1" t="str">
        <v>High</v>
      </c>
      <c r="F166" s="1" t="str">
        <v>Not Run</v>
      </c>
      <c r="G166" s="1" t="str">
        <v>Not Run</v>
      </c>
      <c r="H166" s="1" t="str">
        <v>Not Run</v>
      </c>
      <c r="I166" s="1" t="str">
        <v>Not Run</v>
      </c>
      <c r="J166" s="1" t="str">
        <v>Not Run</v>
      </c>
      <c r="K166" s="1" t="str">
        <v>Not Run</v>
      </c>
      <c r="L166" s="1">
        <f>COUNTA(F166:K166)</f>
        <v>6</v>
      </c>
      <c r="M166" s="1">
        <f>COUNTIF(F166:K166,"Pass")</f>
        <v>0</v>
      </c>
      <c r="N166" s="1">
        <f>COUNTIF(F166:K166,"Fail")</f>
        <v>0</v>
      </c>
      <c r="O166" s="1" t="str">
        <f>IF(M166=0,"-",M166/L166)</f>
        <v>-</v>
      </c>
    </row>
    <row r="167">
      <c r="A167" s="1" t="str">
        <v>EXP-013</v>
      </c>
      <c r="B167" s="1" t="str">
        <v>Expense Claim</v>
      </c>
      <c r="C167" s="1" t="str">
        <v>Company Details</v>
      </c>
      <c r="D167" s="1" t="str">
        <v>Company GSTIN field is read-only</v>
      </c>
      <c r="E167" s="1" t="str">
        <v>High</v>
      </c>
      <c r="F167" s="1" t="str">
        <v>Not Run</v>
      </c>
      <c r="G167" s="1" t="str">
        <v>Not Run</v>
      </c>
      <c r="H167" s="1" t="str">
        <v>Not Run</v>
      </c>
      <c r="I167" s="1" t="str">
        <v>Not Run</v>
      </c>
      <c r="J167" s="1" t="str">
        <v>Not Run</v>
      </c>
      <c r="K167" s="1" t="str">
        <v>Not Run</v>
      </c>
      <c r="L167" s="1">
        <f>COUNTA(F167:K167)</f>
        <v>6</v>
      </c>
      <c r="M167" s="1">
        <f>COUNTIF(F167:K167,"Pass")</f>
        <v>0</v>
      </c>
      <c r="N167" s="1">
        <f>COUNTIF(F167:K167,"Fail")</f>
        <v>0</v>
      </c>
      <c r="O167" s="1" t="str">
        <f>IF(M167=0,"-",M167/L167)</f>
        <v>-</v>
      </c>
    </row>
    <row r="168">
      <c r="A168" s="1" t="str">
        <v>EXP-014</v>
      </c>
      <c r="B168" s="1" t="str">
        <v>Expense Claim</v>
      </c>
      <c r="C168" s="1" t="str">
        <v>Expense Approver</v>
      </c>
      <c r="D168" s="1" t="str">
        <v>Valid expense approver can be selected</v>
      </c>
      <c r="E168" s="1" t="str">
        <v>Critical</v>
      </c>
      <c r="F168" s="1" t="str">
        <v>Not Run</v>
      </c>
      <c r="G168" s="1" t="str">
        <v>Not Run</v>
      </c>
      <c r="H168" s="1" t="str">
        <v>Not Run</v>
      </c>
      <c r="I168" s="1" t="str">
        <v>Not Run</v>
      </c>
      <c r="J168" s="1" t="str">
        <v>Not Run</v>
      </c>
      <c r="K168" s="1" t="str">
        <v>Not Run</v>
      </c>
      <c r="L168" s="1">
        <f>COUNTA(F168:K168)</f>
        <v>6</v>
      </c>
      <c r="M168" s="1">
        <f>COUNTIF(F168:K168,"Pass")</f>
        <v>0</v>
      </c>
      <c r="N168" s="1">
        <f>COUNTIF(F168:K168,"Fail")</f>
        <v>0</v>
      </c>
      <c r="O168" s="1" t="str">
        <f>IF(M168=0,"-",M168/L168)</f>
        <v>-</v>
      </c>
    </row>
    <row r="169">
      <c r="A169" s="1" t="str">
        <v>EXP-015</v>
      </c>
      <c r="B169" s="1" t="str">
        <v>Expense Claim</v>
      </c>
      <c r="C169" s="1" t="str">
        <v>Expense Approver</v>
      </c>
      <c r="D169" s="1" t="str">
        <v>Invalid approver is rejected</v>
      </c>
      <c r="E169" s="1" t="str">
        <v>Critical</v>
      </c>
      <c r="F169" s="1" t="str">
        <v>Not Run</v>
      </c>
      <c r="G169" s="1" t="str">
        <v>Not Run</v>
      </c>
      <c r="H169" s="1" t="str">
        <v>Not Run</v>
      </c>
      <c r="I169" s="1" t="str">
        <v>Not Run</v>
      </c>
      <c r="J169" s="1" t="str">
        <v>Not Run</v>
      </c>
      <c r="K169" s="1" t="str">
        <v>Not Run</v>
      </c>
      <c r="L169" s="1">
        <f>COUNTA(F169:K169)</f>
        <v>6</v>
      </c>
      <c r="M169" s="1">
        <f>COUNTIF(F169:K169,"Pass")</f>
        <v>0</v>
      </c>
      <c r="N169" s="1">
        <f>COUNTIF(F169:K169,"Fail")</f>
        <v>0</v>
      </c>
      <c r="O169" s="1" t="str">
        <f>IF(M169=0,"-",M169/L169)</f>
        <v>-</v>
      </c>
    </row>
    <row r="170">
      <c r="A170" s="1" t="str">
        <v>EXP-016</v>
      </c>
      <c r="B170" s="1" t="str">
        <v>Expense Claim</v>
      </c>
      <c r="C170" s="1" t="str">
        <v>Expense Approver</v>
      </c>
      <c r="D170" s="1" t="str">
        <v>Expense Approver field is mandatory</v>
      </c>
      <c r="E170" s="1" t="str">
        <v>Critical</v>
      </c>
      <c r="F170" s="1" t="str">
        <v>Not Run</v>
      </c>
      <c r="G170" s="1" t="str">
        <v>Not Run</v>
      </c>
      <c r="H170" s="1" t="str">
        <v>Not Run</v>
      </c>
      <c r="I170" s="1" t="str">
        <v>Not Run</v>
      </c>
      <c r="J170" s="1" t="str">
        <v>Not Run</v>
      </c>
      <c r="K170" s="1" t="str">
        <v>Not Run</v>
      </c>
      <c r="L170" s="1">
        <f>COUNTA(F170:K170)</f>
        <v>6</v>
      </c>
      <c r="M170" s="1">
        <f>COUNTIF(F170:K170,"Pass")</f>
        <v>0</v>
      </c>
      <c r="N170" s="1">
        <f>COUNTIF(F170:K170,"Fail")</f>
        <v>0</v>
      </c>
      <c r="O170" s="1" t="str">
        <f>IF(M170=0,"-",M170/L170)</f>
        <v>-</v>
      </c>
    </row>
    <row r="171">
      <c r="A171" s="1" t="str">
        <v>EXP-017</v>
      </c>
      <c r="B171" s="1" t="str">
        <v>Expense Claim</v>
      </c>
      <c r="C171" s="1" t="str">
        <v>Approval Status</v>
      </c>
      <c r="D171" s="1" t="str">
        <v>Approval Status defaults to Draft on creation</v>
      </c>
      <c r="E171" s="1" t="str">
        <v>Critical</v>
      </c>
      <c r="F171" s="1" t="str">
        <v>Not Run</v>
      </c>
      <c r="G171" s="1" t="str">
        <v>Not Run</v>
      </c>
      <c r="H171" s="1" t="str">
        <v>Not Run</v>
      </c>
      <c r="I171" s="1" t="str">
        <v>Not Run</v>
      </c>
      <c r="J171" s="1" t="str">
        <v>Not Run</v>
      </c>
      <c r="K171" s="1" t="str">
        <v>Not Run</v>
      </c>
      <c r="L171" s="1">
        <f>COUNTA(F171:K171)</f>
        <v>6</v>
      </c>
      <c r="M171" s="1">
        <f>COUNTIF(F171:K171,"Pass")</f>
        <v>0</v>
      </c>
      <c r="N171" s="1">
        <f>COUNTIF(F171:K171,"Fail")</f>
        <v>0</v>
      </c>
      <c r="O171" s="1" t="str">
        <f>IF(M171=0,"-",M171/L171)</f>
        <v>-</v>
      </c>
    </row>
    <row r="172">
      <c r="A172" s="1" t="str">
        <v>EXP-018</v>
      </c>
      <c r="B172" s="1" t="str">
        <v>Expense Claim</v>
      </c>
      <c r="C172" s="1" t="str">
        <v>Approval Status</v>
      </c>
      <c r="D172" s="1" t="str">
        <v>Approval Status can be changed to Approved</v>
      </c>
      <c r="E172" s="1" t="str">
        <v>Critical</v>
      </c>
      <c r="F172" s="1" t="str">
        <v>Not Run</v>
      </c>
      <c r="G172" s="1" t="str">
        <v>Not Run</v>
      </c>
      <c r="H172" s="1" t="str">
        <v>Not Run</v>
      </c>
      <c r="I172" s="1" t="str">
        <v>Not Run</v>
      </c>
      <c r="J172" s="1" t="str">
        <v>Not Run</v>
      </c>
      <c r="K172" s="1" t="str">
        <v>Not Run</v>
      </c>
      <c r="L172" s="1">
        <f>COUNTA(F172:K172)</f>
        <v>6</v>
      </c>
      <c r="M172" s="1">
        <f>COUNTIF(F172:K172,"Pass")</f>
        <v>0</v>
      </c>
      <c r="N172" s="1">
        <f>COUNTIF(F172:K172,"Fail")</f>
        <v>0</v>
      </c>
      <c r="O172" s="1" t="str">
        <f>IF(M172=0,"-",M172/L172)</f>
        <v>-</v>
      </c>
    </row>
    <row r="173">
      <c r="A173" s="1" t="str">
        <v>EXP-019</v>
      </c>
      <c r="B173" s="1" t="str">
        <v>Expense Claim</v>
      </c>
      <c r="C173" s="1" t="str">
        <v>Approval Status</v>
      </c>
      <c r="D173" s="1" t="str">
        <v>Approval Status can be changed to Rejected</v>
      </c>
      <c r="E173" s="1" t="str">
        <v>Critical</v>
      </c>
      <c r="F173" s="1" t="str">
        <v>Not Run</v>
      </c>
      <c r="G173" s="1" t="str">
        <v>Not Run</v>
      </c>
      <c r="H173" s="1" t="str">
        <v>Not Run</v>
      </c>
      <c r="I173" s="1" t="str">
        <v>Not Run</v>
      </c>
      <c r="J173" s="1" t="str">
        <v>Not Run</v>
      </c>
      <c r="K173" s="1" t="str">
        <v>Not Run</v>
      </c>
      <c r="L173" s="1">
        <f>COUNTA(F173:K173)</f>
        <v>6</v>
      </c>
      <c r="M173" s="1">
        <f>COUNTIF(F173:K173,"Pass")</f>
        <v>0</v>
      </c>
      <c r="N173" s="1">
        <f>COUNTIF(F173:K173,"Fail")</f>
        <v>0</v>
      </c>
      <c r="O173" s="1" t="str">
        <f>IF(M173=0,"-",M173/L173)</f>
        <v>-</v>
      </c>
    </row>
    <row r="174">
      <c r="A174" s="1" t="str">
        <v>EXP-020</v>
      </c>
      <c r="B174" s="1" t="str">
        <v>Expense Claim</v>
      </c>
      <c r="C174" s="1" t="str">
        <v>Approval Status</v>
      </c>
      <c r="D174" s="1" t="str">
        <v>Approval Status can be changed to Returned</v>
      </c>
      <c r="E174" s="1" t="str">
        <v>High</v>
      </c>
      <c r="F174" s="1" t="str">
        <v>Not Run</v>
      </c>
      <c r="G174" s="1" t="str">
        <v>Not Run</v>
      </c>
      <c r="H174" s="1" t="str">
        <v>Not Run</v>
      </c>
      <c r="I174" s="1" t="str">
        <v>Not Run</v>
      </c>
      <c r="J174" s="1" t="str">
        <v>Not Run</v>
      </c>
      <c r="K174" s="1" t="str">
        <v>Not Run</v>
      </c>
      <c r="L174" s="1">
        <f>COUNTA(F174:K174)</f>
        <v>6</v>
      </c>
      <c r="M174" s="1">
        <f>COUNTIF(F174:K174,"Pass")</f>
        <v>0</v>
      </c>
      <c r="N174" s="1">
        <f>COUNTIF(F174:K174,"Fail")</f>
        <v>0</v>
      </c>
      <c r="O174" s="1" t="str">
        <f>IF(M174=0,"-",M174/L174)</f>
        <v>-</v>
      </c>
    </row>
    <row r="175">
      <c r="A175" s="1" t="str">
        <v>EXP-021</v>
      </c>
      <c r="B175" s="1" t="str">
        <v>Expense Claim</v>
      </c>
      <c r="C175" s="1" t="str">
        <v>Expenses Table</v>
      </c>
      <c r="D175" s="1" t="str">
        <v>Add single expense row to claim</v>
      </c>
      <c r="E175" s="1" t="str">
        <v>Critical</v>
      </c>
      <c r="F175" s="1" t="str">
        <v>Not Run</v>
      </c>
      <c r="G175" s="1" t="str">
        <v>Not Run</v>
      </c>
      <c r="H175" s="1" t="str">
        <v>Not Run</v>
      </c>
      <c r="I175" s="1" t="str">
        <v>Not Run</v>
      </c>
      <c r="J175" s="1" t="str">
        <v>Not Run</v>
      </c>
      <c r="K175" s="1" t="str">
        <v>Not Run</v>
      </c>
      <c r="L175" s="1">
        <f>COUNTA(F175:K175)</f>
        <v>6</v>
      </c>
      <c r="M175" s="1">
        <f>COUNTIF(F175:K175,"Pass")</f>
        <v>0</v>
      </c>
      <c r="N175" s="1">
        <f>COUNTIF(F175:K175,"Fail")</f>
        <v>0</v>
      </c>
      <c r="O175" s="1" t="str">
        <f>IF(M175=0,"-",M175/L175)</f>
        <v>-</v>
      </c>
    </row>
    <row r="176">
      <c r="A176" s="1" t="str">
        <v>EXP-022</v>
      </c>
      <c r="B176" s="1" t="str">
        <v>Expense Claim</v>
      </c>
      <c r="C176" s="1" t="str">
        <v>Expenses Table</v>
      </c>
      <c r="D176" s="1" t="str">
        <v>Add multiple expense rows to same claim</v>
      </c>
      <c r="E176" s="1" t="str">
        <v>High</v>
      </c>
      <c r="F176" s="1" t="str">
        <v>Not Run</v>
      </c>
      <c r="G176" s="1" t="str">
        <v>Not Run</v>
      </c>
      <c r="H176" s="1" t="str">
        <v>Not Run</v>
      </c>
      <c r="I176" s="1" t="str">
        <v>Not Run</v>
      </c>
      <c r="J176" s="1" t="str">
        <v>Not Run</v>
      </c>
      <c r="K176" s="1" t="str">
        <v>Not Run</v>
      </c>
      <c r="L176" s="1">
        <f>COUNTA(F176:K176)</f>
        <v>6</v>
      </c>
      <c r="M176" s="1">
        <f>COUNTIF(F176:K176,"Pass")</f>
        <v>0</v>
      </c>
      <c r="N176" s="1">
        <f>COUNTIF(F176:K176,"Fail")</f>
        <v>0</v>
      </c>
      <c r="O176" s="1" t="str">
        <f>IF(M176=0,"-",M176/L176)</f>
        <v>-</v>
      </c>
    </row>
    <row r="177">
      <c r="A177" s="1" t="str">
        <v>EXP-023</v>
      </c>
      <c r="B177" s="1" t="str">
        <v>Expense Claim</v>
      </c>
      <c r="C177" s="1" t="str">
        <v>Expenses Table</v>
      </c>
      <c r="D177" s="1" t="str">
        <v>Delete expense row from table</v>
      </c>
      <c r="E177" s="1" t="str">
        <v>Medium</v>
      </c>
      <c r="F177" s="1" t="str">
        <v>Not Run</v>
      </c>
      <c r="G177" s="1" t="str">
        <v>Not Run</v>
      </c>
      <c r="H177" s="1" t="str">
        <v>Not Run</v>
      </c>
      <c r="I177" s="1" t="str">
        <v>Not Run</v>
      </c>
      <c r="J177" s="1" t="str">
        <v>Not Run</v>
      </c>
      <c r="K177" s="1" t="str">
        <v>Not Run</v>
      </c>
      <c r="L177" s="1">
        <f>COUNTA(F177:K177)</f>
        <v>6</v>
      </c>
      <c r="M177" s="1">
        <f>COUNTIF(F177:K177,"Pass")</f>
        <v>0</v>
      </c>
      <c r="N177" s="1">
        <f>COUNTIF(F177:K177,"Fail")</f>
        <v>0</v>
      </c>
      <c r="O177" s="1" t="str">
        <f>IF(M177=0,"-",M177/L177)</f>
        <v>-</v>
      </c>
    </row>
    <row r="178">
      <c r="A178" s="1" t="str">
        <v>EXP-024</v>
      </c>
      <c r="B178" s="1" t="str">
        <v>Expense Claim</v>
      </c>
      <c r="C178" s="1" t="str">
        <v>Expenses Table</v>
      </c>
      <c r="D178" s="1" t="str">
        <v>Expense Date is populated and validated</v>
      </c>
      <c r="E178" s="1" t="str">
        <v>Critical</v>
      </c>
      <c r="F178" s="1" t="str">
        <v>Not Run</v>
      </c>
      <c r="G178" s="1" t="str">
        <v>Not Run</v>
      </c>
      <c r="H178" s="1" t="str">
        <v>Not Run</v>
      </c>
      <c r="I178" s="1" t="str">
        <v>Not Run</v>
      </c>
      <c r="J178" s="1" t="str">
        <v>Not Run</v>
      </c>
      <c r="K178" s="1" t="str">
        <v>Not Run</v>
      </c>
      <c r="L178" s="1">
        <f>COUNTA(F178:K178)</f>
        <v>6</v>
      </c>
      <c r="M178" s="1">
        <f>COUNTIF(F178:K178,"Pass")</f>
        <v>0</v>
      </c>
      <c r="N178" s="1">
        <f>COUNTIF(F178:K178,"Fail")</f>
        <v>0</v>
      </c>
      <c r="O178" s="1" t="str">
        <f>IF(M178=0,"-",M178/L178)</f>
        <v>-</v>
      </c>
    </row>
    <row r="179">
      <c r="A179" s="1" t="str">
        <v>EXP-025</v>
      </c>
      <c r="B179" s="1" t="str">
        <v>Expense Claim</v>
      </c>
      <c r="C179" s="1" t="str">
        <v>Expenses Table</v>
      </c>
      <c r="D179" s="1" t="str">
        <v>Expense Claim Type dropdown shows valid options</v>
      </c>
      <c r="E179" s="1" t="str">
        <v>High</v>
      </c>
      <c r="F179" s="1" t="str">
        <v>Not Run</v>
      </c>
      <c r="G179" s="1" t="str">
        <v>Not Run</v>
      </c>
      <c r="H179" s="1" t="str">
        <v>Not Run</v>
      </c>
      <c r="I179" s="1" t="str">
        <v>Not Run</v>
      </c>
      <c r="J179" s="1" t="str">
        <v>Not Run</v>
      </c>
      <c r="K179" s="1" t="str">
        <v>Not Run</v>
      </c>
      <c r="L179" s="1">
        <f>COUNTA(F179:K179)</f>
        <v>6</v>
      </c>
      <c r="M179" s="1">
        <f>COUNTIF(F179:K179,"Pass")</f>
        <v>0</v>
      </c>
      <c r="N179" s="1">
        <f>COUNTIF(F179:K179,"Fail")</f>
        <v>0</v>
      </c>
      <c r="O179" s="1" t="str">
        <f>IF(M179=0,"-",M179/L179)</f>
        <v>-</v>
      </c>
    </row>
    <row r="180">
      <c r="A180" s="1" t="str">
        <v>EXP-026</v>
      </c>
      <c r="B180" s="1" t="str">
        <v>Expense Claim</v>
      </c>
      <c r="C180" s="1" t="str">
        <v>Expenses Table</v>
      </c>
      <c r="D180" s="1" t="str">
        <v>Expense Claim Type field is mandatory</v>
      </c>
      <c r="E180" s="1" t="str">
        <v>Critical</v>
      </c>
      <c r="F180" s="1" t="str">
        <v>Not Run</v>
      </c>
      <c r="G180" s="1" t="str">
        <v>Not Run</v>
      </c>
      <c r="H180" s="1" t="str">
        <v>Not Run</v>
      </c>
      <c r="I180" s="1" t="str">
        <v>Not Run</v>
      </c>
      <c r="J180" s="1" t="str">
        <v>Not Run</v>
      </c>
      <c r="K180" s="1" t="str">
        <v>Not Run</v>
      </c>
      <c r="L180" s="1">
        <f>COUNTA(F180:K180)</f>
        <v>6</v>
      </c>
      <c r="M180" s="1">
        <f>COUNTIF(F180:K180,"Pass")</f>
        <v>0</v>
      </c>
      <c r="N180" s="1">
        <f>COUNTIF(F180:K180,"Fail")</f>
        <v>0</v>
      </c>
      <c r="O180" s="1" t="str">
        <f>IF(M180=0,"-",M180/L180)</f>
        <v>-</v>
      </c>
    </row>
    <row r="181">
      <c r="A181" s="1" t="str">
        <v>EXP-027</v>
      </c>
      <c r="B181" s="1" t="str">
        <v>Expense Claim</v>
      </c>
      <c r="C181" s="1" t="str">
        <v>Expenses Table</v>
      </c>
      <c r="D181" s="1" t="str">
        <v>Description field is optional</v>
      </c>
      <c r="E181" s="1" t="str">
        <v>Medium</v>
      </c>
      <c r="F181" s="1" t="str">
        <v>Not Run</v>
      </c>
      <c r="G181" s="1" t="str">
        <v>Not Run</v>
      </c>
      <c r="H181" s="1" t="str">
        <v>Not Run</v>
      </c>
      <c r="I181" s="1" t="str">
        <v>Not Run</v>
      </c>
      <c r="J181" s="1" t="str">
        <v>Not Run</v>
      </c>
      <c r="K181" s="1" t="str">
        <v>Not Run</v>
      </c>
      <c r="L181" s="1">
        <f>COUNTA(F181:K181)</f>
        <v>6</v>
      </c>
      <c r="M181" s="1">
        <f>COUNTIF(F181:K181,"Pass")</f>
        <v>0</v>
      </c>
      <c r="N181" s="1">
        <f>COUNTIF(F181:K181,"Fail")</f>
        <v>0</v>
      </c>
      <c r="O181" s="1" t="str">
        <f>IF(M181=0,"-",M181/L181)</f>
        <v>-</v>
      </c>
    </row>
    <row r="182">
      <c r="A182" s="1" t="str">
        <v>EXP-028</v>
      </c>
      <c r="B182" s="1" t="str">
        <v>Expense Claim</v>
      </c>
      <c r="C182" s="1" t="str">
        <v>Expenses Table</v>
      </c>
      <c r="D182" s="1" t="str">
        <v>Amount field is mandatory</v>
      </c>
      <c r="E182" s="1" t="str">
        <v>Critical</v>
      </c>
      <c r="F182" s="1" t="str">
        <v>Not Run</v>
      </c>
      <c r="G182" s="1" t="str">
        <v>Not Run</v>
      </c>
      <c r="H182" s="1" t="str">
        <v>Not Run</v>
      </c>
      <c r="I182" s="1" t="str">
        <v>Not Run</v>
      </c>
      <c r="J182" s="1" t="str">
        <v>Not Run</v>
      </c>
      <c r="K182" s="1" t="str">
        <v>Not Run</v>
      </c>
      <c r="L182" s="1">
        <f>COUNTA(F182:K182)</f>
        <v>6</v>
      </c>
      <c r="M182" s="1">
        <f>COUNTIF(F182:K182,"Pass")</f>
        <v>0</v>
      </c>
      <c r="N182" s="1">
        <f>COUNTIF(F182:K182,"Fail")</f>
        <v>0</v>
      </c>
      <c r="O182" s="1" t="str">
        <f>IF(M182=0,"-",M182/L182)</f>
        <v>-</v>
      </c>
    </row>
    <row r="183">
      <c r="A183" s="1" t="str">
        <v>EXP-029</v>
      </c>
      <c r="B183" s="1" t="str">
        <v>Expense Claim</v>
      </c>
      <c r="C183" s="1" t="str">
        <v>Expenses Table</v>
      </c>
      <c r="D183" s="1" t="str">
        <v>Amount field accepts decimal values</v>
      </c>
      <c r="E183" s="1" t="str">
        <v>High</v>
      </c>
      <c r="F183" s="1" t="str">
        <v>Not Run</v>
      </c>
      <c r="G183" s="1" t="str">
        <v>Not Run</v>
      </c>
      <c r="H183" s="1" t="str">
        <v>Not Run</v>
      </c>
      <c r="I183" s="1" t="str">
        <v>Not Run</v>
      </c>
      <c r="J183" s="1" t="str">
        <v>Not Run</v>
      </c>
      <c r="K183" s="1" t="str">
        <v>Not Run</v>
      </c>
      <c r="L183" s="1">
        <f>COUNTA(F183:K183)</f>
        <v>6</v>
      </c>
      <c r="M183" s="1">
        <f>COUNTIF(F183:K183,"Pass")</f>
        <v>0</v>
      </c>
      <c r="N183" s="1">
        <f>COUNTIF(F183:K183,"Fail")</f>
        <v>0</v>
      </c>
      <c r="O183" s="1" t="str">
        <f>IF(M183=0,"-",M183/L183)</f>
        <v>-</v>
      </c>
    </row>
    <row r="184">
      <c r="A184" s="1" t="str">
        <v>EXP-030</v>
      </c>
      <c r="B184" s="1" t="str">
        <v>Expense Claim</v>
      </c>
      <c r="C184" s="1" t="str">
        <v>Expenses Table</v>
      </c>
      <c r="D184" s="1" t="str">
        <v>Negative amount is rejected</v>
      </c>
      <c r="E184" s="1" t="str">
        <v>Critical</v>
      </c>
      <c r="F184" s="1" t="str">
        <v>Not Run</v>
      </c>
      <c r="G184" s="1" t="str">
        <v>Not Run</v>
      </c>
      <c r="H184" s="1" t="str">
        <v>Not Run</v>
      </c>
      <c r="I184" s="1" t="str">
        <v>Not Run</v>
      </c>
      <c r="J184" s="1" t="str">
        <v>Not Run</v>
      </c>
      <c r="K184" s="1" t="str">
        <v>Not Run</v>
      </c>
      <c r="L184" s="1">
        <f>COUNTA(F184:K184)</f>
        <v>6</v>
      </c>
      <c r="M184" s="1">
        <f>COUNTIF(F184:K184,"Pass")</f>
        <v>0</v>
      </c>
      <c r="N184" s="1">
        <f>COUNTIF(F184:K184,"Fail")</f>
        <v>0</v>
      </c>
      <c r="O184" s="1" t="str">
        <f>IF(M184=0,"-",M184/L184)</f>
        <v>-</v>
      </c>
    </row>
    <row r="185">
      <c r="A185" s="1" t="str">
        <v>EXP-031</v>
      </c>
      <c r="B185" s="1" t="str">
        <v>Expense Claim</v>
      </c>
      <c r="C185" s="1" t="str">
        <v>Expenses Table</v>
      </c>
      <c r="D185" s="1" t="str">
        <v>Sanctioned Amount is auto-populated or manually entered</v>
      </c>
      <c r="E185" s="1" t="str">
        <v>High</v>
      </c>
      <c r="F185" s="1" t="str">
        <v>Not Run</v>
      </c>
      <c r="G185" s="1" t="str">
        <v>Not Run</v>
      </c>
      <c r="H185" s="1" t="str">
        <v>Not Run</v>
      </c>
      <c r="I185" s="1" t="str">
        <v>Not Run</v>
      </c>
      <c r="J185" s="1" t="str">
        <v>Not Run</v>
      </c>
      <c r="K185" s="1" t="str">
        <v>Not Run</v>
      </c>
      <c r="L185" s="1">
        <f>COUNTA(F185:K185)</f>
        <v>6</v>
      </c>
      <c r="M185" s="1">
        <f>COUNTIF(F185:K185,"Pass")</f>
        <v>0</v>
      </c>
      <c r="N185" s="1">
        <f>COUNTIF(F185:K185,"Fail")</f>
        <v>0</v>
      </c>
      <c r="O185" s="1" t="str">
        <f>IF(M185=0,"-",M185/L185)</f>
        <v>-</v>
      </c>
    </row>
    <row r="186">
      <c r="A186" s="1" t="str">
        <v>EXP-032</v>
      </c>
      <c r="B186" s="1" t="str">
        <v>Expense Claim</v>
      </c>
      <c r="C186" s="1" t="str">
        <v>Expenses Table</v>
      </c>
      <c r="D186" s="1" t="str">
        <v>Sanctioned Amount cannot exceed Amount</v>
      </c>
      <c r="E186" s="1" t="str">
        <v>Critical</v>
      </c>
      <c r="F186" s="1" t="str">
        <v>Not Run</v>
      </c>
      <c r="G186" s="1" t="str">
        <v>Not Run</v>
      </c>
      <c r="H186" s="1" t="str">
        <v>Not Run</v>
      </c>
      <c r="I186" s="1" t="str">
        <v>Not Run</v>
      </c>
      <c r="J186" s="1" t="str">
        <v>Not Run</v>
      </c>
      <c r="K186" s="1" t="str">
        <v>Not Run</v>
      </c>
      <c r="L186" s="1">
        <f>COUNTA(F186:K186)</f>
        <v>6</v>
      </c>
      <c r="M186" s="1">
        <f>COUNTIF(F186:K186,"Pass")</f>
        <v>0</v>
      </c>
      <c r="N186" s="1">
        <f>COUNTIF(F186:K186,"Fail")</f>
        <v>0</v>
      </c>
      <c r="O186" s="1" t="str">
        <f>IF(M186=0,"-",M186/L186)</f>
        <v>-</v>
      </c>
    </row>
    <row r="187">
      <c r="A187" s="1" t="str">
        <v>EXP-033</v>
      </c>
      <c r="B187" s="1" t="str">
        <v>Expense Claim</v>
      </c>
      <c r="C187" s="1" t="str">
        <v>Expenses Table</v>
      </c>
      <c r="D187" s="1" t="str">
        <v>Total claim amount is calculated from all expense rows</v>
      </c>
      <c r="E187" s="1" t="str">
        <v>Critical</v>
      </c>
      <c r="F187" s="1" t="str">
        <v>Not Run</v>
      </c>
      <c r="G187" s="1" t="str">
        <v>Not Run</v>
      </c>
      <c r="H187" s="1" t="str">
        <v>Not Run</v>
      </c>
      <c r="I187" s="1" t="str">
        <v>Not Run</v>
      </c>
      <c r="J187" s="1" t="str">
        <v>Not Run</v>
      </c>
      <c r="K187" s="1" t="str">
        <v>Not Run</v>
      </c>
      <c r="L187" s="1">
        <f>COUNTA(F187:K187)</f>
        <v>6</v>
      </c>
      <c r="M187" s="1">
        <f>COUNTIF(F187:K187,"Pass")</f>
        <v>0</v>
      </c>
      <c r="N187" s="1">
        <f>COUNTIF(F187:K187,"Fail")</f>
        <v>0</v>
      </c>
      <c r="O187" s="1" t="str">
        <f>IF(M187=0,"-",M187/L187)</f>
        <v>-</v>
      </c>
    </row>
    <row r="188">
      <c r="A188" s="1" t="str">
        <v>EXP-034</v>
      </c>
      <c r="B188" s="1" t="str">
        <v>Expense Claim</v>
      </c>
      <c r="C188" s="1" t="str">
        <v>Taxes &amp; Charges</v>
      </c>
      <c r="D188" s="1" t="str">
        <v>Add single tax row to expense claim</v>
      </c>
      <c r="E188" s="1" t="str">
        <v>High</v>
      </c>
      <c r="F188" s="1" t="str">
        <v>Not Run</v>
      </c>
      <c r="G188" s="1" t="str">
        <v>Not Run</v>
      </c>
      <c r="H188" s="1" t="str">
        <v>Not Run</v>
      </c>
      <c r="I188" s="1" t="str">
        <v>Not Run</v>
      </c>
      <c r="J188" s="1" t="str">
        <v>Not Run</v>
      </c>
      <c r="K188" s="1" t="str">
        <v>Not Run</v>
      </c>
      <c r="L188" s="1">
        <f>COUNTA(F188:K188)</f>
        <v>6</v>
      </c>
      <c r="M188" s="1">
        <f>COUNTIF(F188:K188,"Pass")</f>
        <v>0</v>
      </c>
      <c r="N188" s="1">
        <f>COUNTIF(F188:K188,"Fail")</f>
        <v>0</v>
      </c>
      <c r="O188" s="1" t="str">
        <f>IF(M188=0,"-",M188/L188)</f>
        <v>-</v>
      </c>
    </row>
    <row r="189">
      <c r="A189" s="1" t="str">
        <v>EXP-035</v>
      </c>
      <c r="B189" s="1" t="str">
        <v>Expense Claim</v>
      </c>
      <c r="C189" s="1" t="str">
        <v>Taxes &amp; Charges</v>
      </c>
      <c r="D189" s="1" t="str">
        <v>Add multiple tax rows to expense claim</v>
      </c>
      <c r="E189" s="1" t="str">
        <v>High</v>
      </c>
      <c r="F189" s="1" t="str">
        <v>Not Run</v>
      </c>
      <c r="G189" s="1" t="str">
        <v>Not Run</v>
      </c>
      <c r="H189" s="1" t="str">
        <v>Not Run</v>
      </c>
      <c r="I189" s="1" t="str">
        <v>Not Run</v>
      </c>
      <c r="J189" s="1" t="str">
        <v>Not Run</v>
      </c>
      <c r="K189" s="1" t="str">
        <v>Not Run</v>
      </c>
      <c r="L189" s="1">
        <f>COUNTA(F189:K189)</f>
        <v>6</v>
      </c>
      <c r="M189" s="1">
        <f>COUNTIF(F189:K189,"Pass")</f>
        <v>0</v>
      </c>
      <c r="N189" s="1">
        <f>COUNTIF(F189:K189,"Fail")</f>
        <v>0</v>
      </c>
      <c r="O189" s="1" t="str">
        <f>IF(M189=0,"-",M189/L189)</f>
        <v>-</v>
      </c>
    </row>
    <row r="190">
      <c r="A190" s="1" t="str">
        <v>EXP-036</v>
      </c>
      <c r="B190" s="1" t="str">
        <v>Expense Claim</v>
      </c>
      <c r="C190" s="1" t="str">
        <v>Taxes &amp; Charges</v>
      </c>
      <c r="D190" s="1" t="str">
        <v>Delete tax row from table</v>
      </c>
      <c r="E190" s="1" t="str">
        <v>Medium</v>
      </c>
      <c r="F190" s="1" t="str">
        <v>Not Run</v>
      </c>
      <c r="G190" s="1" t="str">
        <v>Not Run</v>
      </c>
      <c r="H190" s="1" t="str">
        <v>Not Run</v>
      </c>
      <c r="I190" s="1" t="str">
        <v>Not Run</v>
      </c>
      <c r="J190" s="1" t="str">
        <v>Not Run</v>
      </c>
      <c r="K190" s="1" t="str">
        <v>Not Run</v>
      </c>
      <c r="L190" s="1">
        <f>COUNTA(F190:K190)</f>
        <v>6</v>
      </c>
      <c r="M190" s="1">
        <f>COUNTIF(F190:K190,"Pass")</f>
        <v>0</v>
      </c>
      <c r="N190" s="1">
        <f>COUNTIF(F190:K190,"Fail")</f>
        <v>0</v>
      </c>
      <c r="O190" s="1" t="str">
        <f>IF(M190=0,"-",M190/L190)</f>
        <v>-</v>
      </c>
    </row>
    <row r="191">
      <c r="A191" s="1" t="str">
        <v>EXP-037</v>
      </c>
      <c r="B191" s="1" t="str">
        <v>Expense Claim</v>
      </c>
      <c r="C191" s="1" t="str">
        <v>Taxes &amp; Charges</v>
      </c>
      <c r="D191" s="1" t="str">
        <v>Tax Account Head is mandatory in tax row</v>
      </c>
      <c r="E191" s="1" t="str">
        <v>Critical</v>
      </c>
      <c r="F191" s="1" t="str">
        <v>Not Run</v>
      </c>
      <c r="G191" s="1" t="str">
        <v>Not Run</v>
      </c>
      <c r="H191" s="1" t="str">
        <v>Not Run</v>
      </c>
      <c r="I191" s="1" t="str">
        <v>Not Run</v>
      </c>
      <c r="J191" s="1" t="str">
        <v>Not Run</v>
      </c>
      <c r="K191" s="1" t="str">
        <v>Not Run</v>
      </c>
      <c r="L191" s="1">
        <f>COUNTA(F191:K191)</f>
        <v>6</v>
      </c>
      <c r="M191" s="1">
        <f>COUNTIF(F191:K191,"Pass")</f>
        <v>0</v>
      </c>
      <c r="N191" s="1">
        <f>COUNTIF(F191:K191,"Fail")</f>
        <v>0</v>
      </c>
      <c r="O191" s="1" t="str">
        <f>IF(M191=0,"-",M191/L191)</f>
        <v>-</v>
      </c>
    </row>
    <row r="192">
      <c r="A192" s="1" t="str">
        <v>EXP-038</v>
      </c>
      <c r="B192" s="1" t="str">
        <v>Expense Claim</v>
      </c>
      <c r="C192" s="1" t="str">
        <v>Taxes &amp; Charges</v>
      </c>
      <c r="D192" s="1" t="str">
        <v>Tax Amount is mandatory in tax row</v>
      </c>
      <c r="E192" s="1" t="str">
        <v>Critical</v>
      </c>
      <c r="F192" s="1" t="str">
        <v>Not Run</v>
      </c>
      <c r="G192" s="1" t="str">
        <v>Not Run</v>
      </c>
      <c r="H192" s="1" t="str">
        <v>Not Run</v>
      </c>
      <c r="I192" s="1" t="str">
        <v>Not Run</v>
      </c>
      <c r="J192" s="1" t="str">
        <v>Not Run</v>
      </c>
      <c r="K192" s="1" t="str">
        <v>Not Run</v>
      </c>
      <c r="L192" s="1">
        <f>COUNTA(F192:K192)</f>
        <v>6</v>
      </c>
      <c r="M192" s="1">
        <f>COUNTIF(F192:K192,"Pass")</f>
        <v>0</v>
      </c>
      <c r="N192" s="1">
        <f>COUNTIF(F192:K192,"Fail")</f>
        <v>0</v>
      </c>
      <c r="O192" s="1" t="str">
        <f>IF(M192=0,"-",M192/L192)</f>
        <v>-</v>
      </c>
    </row>
    <row r="193">
      <c r="A193" s="1" t="str">
        <v>EXP-039</v>
      </c>
      <c r="B193" s="1" t="str">
        <v>Expense Claim</v>
      </c>
      <c r="C193" s="1" t="str">
        <v>Taxes &amp; Charges</v>
      </c>
      <c r="D193" s="1" t="str">
        <v>Total taxes calculated correctly from all tax rows</v>
      </c>
      <c r="E193" s="1" t="str">
        <v>Critical</v>
      </c>
      <c r="F193" s="1" t="str">
        <v>Not Run</v>
      </c>
      <c r="G193" s="1" t="str">
        <v>Not Run</v>
      </c>
      <c r="H193" s="1" t="str">
        <v>Not Run</v>
      </c>
      <c r="I193" s="1" t="str">
        <v>Not Run</v>
      </c>
      <c r="J193" s="1" t="str">
        <v>Not Run</v>
      </c>
      <c r="K193" s="1" t="str">
        <v>Not Run</v>
      </c>
      <c r="L193" s="1">
        <f>COUNTA(F193:K193)</f>
        <v>6</v>
      </c>
      <c r="M193" s="1">
        <f>COUNTIF(F193:K193,"Pass")</f>
        <v>0</v>
      </c>
      <c r="N193" s="1">
        <f>COUNTIF(F193:K193,"Fail")</f>
        <v>0</v>
      </c>
      <c r="O193" s="1" t="str">
        <f>IF(M193=0,"-",M193/L193)</f>
        <v>-</v>
      </c>
    </row>
    <row r="194">
      <c r="A194" s="1" t="str">
        <v>EXP-040</v>
      </c>
      <c r="B194" s="1" t="str">
        <v>Expense Claim</v>
      </c>
      <c r="C194" s="1" t="str">
        <v>Taxes &amp; Charges</v>
      </c>
      <c r="D194" s="1" t="str">
        <v>Grand Total includes taxes and sanctioned amount</v>
      </c>
      <c r="E194" s="1" t="str">
        <v>Critical</v>
      </c>
      <c r="F194" s="1" t="str">
        <v>Not Run</v>
      </c>
      <c r="G194" s="1" t="str">
        <v>Not Run</v>
      </c>
      <c r="H194" s="1" t="str">
        <v>Not Run</v>
      </c>
      <c r="I194" s="1" t="str">
        <v>Not Run</v>
      </c>
      <c r="J194" s="1" t="str">
        <v>Not Run</v>
      </c>
      <c r="K194" s="1" t="str">
        <v>Not Run</v>
      </c>
      <c r="L194" s="1">
        <f>COUNTA(F194:K194)</f>
        <v>6</v>
      </c>
      <c r="M194" s="1">
        <f>COUNTIF(F194:K194,"Pass")</f>
        <v>0</v>
      </c>
      <c r="N194" s="1">
        <f>COUNTIF(F194:K194,"Fail")</f>
        <v>0</v>
      </c>
      <c r="O194" s="1" t="str">
        <f>IF(M194=0,"-",M194/L194)</f>
        <v>-</v>
      </c>
    </row>
    <row r="195">
      <c r="A195" s="1" t="str">
        <v>EXP-041</v>
      </c>
      <c r="B195" s="1" t="str">
        <v>Expense Claim</v>
      </c>
      <c r="C195" s="1" t="str">
        <v>Accounting Details</v>
      </c>
      <c r="D195" s="1" t="str">
        <v>Cost Center field can be selected</v>
      </c>
      <c r="E195" s="1" t="str">
        <v>High</v>
      </c>
      <c r="F195" s="1" t="str">
        <v>Not Run</v>
      </c>
      <c r="G195" s="1" t="str">
        <v>Not Run</v>
      </c>
      <c r="H195" s="1" t="str">
        <v>Not Run</v>
      </c>
      <c r="I195" s="1" t="str">
        <v>Not Run</v>
      </c>
      <c r="J195" s="1" t="str">
        <v>Not Run</v>
      </c>
      <c r="K195" s="1" t="str">
        <v>Not Run</v>
      </c>
      <c r="L195" s="1">
        <f>COUNTA(F195:K195)</f>
        <v>6</v>
      </c>
      <c r="M195" s="1">
        <f>COUNTIF(F195:K195,"Pass")</f>
        <v>0</v>
      </c>
      <c r="N195" s="1">
        <f>COUNTIF(F195:K195,"Fail")</f>
        <v>0</v>
      </c>
      <c r="O195" s="1" t="str">
        <f>IF(M195=0,"-",M195/L195)</f>
        <v>-</v>
      </c>
    </row>
    <row r="196">
      <c r="A196" s="1" t="str">
        <v>EXP-042</v>
      </c>
      <c r="B196" s="1" t="str">
        <v>Expense Claim</v>
      </c>
      <c r="C196" s="1" t="str">
        <v>Accounting Details</v>
      </c>
      <c r="D196" s="1" t="str">
        <v>Project field can be linked to expense claim</v>
      </c>
      <c r="E196" s="1" t="str">
        <v>Medium</v>
      </c>
      <c r="F196" s="1" t="str">
        <v>Not Run</v>
      </c>
      <c r="G196" s="1" t="str">
        <v>Not Run</v>
      </c>
      <c r="H196" s="1" t="str">
        <v>Not Run</v>
      </c>
      <c r="I196" s="1" t="str">
        <v>Not Run</v>
      </c>
      <c r="J196" s="1" t="str">
        <v>Not Run</v>
      </c>
      <c r="K196" s="1" t="str">
        <v>Not Run</v>
      </c>
      <c r="L196" s="1">
        <f>COUNTA(F196:K196)</f>
        <v>6</v>
      </c>
      <c r="M196" s="1">
        <f>COUNTIF(F196:K196,"Pass")</f>
        <v>0</v>
      </c>
      <c r="N196" s="1">
        <f>COUNTIF(F196:K196,"Fail")</f>
        <v>0</v>
      </c>
      <c r="O196" s="1" t="str">
        <f>IF(M196=0,"-",M196/L196)</f>
        <v>-</v>
      </c>
    </row>
    <row r="197">
      <c r="A197" s="1" t="str">
        <v>EXP-043</v>
      </c>
      <c r="B197" s="1" t="str">
        <v>Expense Claim</v>
      </c>
      <c r="C197" s="1" t="str">
        <v>Accounting Details</v>
      </c>
      <c r="D197" s="1" t="str">
        <v>Payable Account is auto-populated</v>
      </c>
      <c r="E197" s="1" t="str">
        <v>Critical</v>
      </c>
      <c r="F197" s="1" t="str">
        <v>Not Run</v>
      </c>
      <c r="G197" s="1" t="str">
        <v>Not Run</v>
      </c>
      <c r="H197" s="1" t="str">
        <v>Not Run</v>
      </c>
      <c r="I197" s="1" t="str">
        <v>Not Run</v>
      </c>
      <c r="J197" s="1" t="str">
        <v>Not Run</v>
      </c>
      <c r="K197" s="1" t="str">
        <v>Not Run</v>
      </c>
      <c r="L197" s="1">
        <f>COUNTA(F197:K197)</f>
        <v>6</v>
      </c>
      <c r="M197" s="1">
        <f>COUNTIF(F197:K197,"Pass")</f>
        <v>0</v>
      </c>
      <c r="N197" s="1">
        <f>COUNTIF(F197:K197,"Fail")</f>
        <v>0</v>
      </c>
      <c r="O197" s="1" t="str">
        <f>IF(M197=0,"-",M197/L197)</f>
        <v>-</v>
      </c>
    </row>
    <row r="198">
      <c r="A198" s="1" t="str">
        <v>EXP-044</v>
      </c>
      <c r="B198" s="1" t="str">
        <v>Expense Claim</v>
      </c>
      <c r="C198" s="1" t="str">
        <v>Accounting Details</v>
      </c>
      <c r="D198" s="1" t="str">
        <v>Payable Account can be manually changed</v>
      </c>
      <c r="E198" s="1" t="str">
        <v>High</v>
      </c>
      <c r="F198" s="1" t="str">
        <v>Not Run</v>
      </c>
      <c r="G198" s="1" t="str">
        <v>Not Run</v>
      </c>
      <c r="H198" s="1" t="str">
        <v>Not Run</v>
      </c>
      <c r="I198" s="1" t="str">
        <v>Not Run</v>
      </c>
      <c r="J198" s="1" t="str">
        <v>Not Run</v>
      </c>
      <c r="K198" s="1" t="str">
        <v>Not Run</v>
      </c>
      <c r="L198" s="1">
        <f>COUNTA(F198:K198)</f>
        <v>6</v>
      </c>
      <c r="M198" s="1">
        <f>COUNTIF(F198:K198,"Pass")</f>
        <v>0</v>
      </c>
      <c r="N198" s="1">
        <f>COUNTIF(F198:K198,"Fail")</f>
        <v>0</v>
      </c>
      <c r="O198" s="1" t="str">
        <f>IF(M198=0,"-",M198/L198)</f>
        <v>-</v>
      </c>
    </row>
    <row r="199">
      <c r="A199" s="1" t="str">
        <v>EXP-045</v>
      </c>
      <c r="B199" s="1" t="str">
        <v>Expense Claim</v>
      </c>
      <c r="C199" s="1" t="str">
        <v>Accounting Details</v>
      </c>
      <c r="D199" s="1" t="str">
        <v>Mode of Payment can be selected</v>
      </c>
      <c r="E199" s="1" t="str">
        <v>High</v>
      </c>
      <c r="F199" s="1" t="str">
        <v>Not Run</v>
      </c>
      <c r="G199" s="1" t="str">
        <v>Not Run</v>
      </c>
      <c r="H199" s="1" t="str">
        <v>Not Run</v>
      </c>
      <c r="I199" s="1" t="str">
        <v>Not Run</v>
      </c>
      <c r="J199" s="1" t="str">
        <v>Not Run</v>
      </c>
      <c r="K199" s="1" t="str">
        <v>Not Run</v>
      </c>
      <c r="L199" s="1">
        <f>COUNTA(F199:K199)</f>
        <v>6</v>
      </c>
      <c r="M199" s="1">
        <f>COUNTIF(F199:K199,"Pass")</f>
        <v>0</v>
      </c>
      <c r="N199" s="1">
        <f>COUNTIF(F199:K199,"Fail")</f>
        <v>0</v>
      </c>
      <c r="O199" s="1" t="str">
        <f>IF(M199=0,"-",M199/L199)</f>
        <v>-</v>
      </c>
    </row>
    <row r="200">
      <c r="A200" s="1" t="str">
        <v>EXP-046</v>
      </c>
      <c r="B200" s="1" t="str">
        <v>Expense Claim</v>
      </c>
      <c r="C200" s="1" t="str">
        <v>Accounting Details</v>
      </c>
      <c r="D200" s="1" t="str">
        <v>Total Advance Amount is displayed if advance exists</v>
      </c>
      <c r="E200" s="1" t="str">
        <v>High</v>
      </c>
      <c r="F200" s="1" t="str">
        <v>Not Run</v>
      </c>
      <c r="G200" s="1" t="str">
        <v>Not Run</v>
      </c>
      <c r="H200" s="1" t="str">
        <v>Not Run</v>
      </c>
      <c r="I200" s="1" t="str">
        <v>Not Run</v>
      </c>
      <c r="J200" s="1" t="str">
        <v>Not Run</v>
      </c>
      <c r="K200" s="1" t="str">
        <v>Not Run</v>
      </c>
      <c r="L200" s="1">
        <f>COUNTA(F200:K200)</f>
        <v>6</v>
      </c>
      <c r="M200" s="1">
        <f>COUNTIF(F200:K200,"Pass")</f>
        <v>0</v>
      </c>
      <c r="N200" s="1">
        <f>COUNTIF(F200:K200,"Fail")</f>
        <v>0</v>
      </c>
      <c r="O200" s="1" t="str">
        <f>IF(M200=0,"-",M200/L200)</f>
        <v>-</v>
      </c>
    </row>
    <row r="201">
      <c r="A201" s="1" t="str">
        <v>EXP-047</v>
      </c>
      <c r="B201" s="1" t="str">
        <v>Expense Claim</v>
      </c>
      <c r="C201" s="1" t="str">
        <v>Data Validation</v>
      </c>
      <c r="D201" s="1" t="str">
        <v>Expense Claim cannot be saved without From Employee</v>
      </c>
      <c r="E201" s="1" t="str">
        <v>Critical</v>
      </c>
      <c r="F201" s="1" t="str">
        <v>Not Run</v>
      </c>
      <c r="G201" s="1" t="str">
        <v>Not Run</v>
      </c>
      <c r="H201" s="1" t="str">
        <v>Not Run</v>
      </c>
      <c r="I201" s="1" t="str">
        <v>Not Run</v>
      </c>
      <c r="J201" s="1" t="str">
        <v>Not Run</v>
      </c>
      <c r="K201" s="1" t="str">
        <v>Not Run</v>
      </c>
      <c r="L201" s="1">
        <f>COUNTA(F201:K201)</f>
        <v>6</v>
      </c>
      <c r="M201" s="1">
        <f>COUNTIF(F201:K201,"Pass")</f>
        <v>0</v>
      </c>
      <c r="N201" s="1">
        <f>COUNTIF(F201:K201,"Fail")</f>
        <v>0</v>
      </c>
      <c r="O201" s="1" t="str">
        <f>IF(M201=0,"-",M201/L201)</f>
        <v>-</v>
      </c>
    </row>
    <row r="202">
      <c r="A202" s="1" t="str">
        <v>EXP-048</v>
      </c>
      <c r="B202" s="1" t="str">
        <v>Expense Claim</v>
      </c>
      <c r="C202" s="1" t="str">
        <v>Data Validation</v>
      </c>
      <c r="D202" s="1" t="str">
        <v>Expense Claim cannot be saved without Company</v>
      </c>
      <c r="E202" s="1" t="str">
        <v>Critical</v>
      </c>
      <c r="F202" s="1" t="str">
        <v>Not Run</v>
      </c>
      <c r="G202" s="1" t="str">
        <v>Not Run</v>
      </c>
      <c r="H202" s="1" t="str">
        <v>Not Run</v>
      </c>
      <c r="I202" s="1" t="str">
        <v>Not Run</v>
      </c>
      <c r="J202" s="1" t="str">
        <v>Not Run</v>
      </c>
      <c r="K202" s="1" t="str">
        <v>Not Run</v>
      </c>
      <c r="L202" s="1">
        <f>COUNTA(F202:K202)</f>
        <v>6</v>
      </c>
      <c r="M202" s="1">
        <f>COUNTIF(F202:K202,"Pass")</f>
        <v>0</v>
      </c>
      <c r="N202" s="1">
        <f>COUNTIF(F202:K202,"Fail")</f>
        <v>0</v>
      </c>
      <c r="O202" s="1" t="str">
        <f>IF(M202=0,"-",M202/L202)</f>
        <v>-</v>
      </c>
    </row>
    <row r="203">
      <c r="A203" s="1" t="str">
        <v>EXP-049</v>
      </c>
      <c r="B203" s="1" t="str">
        <v>Expense Claim</v>
      </c>
      <c r="C203" s="1" t="str">
        <v>Data Validation</v>
      </c>
      <c r="D203" s="1" t="str">
        <v>Expense Claim cannot be saved without Expense Approver</v>
      </c>
      <c r="E203" s="1" t="str">
        <v>Critical</v>
      </c>
      <c r="F203" s="1" t="str">
        <v>Not Run</v>
      </c>
      <c r="G203" s="1" t="str">
        <v>Not Run</v>
      </c>
      <c r="H203" s="1" t="str">
        <v>Not Run</v>
      </c>
      <c r="I203" s="1" t="str">
        <v>Not Run</v>
      </c>
      <c r="J203" s="1" t="str">
        <v>Not Run</v>
      </c>
      <c r="K203" s="1" t="str">
        <v>Not Run</v>
      </c>
      <c r="L203" s="1">
        <f>COUNTA(F203:K203)</f>
        <v>6</v>
      </c>
      <c r="M203" s="1">
        <f>COUNTIF(F203:K203,"Pass")</f>
        <v>0</v>
      </c>
      <c r="N203" s="1">
        <f>COUNTIF(F203:K203,"Fail")</f>
        <v>0</v>
      </c>
      <c r="O203" s="1" t="str">
        <f>IF(M203=0,"-",M203/L203)</f>
        <v>-</v>
      </c>
    </row>
    <row r="204">
      <c r="A204" s="1" t="str">
        <v>EXP-050</v>
      </c>
      <c r="B204" s="1" t="str">
        <v>Expense Claim</v>
      </c>
      <c r="C204" s="1" t="str">
        <v>Data Validation</v>
      </c>
      <c r="D204" s="1" t="str">
        <v>Expense Claim cannot be submitted without expense rows</v>
      </c>
      <c r="E204" s="1" t="str">
        <v>Critical</v>
      </c>
      <c r="F204" s="1" t="str">
        <v>Not Run</v>
      </c>
      <c r="G204" s="1" t="str">
        <v>Not Run</v>
      </c>
      <c r="H204" s="1" t="str">
        <v>Not Run</v>
      </c>
      <c r="I204" s="1" t="str">
        <v>Not Run</v>
      </c>
      <c r="J204" s="1" t="str">
        <v>Not Run</v>
      </c>
      <c r="K204" s="1" t="str">
        <v>Not Run</v>
      </c>
      <c r="L204" s="1">
        <f>COUNTA(F204:K204)</f>
        <v>6</v>
      </c>
      <c r="M204" s="1">
        <f>COUNTIF(F204:K204,"Pass")</f>
        <v>0</v>
      </c>
      <c r="N204" s="1">
        <f>COUNTIF(F204:K204,"Fail")</f>
        <v>0</v>
      </c>
      <c r="O204" s="1" t="str">
        <f>IF(M204=0,"-",M204/L204)</f>
        <v>-</v>
      </c>
    </row>
    <row r="205">
      <c r="A205" s="1" t="str">
        <v>EXP-051</v>
      </c>
      <c r="B205" s="1" t="str">
        <v>Expense Claim</v>
      </c>
      <c r="C205" s="1" t="str">
        <v>Editing &amp; Updates</v>
      </c>
      <c r="D205" s="1" t="str">
        <v>Edit expense row amount on existing claim</v>
      </c>
      <c r="E205" s="1" t="str">
        <v>High</v>
      </c>
      <c r="F205" s="1" t="str">
        <v>Not Run</v>
      </c>
      <c r="G205" s="1" t="str">
        <v>Not Run</v>
      </c>
      <c r="H205" s="1" t="str">
        <v>Not Run</v>
      </c>
      <c r="I205" s="1" t="str">
        <v>Not Run</v>
      </c>
      <c r="J205" s="1" t="str">
        <v>Not Run</v>
      </c>
      <c r="K205" s="1" t="str">
        <v>Not Run</v>
      </c>
      <c r="L205" s="1">
        <f>COUNTA(F205:K205)</f>
        <v>6</v>
      </c>
      <c r="M205" s="1">
        <f>COUNTIF(F205:K205,"Pass")</f>
        <v>0</v>
      </c>
      <c r="N205" s="1">
        <f>COUNTIF(F205:K205,"Fail")</f>
        <v>0</v>
      </c>
      <c r="O205" s="1" t="str">
        <f>IF(M205=0,"-",M205/L205)</f>
        <v>-</v>
      </c>
    </row>
    <row r="206">
      <c r="A206" s="1" t="str">
        <v>EXP-052</v>
      </c>
      <c r="B206" s="1" t="str">
        <v>Expense Claim</v>
      </c>
      <c r="C206" s="1" t="str">
        <v>Editing &amp; Updates</v>
      </c>
      <c r="D206" s="1" t="str">
        <v>Edit expense claim type on existing row</v>
      </c>
      <c r="E206" s="1" t="str">
        <v>High</v>
      </c>
      <c r="F206" s="1" t="str">
        <v>Not Run</v>
      </c>
      <c r="G206" s="1" t="str">
        <v>Not Run</v>
      </c>
      <c r="H206" s="1" t="str">
        <v>Not Run</v>
      </c>
      <c r="I206" s="1" t="str">
        <v>Not Run</v>
      </c>
      <c r="J206" s="1" t="str">
        <v>Not Run</v>
      </c>
      <c r="K206" s="1" t="str">
        <v>Not Run</v>
      </c>
      <c r="L206" s="1">
        <f>COUNTA(F206:K206)</f>
        <v>6</v>
      </c>
      <c r="M206" s="1">
        <f>COUNTIF(F206:K206,"Pass")</f>
        <v>0</v>
      </c>
      <c r="N206" s="1">
        <f>COUNTIF(F206:K206,"Fail")</f>
        <v>0</v>
      </c>
      <c r="O206" s="1" t="str">
        <f>IF(M206=0,"-",M206/L206)</f>
        <v>-</v>
      </c>
    </row>
    <row r="207">
      <c r="A207" s="1" t="str">
        <v>EXP-053</v>
      </c>
      <c r="B207" s="1" t="str">
        <v>Expense Claim</v>
      </c>
      <c r="C207" s="1" t="str">
        <v>Editing &amp; Updates</v>
      </c>
      <c r="D207" s="1" t="str">
        <v>Edit expense approver before submission</v>
      </c>
      <c r="E207" s="1" t="str">
        <v>High</v>
      </c>
      <c r="F207" s="1" t="str">
        <v>Not Run</v>
      </c>
      <c r="G207" s="1" t="str">
        <v>Not Run</v>
      </c>
      <c r="H207" s="1" t="str">
        <v>Not Run</v>
      </c>
      <c r="I207" s="1" t="str">
        <v>Not Run</v>
      </c>
      <c r="J207" s="1" t="str">
        <v>Not Run</v>
      </c>
      <c r="K207" s="1" t="str">
        <v>Not Run</v>
      </c>
      <c r="L207" s="1">
        <f>COUNTA(F207:K207)</f>
        <v>6</v>
      </c>
      <c r="M207" s="1">
        <f>COUNTIF(F207:K207,"Pass")</f>
        <v>0</v>
      </c>
      <c r="N207" s="1">
        <f>COUNTIF(F207:K207,"Fail")</f>
        <v>0</v>
      </c>
      <c r="O207" s="1" t="str">
        <f>IF(M207=0,"-",M207/L207)</f>
        <v>-</v>
      </c>
    </row>
    <row r="208">
      <c r="A208" s="1" t="str">
        <v>EXP-054</v>
      </c>
      <c r="B208" s="1" t="str">
        <v>Expense Claim</v>
      </c>
      <c r="C208" s="1" t="str">
        <v>Editing &amp; Updates</v>
      </c>
      <c r="D208" s="1" t="str">
        <v>Edit is restricted after Approval Status is Approved</v>
      </c>
      <c r="E208" s="1" t="str">
        <v>Critical</v>
      </c>
      <c r="F208" s="1" t="str">
        <v>Not Run</v>
      </c>
      <c r="G208" s="1" t="str">
        <v>Not Run</v>
      </c>
      <c r="H208" s="1" t="str">
        <v>Not Run</v>
      </c>
      <c r="I208" s="1" t="str">
        <v>Not Run</v>
      </c>
      <c r="J208" s="1" t="str">
        <v>Not Run</v>
      </c>
      <c r="K208" s="1" t="str">
        <v>Not Run</v>
      </c>
      <c r="L208" s="1">
        <f>COUNTA(F208:K208)</f>
        <v>6</v>
      </c>
      <c r="M208" s="1">
        <f>COUNTIF(F208:K208,"Pass")</f>
        <v>0</v>
      </c>
      <c r="N208" s="1">
        <f>COUNTIF(F208:K208,"Fail")</f>
        <v>0</v>
      </c>
      <c r="O208" s="1" t="str">
        <f>IF(M208=0,"-",M208/L208)</f>
        <v>-</v>
      </c>
    </row>
    <row r="209">
      <c r="A209" s="1" t="str">
        <v>EXP-055</v>
      </c>
      <c r="B209" s="1" t="str">
        <v>Expense Claim</v>
      </c>
      <c r="C209" s="1" t="str">
        <v>Form Actions</v>
      </c>
      <c r="D209" s="1" t="str">
        <v>Save Expense Claim successfully</v>
      </c>
      <c r="E209" s="1" t="str">
        <v>Critical</v>
      </c>
      <c r="F209" s="1" t="str">
        <v>Not Run</v>
      </c>
      <c r="G209" s="1" t="str">
        <v>Not Run</v>
      </c>
      <c r="H209" s="1" t="str">
        <v>Not Run</v>
      </c>
      <c r="I209" s="1" t="str">
        <v>Not Run</v>
      </c>
      <c r="J209" s="1" t="str">
        <v>Not Run</v>
      </c>
      <c r="K209" s="1" t="str">
        <v>Not Run</v>
      </c>
      <c r="L209" s="1">
        <f>COUNTA(F209:K209)</f>
        <v>6</v>
      </c>
      <c r="M209" s="1">
        <f>COUNTIF(F209:K209,"Pass")</f>
        <v>0</v>
      </c>
      <c r="N209" s="1">
        <f>COUNTIF(F209:K209,"Fail")</f>
        <v>0</v>
      </c>
      <c r="O209" s="1" t="str">
        <f>IF(M209=0,"-",M209/L209)</f>
        <v>-</v>
      </c>
    </row>
    <row r="210">
      <c r="A210" s="1" t="str">
        <v>EXP-056</v>
      </c>
      <c r="B210" s="1" t="str">
        <v>Expense Claim</v>
      </c>
      <c r="C210" s="1" t="str">
        <v>Form Actions</v>
      </c>
      <c r="D210" s="1" t="str">
        <v>Submit Expense Claim successfully</v>
      </c>
      <c r="E210" s="1" t="str">
        <v>Critical</v>
      </c>
      <c r="F210" s="1" t="str">
        <v>Not Run</v>
      </c>
      <c r="G210" s="1" t="str">
        <v>Not Run</v>
      </c>
      <c r="H210" s="1" t="str">
        <v>Not Run</v>
      </c>
      <c r="I210" s="1" t="str">
        <v>Not Run</v>
      </c>
      <c r="J210" s="1" t="str">
        <v>Not Run</v>
      </c>
      <c r="K210" s="1" t="str">
        <v>Not Run</v>
      </c>
      <c r="L210" s="1">
        <f>COUNTA(F210:K210)</f>
        <v>6</v>
      </c>
      <c r="M210" s="1">
        <f>COUNTIF(F210:K210,"Pass")</f>
        <v>0</v>
      </c>
      <c r="N210" s="1">
        <f>COUNTIF(F210:K210,"Fail")</f>
        <v>0</v>
      </c>
      <c r="O210" s="1" t="str">
        <f>IF(M210=0,"-",M210/L210)</f>
        <v>-</v>
      </c>
    </row>
    <row r="211">
      <c r="A211" s="1" t="str">
        <v>EXP-057</v>
      </c>
      <c r="B211" s="1" t="str">
        <v>Expense Claim</v>
      </c>
      <c r="C211" s="1" t="str">
        <v>Form Actions</v>
      </c>
      <c r="D211" s="1" t="str">
        <v>Form shows "Not Saved" status before save</v>
      </c>
      <c r="E211" s="1" t="str">
        <v>Medium</v>
      </c>
      <c r="F211" s="1" t="str">
        <v>Not Run</v>
      </c>
      <c r="G211" s="1" t="str">
        <v>Not Run</v>
      </c>
      <c r="H211" s="1" t="str">
        <v>Not Run</v>
      </c>
      <c r="I211" s="1" t="str">
        <v>Not Run</v>
      </c>
      <c r="J211" s="1" t="str">
        <v>Not Run</v>
      </c>
      <c r="K211" s="1" t="str">
        <v>Not Run</v>
      </c>
      <c r="L211" s="1">
        <f>COUNTA(F211:K211)</f>
        <v>6</v>
      </c>
      <c r="M211" s="1">
        <f>COUNTIF(F211:K211,"Pass")</f>
        <v>0</v>
      </c>
      <c r="N211" s="1">
        <f>COUNTIF(F211:K211,"Fail")</f>
        <v>0</v>
      </c>
      <c r="O211" s="1" t="str">
        <f>IF(M211=0,"-",M211/L211)</f>
        <v>-</v>
      </c>
    </row>
    <row r="212">
      <c r="A212" s="1" t="str">
        <v>EXP-058</v>
      </c>
      <c r="B212" s="1" t="str">
        <v>Expense Claim</v>
      </c>
      <c r="C212" s="1" t="str">
        <v>Form Actions</v>
      </c>
      <c r="D212" s="1" t="str">
        <v>Form shows "Saved" status after successful save</v>
      </c>
      <c r="E212" s="1" t="str">
        <v>Medium</v>
      </c>
      <c r="F212" s="1" t="str">
        <v>Not Run</v>
      </c>
      <c r="G212" s="1" t="str">
        <v>Not Run</v>
      </c>
      <c r="H212" s="1" t="str">
        <v>Not Run</v>
      </c>
      <c r="I212" s="1" t="str">
        <v>Not Run</v>
      </c>
      <c r="J212" s="1" t="str">
        <v>Not Run</v>
      </c>
      <c r="K212" s="1" t="str">
        <v>Not Run</v>
      </c>
      <c r="L212" s="1">
        <f>COUNTA(F212:K212)</f>
        <v>6</v>
      </c>
      <c r="M212" s="1">
        <f>COUNTIF(F212:K212,"Pass")</f>
        <v>0</v>
      </c>
      <c r="N212" s="1">
        <f>COUNTIF(F212:K212,"Fail")</f>
        <v>0</v>
      </c>
      <c r="O212" s="1" t="str">
        <f>IF(M212=0,"-",M212/L212)</f>
        <v>-</v>
      </c>
    </row>
    <row r="213">
      <c r="A213" s="1" t="str">
        <v>EXP-059</v>
      </c>
      <c r="B213" s="1" t="str">
        <v>Expense Claim</v>
      </c>
      <c r="C213" s="1" t="str">
        <v>Form Actions</v>
      </c>
      <c r="D213" s="1" t="str">
        <v>Duplicate existing Expense Claim</v>
      </c>
      <c r="E213" s="1" t="str">
        <v>High</v>
      </c>
      <c r="F213" s="1" t="str">
        <v>Not Run</v>
      </c>
      <c r="G213" s="1" t="str">
        <v>Not Run</v>
      </c>
      <c r="H213" s="1" t="str">
        <v>Not Run</v>
      </c>
      <c r="I213" s="1" t="str">
        <v>Not Run</v>
      </c>
      <c r="J213" s="1" t="str">
        <v>Not Run</v>
      </c>
      <c r="K213" s="1" t="str">
        <v>Not Run</v>
      </c>
      <c r="L213" s="1">
        <f>COUNTA(F213:K213)</f>
        <v>6</v>
      </c>
      <c r="M213" s="1">
        <f>COUNTIF(F213:K213,"Pass")</f>
        <v>0</v>
      </c>
      <c r="N213" s="1">
        <f>COUNTIF(F213:K213,"Fail")</f>
        <v>0</v>
      </c>
      <c r="O213" s="1" t="str">
        <f>IF(M213=0,"-",M213/L213)</f>
        <v>-</v>
      </c>
    </row>
    <row r="214">
      <c r="A214" s="1" t="str">
        <v>EXP-060</v>
      </c>
      <c r="B214" s="1" t="str">
        <v>Expense Claim</v>
      </c>
      <c r="C214" s="1" t="str">
        <v>Form Actions</v>
      </c>
      <c r="D214" s="1" t="str">
        <v>Cancel submitted Expense Claim</v>
      </c>
      <c r="E214" s="1" t="str">
        <v>Critical</v>
      </c>
      <c r="F214" s="1" t="str">
        <v>Not Run</v>
      </c>
      <c r="G214" s="1" t="str">
        <v>Not Run</v>
      </c>
      <c r="H214" s="1" t="str">
        <v>Not Run</v>
      </c>
      <c r="I214" s="1" t="str">
        <v>Not Run</v>
      </c>
      <c r="J214" s="1" t="str">
        <v>Not Run</v>
      </c>
      <c r="K214" s="1" t="str">
        <v>Not Run</v>
      </c>
      <c r="L214" s="1">
        <f>COUNTA(F214:K214)</f>
        <v>6</v>
      </c>
      <c r="M214" s="1">
        <f>COUNTIF(F214:K214,"Pass")</f>
        <v>0</v>
      </c>
      <c r="N214" s="1">
        <f>COUNTIF(F214:K214,"Fail")</f>
        <v>0</v>
      </c>
      <c r="O214" s="1" t="str">
        <f>IF(M214=0,"-",M214/L214)</f>
        <v>-</v>
      </c>
    </row>
    <row r="215">
      <c r="A215" s="1" t="str">
        <v>▌ Leave Application</v>
      </c>
    </row>
    <row r="216">
      <c r="A216" s="1" t="str">
        <v>LEA-001</v>
      </c>
      <c r="B216" s="1" t="str">
        <v>Leave Application</v>
      </c>
      <c r="C216" s="1" t="str">
        <v>Leave Application Creation &amp; Basic Details</v>
      </c>
      <c r="D216" s="1" t="str">
        <v>Create Leave Application with mandatory fields only (Employee, Leave Type, From Date, To Date)</v>
      </c>
      <c r="E216" s="1" t="str">
        <v>Critical</v>
      </c>
      <c r="F216" s="1" t="str">
        <v>Not Run</v>
      </c>
      <c r="G216" s="1" t="str">
        <v>Not Run</v>
      </c>
      <c r="H216" s="1" t="str">
        <v>Not Run</v>
      </c>
      <c r="I216" s="1" t="str">
        <v>Not Run</v>
      </c>
      <c r="J216" s="1" t="str">
        <v>Not Run</v>
      </c>
      <c r="K216" s="1" t="str">
        <v>Not Run</v>
      </c>
      <c r="L216" s="1">
        <f>COUNTA(F216:K216)</f>
        <v>6</v>
      </c>
      <c r="M216" s="1">
        <f>COUNTIF(F216:K216,"Pass")</f>
        <v>0</v>
      </c>
      <c r="N216" s="1">
        <f>COUNTIF(F216:K216,"Fail")</f>
        <v>0</v>
      </c>
      <c r="O216" s="1" t="str">
        <f>IF(M216=0,"-",M216/L216)</f>
        <v>-</v>
      </c>
    </row>
    <row r="217">
      <c r="A217" s="1" t="str">
        <v>LEA-002</v>
      </c>
      <c r="B217" s="1" t="str">
        <v>Leave Application</v>
      </c>
      <c r="C217" s="1" t="str">
        <v>Leave Application Creation &amp; Basic Details</v>
      </c>
      <c r="D217" s="1" t="str">
        <v>Create Leave Application with all basic fields (Employee, Leave Type, Dates, Company, Approver)</v>
      </c>
      <c r="E217" s="1" t="str">
        <v>Critical</v>
      </c>
      <c r="F217" s="1" t="str">
        <v>Not Run</v>
      </c>
      <c r="G217" s="1" t="str">
        <v>Not Run</v>
      </c>
      <c r="H217" s="1" t="str">
        <v>Not Run</v>
      </c>
      <c r="I217" s="1" t="str">
        <v>Not Run</v>
      </c>
      <c r="J217" s="1" t="str">
        <v>Not Run</v>
      </c>
      <c r="K217" s="1" t="str">
        <v>Not Run</v>
      </c>
      <c r="L217" s="1">
        <f>COUNTA(F217:K217)</f>
        <v>6</v>
      </c>
      <c r="M217" s="1">
        <f>COUNTIF(F217:K217,"Pass")</f>
        <v>0</v>
      </c>
      <c r="N217" s="1">
        <f>COUNTIF(F217:K217,"Fail")</f>
        <v>0</v>
      </c>
      <c r="O217" s="1" t="str">
        <f>IF(M217=0,"-",M217/L217)</f>
        <v>-</v>
      </c>
    </row>
    <row r="218">
      <c r="A218" s="1" t="str">
        <v>LEA-003</v>
      </c>
      <c r="B218" s="1" t="str">
        <v>Leave Application</v>
      </c>
      <c r="C218" s="1" t="str">
        <v>Series &amp; Auto-generation</v>
      </c>
      <c r="D218" s="1" t="str">
        <v>Series field is auto-generated in format HR-LAP-.YYYY.-</v>
      </c>
      <c r="E218" s="1" t="str">
        <v>Critical</v>
      </c>
      <c r="F218" s="1" t="str">
        <v>Not Run</v>
      </c>
      <c r="G218" s="1" t="str">
        <v>Not Run</v>
      </c>
      <c r="H218" s="1" t="str">
        <v>Not Run</v>
      </c>
      <c r="I218" s="1" t="str">
        <v>Not Run</v>
      </c>
      <c r="J218" s="1" t="str">
        <v>Not Run</v>
      </c>
      <c r="K218" s="1" t="str">
        <v>Not Run</v>
      </c>
      <c r="L218" s="1">
        <f>COUNTA(F218:K218)</f>
        <v>6</v>
      </c>
      <c r="M218" s="1">
        <f>COUNTIF(F218:K218,"Pass")</f>
        <v>0</v>
      </c>
      <c r="N218" s="1">
        <f>COUNTIF(F218:K218,"Fail")</f>
        <v>0</v>
      </c>
      <c r="O218" s="1" t="str">
        <f>IF(M218=0,"-",M218/L218)</f>
        <v>-</v>
      </c>
    </row>
    <row r="219">
      <c r="A219" s="1" t="str">
        <v>LEA-004</v>
      </c>
      <c r="B219" s="1" t="str">
        <v>Leave Application</v>
      </c>
      <c r="C219" s="1" t="str">
        <v>Series &amp; Auto-generation</v>
      </c>
      <c r="D219" s="1" t="str">
        <v>Series field cannot be manually edited</v>
      </c>
      <c r="E219" s="1" t="str">
        <v>High</v>
      </c>
      <c r="F219" s="1" t="str">
        <v>Not Run</v>
      </c>
      <c r="G219" s="1" t="str">
        <v>Not Run</v>
      </c>
      <c r="H219" s="1" t="str">
        <v>Not Run</v>
      </c>
      <c r="I219" s="1" t="str">
        <v>Not Run</v>
      </c>
      <c r="J219" s="1" t="str">
        <v>Not Run</v>
      </c>
      <c r="K219" s="1" t="str">
        <v>Not Run</v>
      </c>
      <c r="L219" s="1">
        <f>COUNTA(F219:K219)</f>
        <v>6</v>
      </c>
      <c r="M219" s="1">
        <f>COUNTIF(F219:K219,"Pass")</f>
        <v>0</v>
      </c>
      <c r="N219" s="1">
        <f>COUNTIF(F219:K219,"Fail")</f>
        <v>0</v>
      </c>
      <c r="O219" s="1" t="str">
        <f>IF(M219=0,"-",M219/L219)</f>
        <v>-</v>
      </c>
    </row>
    <row r="220">
      <c r="A220" s="1" t="str">
        <v>LEA-005</v>
      </c>
      <c r="B220" s="1" t="str">
        <v>Leave Application</v>
      </c>
      <c r="C220" s="1" t="str">
        <v>Series &amp; Auto-generation</v>
      </c>
      <c r="D220" s="1" t="str">
        <v>Unique Series is generated for each leave application</v>
      </c>
      <c r="E220" s="1" t="str">
        <v>Critical</v>
      </c>
      <c r="F220" s="1" t="str">
        <v>Not Run</v>
      </c>
      <c r="G220" s="1" t="str">
        <v>Not Run</v>
      </c>
      <c r="H220" s="1" t="str">
        <v>Not Run</v>
      </c>
      <c r="I220" s="1" t="str">
        <v>Not Run</v>
      </c>
      <c r="J220" s="1" t="str">
        <v>Not Run</v>
      </c>
      <c r="K220" s="1" t="str">
        <v>Not Run</v>
      </c>
      <c r="L220" s="1">
        <f>COUNTA(F220:K220)</f>
        <v>6</v>
      </c>
      <c r="M220" s="1">
        <f>COUNTIF(F220:K220,"Pass")</f>
        <v>0</v>
      </c>
      <c r="N220" s="1">
        <f>COUNTIF(F220:K220,"Fail")</f>
        <v>0</v>
      </c>
      <c r="O220" s="1" t="str">
        <f>IF(M220=0,"-",M220/L220)</f>
        <v>-</v>
      </c>
    </row>
    <row r="221">
      <c r="A221" s="1" t="str">
        <v>LEA-006</v>
      </c>
      <c r="B221" s="1" t="str">
        <v>Leave Application</v>
      </c>
      <c r="C221" s="1" t="str">
        <v>Employee Selection</v>
      </c>
      <c r="D221" s="1" t="str">
        <v>Valid employee can be selected in Employee field</v>
      </c>
      <c r="E221" s="1" t="str">
        <v>Critical</v>
      </c>
      <c r="F221" s="1" t="str">
        <v>Not Run</v>
      </c>
      <c r="G221" s="1" t="str">
        <v>Not Run</v>
      </c>
      <c r="H221" s="1" t="str">
        <v>Not Run</v>
      </c>
      <c r="I221" s="1" t="str">
        <v>Not Run</v>
      </c>
      <c r="J221" s="1" t="str">
        <v>Not Run</v>
      </c>
      <c r="K221" s="1" t="str">
        <v>Not Run</v>
      </c>
      <c r="L221" s="1">
        <f>COUNTA(F221:K221)</f>
        <v>6</v>
      </c>
      <c r="M221" s="1">
        <f>COUNTIF(F221:K221,"Pass")</f>
        <v>0</v>
      </c>
      <c r="N221" s="1">
        <f>COUNTIF(F221:K221,"Fail")</f>
        <v>0</v>
      </c>
      <c r="O221" s="1" t="str">
        <f>IF(M221=0,"-",M221/L221)</f>
        <v>-</v>
      </c>
    </row>
    <row r="222">
      <c r="A222" s="1" t="str">
        <v>LEA-007</v>
      </c>
      <c r="B222" s="1" t="str">
        <v>Leave Application</v>
      </c>
      <c r="C222" s="1" t="str">
        <v>Employee Selection</v>
      </c>
      <c r="D222" s="1" t="str">
        <v>Invalid/non-existent employee is rejected</v>
      </c>
      <c r="E222" s="1" t="str">
        <v>Critical</v>
      </c>
      <c r="F222" s="1" t="str">
        <v>Not Run</v>
      </c>
      <c r="G222" s="1" t="str">
        <v>Not Run</v>
      </c>
      <c r="H222" s="1" t="str">
        <v>Not Run</v>
      </c>
      <c r="I222" s="1" t="str">
        <v>Not Run</v>
      </c>
      <c r="J222" s="1" t="str">
        <v>Not Run</v>
      </c>
      <c r="K222" s="1" t="str">
        <v>Not Run</v>
      </c>
      <c r="L222" s="1">
        <f>COUNTA(F222:K222)</f>
        <v>6</v>
      </c>
      <c r="M222" s="1">
        <f>COUNTIF(F222:K222,"Pass")</f>
        <v>0</v>
      </c>
      <c r="N222" s="1">
        <f>COUNTIF(F222:K222,"Fail")</f>
        <v>0</v>
      </c>
      <c r="O222" s="1" t="str">
        <f>IF(M222=0,"-",M222/L222)</f>
        <v>-</v>
      </c>
    </row>
    <row r="223">
      <c r="A223" s="1" t="str">
        <v>LEA-008</v>
      </c>
      <c r="B223" s="1" t="str">
        <v>Leave Application</v>
      </c>
      <c r="C223" s="1" t="str">
        <v>Employee Selection</v>
      </c>
      <c r="D223" s="1" t="str">
        <v>Employee field is mandatory and cannot be left blank</v>
      </c>
      <c r="E223" s="1" t="str">
        <v>Critical</v>
      </c>
      <c r="F223" s="1" t="str">
        <v>Not Run</v>
      </c>
      <c r="G223" s="1" t="str">
        <v>Not Run</v>
      </c>
      <c r="H223" s="1" t="str">
        <v>Not Run</v>
      </c>
      <c r="I223" s="1" t="str">
        <v>Not Run</v>
      </c>
      <c r="J223" s="1" t="str">
        <v>Not Run</v>
      </c>
      <c r="K223" s="1" t="str">
        <v>Not Run</v>
      </c>
      <c r="L223" s="1">
        <f>COUNTA(F223:K223)</f>
        <v>6</v>
      </c>
      <c r="M223" s="1">
        <f>COUNTIF(F223:K223,"Pass")</f>
        <v>0</v>
      </c>
      <c r="N223" s="1">
        <f>COUNTIF(F223:K223,"Fail")</f>
        <v>0</v>
      </c>
      <c r="O223" s="1" t="str">
        <f>IF(M223=0,"-",M223/L223)</f>
        <v>-</v>
      </c>
    </row>
    <row r="224">
      <c r="A224" s="1" t="str">
        <v>LEA-009</v>
      </c>
      <c r="B224" s="1" t="str">
        <v>Leave Application</v>
      </c>
      <c r="C224" s="1" t="str">
        <v>Leave Type Selection</v>
      </c>
      <c r="D224" s="1" t="str">
        <v>Valid leave type can be selected from dropdown</v>
      </c>
      <c r="E224" s="1" t="str">
        <v>Critical</v>
      </c>
      <c r="F224" s="1" t="str">
        <v>Not Run</v>
      </c>
      <c r="G224" s="1" t="str">
        <v>Not Run</v>
      </c>
      <c r="H224" s="1" t="str">
        <v>Not Run</v>
      </c>
      <c r="I224" s="1" t="str">
        <v>Not Run</v>
      </c>
      <c r="J224" s="1" t="str">
        <v>Not Run</v>
      </c>
      <c r="K224" s="1" t="str">
        <v>Not Run</v>
      </c>
      <c r="L224" s="1">
        <f>COUNTA(F224:K224)</f>
        <v>6</v>
      </c>
      <c r="M224" s="1">
        <f>COUNTIF(F224:K224,"Pass")</f>
        <v>0</v>
      </c>
      <c r="N224" s="1">
        <f>COUNTIF(F224:K224,"Fail")</f>
        <v>0</v>
      </c>
      <c r="O224" s="1" t="str">
        <f>IF(M224=0,"-",M224/L224)</f>
        <v>-</v>
      </c>
    </row>
    <row r="225">
      <c r="A225" s="1" t="str">
        <v>LEA-010</v>
      </c>
      <c r="B225" s="1" t="str">
        <v>Leave Application</v>
      </c>
      <c r="C225" s="1" t="str">
        <v>Leave Type Selection</v>
      </c>
      <c r="D225" s="1" t="str">
        <v>Leave Type field is mandatory and cannot be left blank</v>
      </c>
      <c r="E225" s="1" t="str">
        <v>Critical</v>
      </c>
      <c r="F225" s="1" t="str">
        <v>Not Run</v>
      </c>
      <c r="G225" s="1" t="str">
        <v>Not Run</v>
      </c>
      <c r="H225" s="1" t="str">
        <v>Not Run</v>
      </c>
      <c r="I225" s="1" t="str">
        <v>Not Run</v>
      </c>
      <c r="J225" s="1" t="str">
        <v>Not Run</v>
      </c>
      <c r="K225" s="1" t="str">
        <v>Not Run</v>
      </c>
      <c r="L225" s="1">
        <f>COUNTA(F225:K225)</f>
        <v>6</v>
      </c>
      <c r="M225" s="1">
        <f>COUNTIF(F225:K225,"Pass")</f>
        <v>0</v>
      </c>
      <c r="N225" s="1">
        <f>COUNTIF(F225:K225,"Fail")</f>
        <v>0</v>
      </c>
      <c r="O225" s="1" t="str">
        <f>IF(M225=0,"-",M225/L225)</f>
        <v>-</v>
      </c>
    </row>
    <row r="226">
      <c r="A226" s="1" t="str">
        <v>LEA-011</v>
      </c>
      <c r="B226" s="1" t="str">
        <v>Leave Application</v>
      </c>
      <c r="C226" s="1" t="str">
        <v>Leave Type Selection</v>
      </c>
      <c r="D226" s="1" t="str">
        <v>Leave Type displays all available options (Annual, Sick, Personal, etc.)</v>
      </c>
      <c r="E226" s="1" t="str">
        <v>High</v>
      </c>
      <c r="F226" s="1" t="str">
        <v>Not Run</v>
      </c>
      <c r="G226" s="1" t="str">
        <v>Not Run</v>
      </c>
      <c r="H226" s="1" t="str">
        <v>Not Run</v>
      </c>
      <c r="I226" s="1" t="str">
        <v>Not Run</v>
      </c>
      <c r="J226" s="1" t="str">
        <v>Not Run</v>
      </c>
      <c r="K226" s="1" t="str">
        <v>Not Run</v>
      </c>
      <c r="L226" s="1">
        <f>COUNTA(F226:K226)</f>
        <v>6</v>
      </c>
      <c r="M226" s="1">
        <f>COUNTIF(F226:K226,"Pass")</f>
        <v>0</v>
      </c>
      <c r="N226" s="1">
        <f>COUNTIF(F226:K226,"Fail")</f>
        <v>0</v>
      </c>
      <c r="O226" s="1" t="str">
        <f>IF(M226=0,"-",M226/L226)</f>
        <v>-</v>
      </c>
    </row>
    <row r="227">
      <c r="A227" s="1" t="str">
        <v>LEA-012</v>
      </c>
      <c r="B227" s="1" t="str">
        <v>Leave Application</v>
      </c>
      <c r="C227" s="1" t="str">
        <v>Leave Type Selection</v>
      </c>
      <c r="D227" s="1" t="str">
        <v>Employee's leave balance is checked for selected leave type</v>
      </c>
      <c r="E227" s="1" t="str">
        <v>Critical</v>
      </c>
      <c r="F227" s="1" t="str">
        <v>Not Run</v>
      </c>
      <c r="G227" s="1" t="str">
        <v>Not Run</v>
      </c>
      <c r="H227" s="1" t="str">
        <v>Not Run</v>
      </c>
      <c r="I227" s="1" t="str">
        <v>Not Run</v>
      </c>
      <c r="J227" s="1" t="str">
        <v>Not Run</v>
      </c>
      <c r="K227" s="1" t="str">
        <v>Not Run</v>
      </c>
      <c r="L227" s="1">
        <f>COUNTA(F227:K227)</f>
        <v>6</v>
      </c>
      <c r="M227" s="1">
        <f>COUNTIF(F227:K227,"Pass")</f>
        <v>0</v>
      </c>
      <c r="N227" s="1">
        <f>COUNTIF(F227:K227,"Fail")</f>
        <v>0</v>
      </c>
      <c r="O227" s="1" t="str">
        <f>IF(M227=0,"-",M227/L227)</f>
        <v>-</v>
      </c>
    </row>
    <row r="228">
      <c r="A228" s="1" t="str">
        <v>LEA-013</v>
      </c>
      <c r="B228" s="1" t="str">
        <v>Leave Application</v>
      </c>
      <c r="C228" s="1" t="str">
        <v>Company Details</v>
      </c>
      <c r="D228" s="1" t="str">
        <v>Valid company is selected and displayed</v>
      </c>
      <c r="E228" s="1" t="str">
        <v>Critical</v>
      </c>
      <c r="F228" s="1" t="str">
        <v>Not Run</v>
      </c>
      <c r="G228" s="1" t="str">
        <v>Not Run</v>
      </c>
      <c r="H228" s="1" t="str">
        <v>Not Run</v>
      </c>
      <c r="I228" s="1" t="str">
        <v>Not Run</v>
      </c>
      <c r="J228" s="1" t="str">
        <v>Not Run</v>
      </c>
      <c r="K228" s="1" t="str">
        <v>Not Run</v>
      </c>
      <c r="L228" s="1">
        <f>COUNTA(F228:K228)</f>
        <v>6</v>
      </c>
      <c r="M228" s="1">
        <f>COUNTIF(F228:K228,"Pass")</f>
        <v>0</v>
      </c>
      <c r="N228" s="1">
        <f>COUNTIF(F228:K228,"Fail")</f>
        <v>0</v>
      </c>
      <c r="O228" s="1" t="str">
        <f>IF(M228=0,"-",M228/L228)</f>
        <v>-</v>
      </c>
    </row>
    <row r="229">
      <c r="A229" s="1" t="str">
        <v>LEA-014</v>
      </c>
      <c r="B229" s="1" t="str">
        <v>Leave Application</v>
      </c>
      <c r="C229" s="1" t="str">
        <v>Company Details</v>
      </c>
      <c r="D229" s="1" t="str">
        <v>Company field is mandatory</v>
      </c>
      <c r="E229" s="1" t="str">
        <v>Critical</v>
      </c>
      <c r="F229" s="1" t="str">
        <v>Not Run</v>
      </c>
      <c r="G229" s="1" t="str">
        <v>Not Run</v>
      </c>
      <c r="H229" s="1" t="str">
        <v>Not Run</v>
      </c>
      <c r="I229" s="1" t="str">
        <v>Not Run</v>
      </c>
      <c r="J229" s="1" t="str">
        <v>Not Run</v>
      </c>
      <c r="K229" s="1" t="str">
        <v>Not Run</v>
      </c>
      <c r="L229" s="1">
        <f>COUNTA(F229:K229)</f>
        <v>6</v>
      </c>
      <c r="M229" s="1">
        <f>COUNTIF(F229:K229,"Pass")</f>
        <v>0</v>
      </c>
      <c r="N229" s="1">
        <f>COUNTIF(F229:K229,"Fail")</f>
        <v>0</v>
      </c>
      <c r="O229" s="1" t="str">
        <f>IF(M229=0,"-",M229/L229)</f>
        <v>-</v>
      </c>
    </row>
    <row r="230">
      <c r="A230" s="1" t="str">
        <v>LEA-015</v>
      </c>
      <c r="B230" s="1" t="str">
        <v>Leave Application</v>
      </c>
      <c r="C230" s="1" t="str">
        <v>Company Details</v>
      </c>
      <c r="D230" s="1" t="str">
        <v>Company auto-populates based on employee's assigned company</v>
      </c>
      <c r="E230" s="1" t="str">
        <v>High</v>
      </c>
      <c r="F230" s="1" t="str">
        <v>Not Run</v>
      </c>
      <c r="G230" s="1" t="str">
        <v>Not Run</v>
      </c>
      <c r="H230" s="1" t="str">
        <v>Not Run</v>
      </c>
      <c r="I230" s="1" t="str">
        <v>Not Run</v>
      </c>
      <c r="J230" s="1" t="str">
        <v>Not Run</v>
      </c>
      <c r="K230" s="1" t="str">
        <v>Not Run</v>
      </c>
      <c r="L230" s="1">
        <f>COUNTA(F230:K230)</f>
        <v>6</v>
      </c>
      <c r="M230" s="1">
        <f>COUNTIF(F230:K230,"Pass")</f>
        <v>0</v>
      </c>
      <c r="N230" s="1">
        <f>COUNTIF(F230:K230,"Fail")</f>
        <v>0</v>
      </c>
      <c r="O230" s="1" t="str">
        <f>IF(M230=0,"-",M230/L230)</f>
        <v>-</v>
      </c>
    </row>
    <row r="231">
      <c r="A231" s="1" t="str">
        <v>LEA-016</v>
      </c>
      <c r="B231" s="1" t="str">
        <v>Leave Application</v>
      </c>
      <c r="C231" s="1" t="str">
        <v>Date Range</v>
      </c>
      <c r="D231" s="1" t="str">
        <v>From Date is mandatory and cannot be left blank</v>
      </c>
      <c r="E231" s="1" t="str">
        <v>Critical</v>
      </c>
      <c r="F231" s="1" t="str">
        <v>Not Run</v>
      </c>
      <c r="G231" s="1" t="str">
        <v>Not Run</v>
      </c>
      <c r="H231" s="1" t="str">
        <v>Not Run</v>
      </c>
      <c r="I231" s="1" t="str">
        <v>Not Run</v>
      </c>
      <c r="J231" s="1" t="str">
        <v>Not Run</v>
      </c>
      <c r="K231" s="1" t="str">
        <v>Not Run</v>
      </c>
      <c r="L231" s="1">
        <f>COUNTA(F231:K231)</f>
        <v>6</v>
      </c>
      <c r="M231" s="1">
        <f>COUNTIF(F231:K231,"Pass")</f>
        <v>0</v>
      </c>
      <c r="N231" s="1">
        <f>COUNTIF(F231:K231,"Fail")</f>
        <v>0</v>
      </c>
      <c r="O231" s="1" t="str">
        <f>IF(M231=0,"-",M231/L231)</f>
        <v>-</v>
      </c>
    </row>
    <row r="232">
      <c r="A232" s="1" t="str">
        <v>LEA-017</v>
      </c>
      <c r="B232" s="1" t="str">
        <v>Leave Application</v>
      </c>
      <c r="C232" s="1" t="str">
        <v>Date Range</v>
      </c>
      <c r="D232" s="1" t="str">
        <v>To Date is mandatory and cannot be left blank</v>
      </c>
      <c r="E232" s="1" t="str">
        <v>Critical</v>
      </c>
      <c r="F232" s="1" t="str">
        <v>Not Run</v>
      </c>
      <c r="G232" s="1" t="str">
        <v>Not Run</v>
      </c>
      <c r="H232" s="1" t="str">
        <v>Not Run</v>
      </c>
      <c r="I232" s="1" t="str">
        <v>Not Run</v>
      </c>
      <c r="J232" s="1" t="str">
        <v>Not Run</v>
      </c>
      <c r="K232" s="1" t="str">
        <v>Not Run</v>
      </c>
      <c r="L232" s="1">
        <f>COUNTA(F232:K232)</f>
        <v>6</v>
      </c>
      <c r="M232" s="1">
        <f>COUNTIF(F232:K232,"Pass")</f>
        <v>0</v>
      </c>
      <c r="N232" s="1">
        <f>COUNTIF(F232:K232,"Fail")</f>
        <v>0</v>
      </c>
      <c r="O232" s="1" t="str">
        <f>IF(M232=0,"-",M232/L232)</f>
        <v>-</v>
      </c>
    </row>
    <row r="233">
      <c r="A233" s="1" t="str">
        <v>LEA-018</v>
      </c>
      <c r="B233" s="1" t="str">
        <v>Leave Application</v>
      </c>
      <c r="C233" s="1" t="str">
        <v>Date Range</v>
      </c>
      <c r="D233" s="1" t="str">
        <v>From Date cannot be after To Date</v>
      </c>
      <c r="E233" s="1" t="str">
        <v>Critical</v>
      </c>
      <c r="F233" s="1" t="str">
        <v>Not Run</v>
      </c>
      <c r="G233" s="1" t="str">
        <v>Not Run</v>
      </c>
      <c r="H233" s="1" t="str">
        <v>Not Run</v>
      </c>
      <c r="I233" s="1" t="str">
        <v>Not Run</v>
      </c>
      <c r="J233" s="1" t="str">
        <v>Not Run</v>
      </c>
      <c r="K233" s="1" t="str">
        <v>Not Run</v>
      </c>
      <c r="L233" s="1">
        <f>COUNTA(F233:K233)</f>
        <v>6</v>
      </c>
      <c r="M233" s="1">
        <f>COUNTIF(F233:K233,"Pass")</f>
        <v>0</v>
      </c>
      <c r="N233" s="1">
        <f>COUNTIF(F233:K233,"Fail")</f>
        <v>0</v>
      </c>
      <c r="O233" s="1" t="str">
        <f>IF(M233=0,"-",M233/L233)</f>
        <v>-</v>
      </c>
    </row>
    <row r="234">
      <c r="A234" s="1" t="str">
        <v>LEA-019</v>
      </c>
      <c r="B234" s="1" t="str">
        <v>Leave Application</v>
      </c>
      <c r="C234" s="1" t="str">
        <v>Date Range</v>
      </c>
      <c r="D234" s="1" t="str">
        <v>From Date cannot be in the past</v>
      </c>
      <c r="E234" s="1" t="str">
        <v>High</v>
      </c>
      <c r="F234" s="1" t="str">
        <v>Not Run</v>
      </c>
      <c r="G234" s="1" t="str">
        <v>Not Run</v>
      </c>
      <c r="H234" s="1" t="str">
        <v>Not Run</v>
      </c>
      <c r="I234" s="1" t="str">
        <v>Not Run</v>
      </c>
      <c r="J234" s="1" t="str">
        <v>Not Run</v>
      </c>
      <c r="K234" s="1" t="str">
        <v>Not Run</v>
      </c>
      <c r="L234" s="1">
        <f>COUNTA(F234:K234)</f>
        <v>6</v>
      </c>
      <c r="M234" s="1">
        <f>COUNTIF(F234:K234,"Pass")</f>
        <v>0</v>
      </c>
      <c r="N234" s="1">
        <f>COUNTIF(F234:K234,"Fail")</f>
        <v>0</v>
      </c>
      <c r="O234" s="1" t="str">
        <f>IF(M234=0,"-",M234/L234)</f>
        <v>-</v>
      </c>
    </row>
    <row r="235">
      <c r="A235" s="1" t="str">
        <v>LEA-020</v>
      </c>
      <c r="B235" s="1" t="str">
        <v>Leave Application</v>
      </c>
      <c r="C235" s="1" t="str">
        <v>Date Range</v>
      </c>
      <c r="D235" s="1" t="str">
        <v>To Date cannot be before From Date</v>
      </c>
      <c r="E235" s="1" t="str">
        <v>Critical</v>
      </c>
      <c r="F235" s="1" t="str">
        <v>Not Run</v>
      </c>
      <c r="G235" s="1" t="str">
        <v>Not Run</v>
      </c>
      <c r="H235" s="1" t="str">
        <v>Not Run</v>
      </c>
      <c r="I235" s="1" t="str">
        <v>Not Run</v>
      </c>
      <c r="J235" s="1" t="str">
        <v>Not Run</v>
      </c>
      <c r="K235" s="1" t="str">
        <v>Not Run</v>
      </c>
      <c r="L235" s="1">
        <f>COUNTA(F235:K235)</f>
        <v>6</v>
      </c>
      <c r="M235" s="1">
        <f>COUNTIF(F235:K235,"Pass")</f>
        <v>0</v>
      </c>
      <c r="N235" s="1">
        <f>COUNTIF(F235:K235,"Fail")</f>
        <v>0</v>
      </c>
      <c r="O235" s="1" t="str">
        <f>IF(M235=0,"-",M235/L235)</f>
        <v>-</v>
      </c>
    </row>
    <row r="236">
      <c r="A236" s="1" t="str">
        <v>LEA-021</v>
      </c>
      <c r="B236" s="1" t="str">
        <v>Leave Application</v>
      </c>
      <c r="C236" s="1" t="str">
        <v>Date Range</v>
      </c>
      <c r="D236" s="1" t="str">
        <v>Invalid date format is rejected</v>
      </c>
      <c r="E236" s="1" t="str">
        <v>Critical</v>
      </c>
      <c r="F236" s="1" t="str">
        <v>Not Run</v>
      </c>
      <c r="G236" s="1" t="str">
        <v>Not Run</v>
      </c>
      <c r="H236" s="1" t="str">
        <v>Not Run</v>
      </c>
      <c r="I236" s="1" t="str">
        <v>Not Run</v>
      </c>
      <c r="J236" s="1" t="str">
        <v>Not Run</v>
      </c>
      <c r="K236" s="1" t="str">
        <v>Not Run</v>
      </c>
      <c r="L236" s="1">
        <f>COUNTA(F236:K236)</f>
        <v>6</v>
      </c>
      <c r="M236" s="1">
        <f>COUNTIF(F236:K236,"Pass")</f>
        <v>0</v>
      </c>
      <c r="N236" s="1">
        <f>COUNTIF(F236:K236,"Fail")</f>
        <v>0</v>
      </c>
      <c r="O236" s="1" t="str">
        <f>IF(M236=0,"-",M236/L236)</f>
        <v>-</v>
      </c>
    </row>
    <row r="237">
      <c r="A237" s="1" t="str">
        <v>LEA-022</v>
      </c>
      <c r="B237" s="1" t="str">
        <v>Leave Application</v>
      </c>
      <c r="C237" s="1" t="str">
        <v>Date Range</v>
      </c>
      <c r="D237" s="1" t="str">
        <v>Leave duration is calculated correctly (From Date to To Date)</v>
      </c>
      <c r="E237" s="1" t="str">
        <v>Critical</v>
      </c>
      <c r="F237" s="1" t="str">
        <v>Not Run</v>
      </c>
      <c r="G237" s="1" t="str">
        <v>Not Run</v>
      </c>
      <c r="H237" s="1" t="str">
        <v>Not Run</v>
      </c>
      <c r="I237" s="1" t="str">
        <v>Not Run</v>
      </c>
      <c r="J237" s="1" t="str">
        <v>Not Run</v>
      </c>
      <c r="K237" s="1" t="str">
        <v>Not Run</v>
      </c>
      <c r="L237" s="1">
        <f>COUNTA(F237:K237)</f>
        <v>6</v>
      </c>
      <c r="M237" s="1">
        <f>COUNTIF(F237:K237,"Pass")</f>
        <v>0</v>
      </c>
      <c r="N237" s="1">
        <f>COUNTIF(F237:K237,"Fail")</f>
        <v>0</v>
      </c>
      <c r="O237" s="1" t="str">
        <f>IF(M237=0,"-",M237/L237)</f>
        <v>-</v>
      </c>
    </row>
    <row r="238">
      <c r="A238" s="1" t="str">
        <v>LEA-023</v>
      </c>
      <c r="B238" s="1" t="str">
        <v>Leave Application</v>
      </c>
      <c r="C238" s="1" t="str">
        <v>Half Day Leave</v>
      </c>
      <c r="D238" s="1" t="str">
        <v>Half Day checkbox can be checked</v>
      </c>
      <c r="E238" s="1" t="str">
        <v>High</v>
      </c>
      <c r="F238" s="1" t="str">
        <v>Not Run</v>
      </c>
      <c r="G238" s="1" t="str">
        <v>Not Run</v>
      </c>
      <c r="H238" s="1" t="str">
        <v>Not Run</v>
      </c>
      <c r="I238" s="1" t="str">
        <v>Not Run</v>
      </c>
      <c r="J238" s="1" t="str">
        <v>Not Run</v>
      </c>
      <c r="K238" s="1" t="str">
        <v>Not Run</v>
      </c>
      <c r="L238" s="1">
        <f>COUNTA(F238:K238)</f>
        <v>6</v>
      </c>
      <c r="M238" s="1">
        <f>COUNTIF(F238:K238,"Pass")</f>
        <v>0</v>
      </c>
      <c r="N238" s="1">
        <f>COUNTIF(F238:K238,"Fail")</f>
        <v>0</v>
      </c>
      <c r="O238" s="1" t="str">
        <f>IF(M238=0,"-",M238/L238)</f>
        <v>-</v>
      </c>
    </row>
    <row r="239">
      <c r="A239" s="1" t="str">
        <v>LEA-024</v>
      </c>
      <c r="B239" s="1" t="str">
        <v>Leave Application</v>
      </c>
      <c r="C239" s="1" t="str">
        <v>Half Day Leave</v>
      </c>
      <c r="D239" s="1" t="str">
        <v>Half Day checkbox can be unchecked</v>
      </c>
      <c r="E239" s="1" t="str">
        <v>High</v>
      </c>
      <c r="F239" s="1" t="str">
        <v>Not Run</v>
      </c>
      <c r="G239" s="1" t="str">
        <v>Not Run</v>
      </c>
      <c r="H239" s="1" t="str">
        <v>Not Run</v>
      </c>
      <c r="I239" s="1" t="str">
        <v>Not Run</v>
      </c>
      <c r="J239" s="1" t="str">
        <v>Not Run</v>
      </c>
      <c r="K239" s="1" t="str">
        <v>Not Run</v>
      </c>
      <c r="L239" s="1">
        <f>COUNTA(F239:K239)</f>
        <v>6</v>
      </c>
      <c r="M239" s="1">
        <f>COUNTIF(F239:K239,"Pass")</f>
        <v>0</v>
      </c>
      <c r="N239" s="1">
        <f>COUNTIF(F239:K239,"Fail")</f>
        <v>0</v>
      </c>
      <c r="O239" s="1" t="str">
        <f>IF(M239=0,"-",M239/L239)</f>
        <v>-</v>
      </c>
    </row>
    <row r="240">
      <c r="A240" s="1" t="str">
        <v>LEA-025</v>
      </c>
      <c r="B240" s="1" t="str">
        <v>Leave Application</v>
      </c>
      <c r="C240" s="1" t="str">
        <v>Half Day Leave</v>
      </c>
      <c r="D240" s="1" t="str">
        <v>Half Day with single date (From Date = To Date) is valid</v>
      </c>
      <c r="E240" s="1" t="str">
        <v>Critical</v>
      </c>
      <c r="F240" s="1" t="str">
        <v>Not Run</v>
      </c>
      <c r="G240" s="1" t="str">
        <v>Not Run</v>
      </c>
      <c r="H240" s="1" t="str">
        <v>Not Run</v>
      </c>
      <c r="I240" s="1" t="str">
        <v>Not Run</v>
      </c>
      <c r="J240" s="1" t="str">
        <v>Not Run</v>
      </c>
      <c r="K240" s="1" t="str">
        <v>Not Run</v>
      </c>
      <c r="L240" s="1">
        <f>COUNTA(F240:K240)</f>
        <v>6</v>
      </c>
      <c r="M240" s="1">
        <f>COUNTIF(F240:K240,"Pass")</f>
        <v>0</v>
      </c>
      <c r="N240" s="1">
        <f>COUNTIF(F240:K240,"Fail")</f>
        <v>0</v>
      </c>
      <c r="O240" s="1" t="str">
        <f>IF(M240=0,"-",M240/L240)</f>
        <v>-</v>
      </c>
    </row>
    <row r="241">
      <c r="A241" s="1" t="str">
        <v>LEA-026</v>
      </c>
      <c r="B241" s="1" t="str">
        <v>Leave Application</v>
      </c>
      <c r="C241" s="1" t="str">
        <v>Half Day Leave</v>
      </c>
      <c r="D241" s="1" t="str">
        <v>Half Day with date range is rejected</v>
      </c>
      <c r="E241" s="1" t="str">
        <v>Critical</v>
      </c>
      <c r="F241" s="1" t="str">
        <v>Not Run</v>
      </c>
      <c r="G241" s="1" t="str">
        <v>Not Run</v>
      </c>
      <c r="H241" s="1" t="str">
        <v>Not Run</v>
      </c>
      <c r="I241" s="1" t="str">
        <v>Not Run</v>
      </c>
      <c r="J241" s="1" t="str">
        <v>Not Run</v>
      </c>
      <c r="K241" s="1" t="str">
        <v>Not Run</v>
      </c>
      <c r="L241" s="1">
        <f>COUNTA(F241:K241)</f>
        <v>6</v>
      </c>
      <c r="M241" s="1">
        <f>COUNTIF(F241:K241,"Pass")</f>
        <v>0</v>
      </c>
      <c r="N241" s="1">
        <f>COUNTIF(F241:K241,"Fail")</f>
        <v>0</v>
      </c>
      <c r="O241" s="1" t="str">
        <f>IF(M241=0,"-",M241/L241)</f>
        <v>-</v>
      </c>
    </row>
    <row r="242">
      <c r="A242" s="1" t="str">
        <v>LEA-027</v>
      </c>
      <c r="B242" s="1" t="str">
        <v>Leave Application</v>
      </c>
      <c r="C242" s="1" t="str">
        <v>Half Day Leave</v>
      </c>
      <c r="D242" s="1" t="str">
        <v>Half Day reduces leave balance by 0.5 days</v>
      </c>
      <c r="E242" s="1" t="str">
        <v>Critical</v>
      </c>
      <c r="F242" s="1" t="str">
        <v>Not Run</v>
      </c>
      <c r="G242" s="1" t="str">
        <v>Not Run</v>
      </c>
      <c r="H242" s="1" t="str">
        <v>Not Run</v>
      </c>
      <c r="I242" s="1" t="str">
        <v>Not Run</v>
      </c>
      <c r="J242" s="1" t="str">
        <v>Not Run</v>
      </c>
      <c r="K242" s="1" t="str">
        <v>Not Run</v>
      </c>
      <c r="L242" s="1">
        <f>COUNTA(F242:K242)</f>
        <v>6</v>
      </c>
      <c r="M242" s="1">
        <f>COUNTIF(F242:K242,"Pass")</f>
        <v>0</v>
      </c>
      <c r="N242" s="1">
        <f>COUNTIF(F242:K242,"Fail")</f>
        <v>0</v>
      </c>
      <c r="O242" s="1" t="str">
        <f>IF(M242=0,"-",M242/L242)</f>
        <v>-</v>
      </c>
    </row>
    <row r="243">
      <c r="A243" s="1" t="str">
        <v>LEA-028</v>
      </c>
      <c r="B243" s="1" t="str">
        <v>Leave Application</v>
      </c>
      <c r="C243" s="1" t="str">
        <v>Half Day Leave</v>
      </c>
      <c r="D243" s="1" t="str">
        <v>Full day reduces leave balance by 1 day</v>
      </c>
      <c r="E243" s="1" t="str">
        <v>Critical</v>
      </c>
      <c r="F243" s="1" t="str">
        <v>Not Run</v>
      </c>
      <c r="G243" s="1" t="str">
        <v>Not Run</v>
      </c>
      <c r="H243" s="1" t="str">
        <v>Not Run</v>
      </c>
      <c r="I243" s="1" t="str">
        <v>Not Run</v>
      </c>
      <c r="J243" s="1" t="str">
        <v>Not Run</v>
      </c>
      <c r="K243" s="1" t="str">
        <v>Not Run</v>
      </c>
      <c r="L243" s="1">
        <f>COUNTA(F243:K243)</f>
        <v>6</v>
      </c>
      <c r="M243" s="1">
        <f>COUNTIF(F243:K243,"Pass")</f>
        <v>0</v>
      </c>
      <c r="N243" s="1">
        <f>COUNTIF(F243:K243,"Fail")</f>
        <v>0</v>
      </c>
      <c r="O243" s="1" t="str">
        <f>IF(M243=0,"-",M243/L243)</f>
        <v>-</v>
      </c>
    </row>
    <row r="244">
      <c r="A244" s="1" t="str">
        <v>LEA-029</v>
      </c>
      <c r="B244" s="1" t="str">
        <v>Leave Application</v>
      </c>
      <c r="C244" s="1" t="str">
        <v>Reason</v>
      </c>
      <c r="D244" s="1" t="str">
        <v>Reason field is optional</v>
      </c>
      <c r="E244" s="1" t="str">
        <v>Medium</v>
      </c>
      <c r="F244" s="1" t="str">
        <v>Not Run</v>
      </c>
      <c r="G244" s="1" t="str">
        <v>Not Run</v>
      </c>
      <c r="H244" s="1" t="str">
        <v>Not Run</v>
      </c>
      <c r="I244" s="1" t="str">
        <v>Not Run</v>
      </c>
      <c r="J244" s="1" t="str">
        <v>Not Run</v>
      </c>
      <c r="K244" s="1" t="str">
        <v>Not Run</v>
      </c>
      <c r="L244" s="1">
        <f>COUNTA(F244:K244)</f>
        <v>6</v>
      </c>
      <c r="M244" s="1">
        <f>COUNTIF(F244:K244,"Pass")</f>
        <v>0</v>
      </c>
      <c r="N244" s="1">
        <f>COUNTIF(F244:K244,"Fail")</f>
        <v>0</v>
      </c>
      <c r="O244" s="1" t="str">
        <f>IF(M244=0,"-",M244/L244)</f>
        <v>-</v>
      </c>
    </row>
    <row r="245">
      <c r="A245" s="1" t="str">
        <v>LEA-030</v>
      </c>
      <c r="B245" s="1" t="str">
        <v>Leave Application</v>
      </c>
      <c r="C245" s="1" t="str">
        <v>Reason</v>
      </c>
      <c r="D245" s="1" t="str">
        <v>Reason field accepts text input</v>
      </c>
      <c r="E245" s="1" t="str">
        <v>Medium</v>
      </c>
      <c r="F245" s="1" t="str">
        <v>Not Run</v>
      </c>
      <c r="G245" s="1" t="str">
        <v>Not Run</v>
      </c>
      <c r="H245" s="1" t="str">
        <v>Not Run</v>
      </c>
      <c r="I245" s="1" t="str">
        <v>Not Run</v>
      </c>
      <c r="J245" s="1" t="str">
        <v>Not Run</v>
      </c>
      <c r="K245" s="1" t="str">
        <v>Not Run</v>
      </c>
      <c r="L245" s="1">
        <f>COUNTA(F245:K245)</f>
        <v>6</v>
      </c>
      <c r="M245" s="1">
        <f>COUNTIF(F245:K245,"Pass")</f>
        <v>0</v>
      </c>
      <c r="N245" s="1">
        <f>COUNTIF(F245:K245,"Fail")</f>
        <v>0</v>
      </c>
      <c r="O245" s="1" t="str">
        <f>IF(M245=0,"-",M245/L245)</f>
        <v>-</v>
      </c>
    </row>
    <row r="246">
      <c r="A246" s="1" t="str">
        <v>LEA-031</v>
      </c>
      <c r="B246" s="1" t="str">
        <v>Leave Application</v>
      </c>
      <c r="C246" s="1" t="str">
        <v>Reason</v>
      </c>
      <c r="D246" s="1" t="str">
        <v>Reason field accepts special characters</v>
      </c>
      <c r="E246" s="1" t="str">
        <v>Medium</v>
      </c>
      <c r="F246" s="1" t="str">
        <v>Not Run</v>
      </c>
      <c r="G246" s="1" t="str">
        <v>Not Run</v>
      </c>
      <c r="H246" s="1" t="str">
        <v>Not Run</v>
      </c>
      <c r="I246" s="1" t="str">
        <v>Not Run</v>
      </c>
      <c r="J246" s="1" t="str">
        <v>Not Run</v>
      </c>
      <c r="K246" s="1" t="str">
        <v>Not Run</v>
      </c>
      <c r="L246" s="1">
        <f>COUNTA(F246:K246)</f>
        <v>6</v>
      </c>
      <c r="M246" s="1">
        <f>COUNTIF(F246:K246,"Pass")</f>
        <v>0</v>
      </c>
      <c r="N246" s="1">
        <f>COUNTIF(F246:K246,"Fail")</f>
        <v>0</v>
      </c>
      <c r="O246" s="1" t="str">
        <f>IF(M246=0,"-",M246/L246)</f>
        <v>-</v>
      </c>
    </row>
    <row r="247">
      <c r="A247" s="1" t="str">
        <v>LEA-032</v>
      </c>
      <c r="B247" s="1" t="str">
        <v>Leave Application</v>
      </c>
      <c r="C247" s="1" t="str">
        <v>Leave Approver</v>
      </c>
      <c r="D247" s="1" t="str">
        <v>Valid leave approver can be selected</v>
      </c>
      <c r="E247" s="1" t="str">
        <v>Critical</v>
      </c>
      <c r="F247" s="1" t="str">
        <v>Not Run</v>
      </c>
      <c r="G247" s="1" t="str">
        <v>Not Run</v>
      </c>
      <c r="H247" s="1" t="str">
        <v>Not Run</v>
      </c>
      <c r="I247" s="1" t="str">
        <v>Not Run</v>
      </c>
      <c r="J247" s="1" t="str">
        <v>Not Run</v>
      </c>
      <c r="K247" s="1" t="str">
        <v>Not Run</v>
      </c>
      <c r="L247" s="1">
        <f>COUNTA(F247:K247)</f>
        <v>6</v>
      </c>
      <c r="M247" s="1">
        <f>COUNTIF(F247:K247,"Pass")</f>
        <v>0</v>
      </c>
      <c r="N247" s="1">
        <f>COUNTIF(F247:K247,"Fail")</f>
        <v>0</v>
      </c>
      <c r="O247" s="1" t="str">
        <f>IF(M247=0,"-",M247/L247)</f>
        <v>-</v>
      </c>
    </row>
    <row r="248">
      <c r="A248" s="1" t="str">
        <v>LEA-033</v>
      </c>
      <c r="B248" s="1" t="str">
        <v>Leave Application</v>
      </c>
      <c r="C248" s="1" t="str">
        <v>Leave Approver</v>
      </c>
      <c r="D248" s="1" t="str">
        <v>Invalid approver is rejected</v>
      </c>
      <c r="E248" s="1" t="str">
        <v>Critical</v>
      </c>
      <c r="F248" s="1" t="str">
        <v>Not Run</v>
      </c>
      <c r="G248" s="1" t="str">
        <v>Not Run</v>
      </c>
      <c r="H248" s="1" t="str">
        <v>Not Run</v>
      </c>
      <c r="I248" s="1" t="str">
        <v>Not Run</v>
      </c>
      <c r="J248" s="1" t="str">
        <v>Not Run</v>
      </c>
      <c r="K248" s="1" t="str">
        <v>Not Run</v>
      </c>
      <c r="L248" s="1">
        <f>COUNTA(F248:K248)</f>
        <v>6</v>
      </c>
      <c r="M248" s="1">
        <f>COUNTIF(F248:K248,"Pass")</f>
        <v>0</v>
      </c>
      <c r="N248" s="1">
        <f>COUNTIF(F248:K248,"Fail")</f>
        <v>0</v>
      </c>
      <c r="O248" s="1" t="str">
        <f>IF(M248=0,"-",M248/L248)</f>
        <v>-</v>
      </c>
    </row>
    <row r="249">
      <c r="A249" s="1" t="str">
        <v>LEA-034</v>
      </c>
      <c r="B249" s="1" t="str">
        <v>Leave Application</v>
      </c>
      <c r="C249" s="1" t="str">
        <v>Leave Approver</v>
      </c>
      <c r="D249" s="1" t="str">
        <v>Leave Approver field is mandatory and cannot be left blank</v>
      </c>
      <c r="E249" s="1" t="str">
        <v>Critical</v>
      </c>
      <c r="F249" s="1" t="str">
        <v>Not Run</v>
      </c>
      <c r="G249" s="1" t="str">
        <v>Not Run</v>
      </c>
      <c r="H249" s="1" t="str">
        <v>Not Run</v>
      </c>
      <c r="I249" s="1" t="str">
        <v>Not Run</v>
      </c>
      <c r="J249" s="1" t="str">
        <v>Not Run</v>
      </c>
      <c r="K249" s="1" t="str">
        <v>Not Run</v>
      </c>
      <c r="L249" s="1">
        <f>COUNTA(F249:K249)</f>
        <v>6</v>
      </c>
      <c r="M249" s="1">
        <f>COUNTIF(F249:K249,"Pass")</f>
        <v>0</v>
      </c>
      <c r="N249" s="1">
        <f>COUNTIF(F249:K249,"Fail")</f>
        <v>0</v>
      </c>
      <c r="O249" s="1" t="str">
        <f>IF(M249=0,"-",M249/L249)</f>
        <v>-</v>
      </c>
    </row>
    <row r="250">
      <c r="A250" s="1" t="str">
        <v>LEA-035</v>
      </c>
      <c r="B250" s="1" t="str">
        <v>Leave Application</v>
      </c>
      <c r="C250" s="1" t="str">
        <v>Leave Approver</v>
      </c>
      <c r="D250" s="1" t="str">
        <v>Leave Approver must have approval authority for the employee</v>
      </c>
      <c r="E250" s="1" t="str">
        <v>Critical</v>
      </c>
      <c r="F250" s="1" t="str">
        <v>Not Run</v>
      </c>
      <c r="G250" s="1" t="str">
        <v>Not Run</v>
      </c>
      <c r="H250" s="1" t="str">
        <v>Not Run</v>
      </c>
      <c r="I250" s="1" t="str">
        <v>Not Run</v>
      </c>
      <c r="J250" s="1" t="str">
        <v>Not Run</v>
      </c>
      <c r="K250" s="1" t="str">
        <v>Not Run</v>
      </c>
      <c r="L250" s="1">
        <f>COUNTA(F250:K250)</f>
        <v>6</v>
      </c>
      <c r="M250" s="1">
        <f>COUNTIF(F250:K250,"Pass")</f>
        <v>0</v>
      </c>
      <c r="N250" s="1">
        <f>COUNTIF(F250:K250,"Fail")</f>
        <v>0</v>
      </c>
      <c r="O250" s="1" t="str">
        <f>IF(M250=0,"-",M250/L250)</f>
        <v>-</v>
      </c>
    </row>
    <row r="251">
      <c r="A251" s="1" t="str">
        <v>LEA-036</v>
      </c>
      <c r="B251" s="1" t="str">
        <v>Leave Application</v>
      </c>
      <c r="C251" s="1" t="str">
        <v>Posting Date</v>
      </c>
      <c r="D251" s="1" t="str">
        <v>Posting Date is auto-populated with current date</v>
      </c>
      <c r="E251" s="1" t="str">
        <v>High</v>
      </c>
      <c r="F251" s="1" t="str">
        <v>Not Run</v>
      </c>
      <c r="G251" s="1" t="str">
        <v>Not Run</v>
      </c>
      <c r="H251" s="1" t="str">
        <v>Not Run</v>
      </c>
      <c r="I251" s="1" t="str">
        <v>Not Run</v>
      </c>
      <c r="J251" s="1" t="str">
        <v>Not Run</v>
      </c>
      <c r="K251" s="1" t="str">
        <v>Not Run</v>
      </c>
      <c r="L251" s="1">
        <f>COUNTA(F251:K251)</f>
        <v>6</v>
      </c>
      <c r="M251" s="1">
        <f>COUNTIF(F251:K251,"Pass")</f>
        <v>0</v>
      </c>
      <c r="N251" s="1">
        <f>COUNTIF(F251:K251,"Fail")</f>
        <v>0</v>
      </c>
      <c r="O251" s="1" t="str">
        <f>IF(M251=0,"-",M251/L251)</f>
        <v>-</v>
      </c>
    </row>
    <row r="252">
      <c r="A252" s="1" t="str">
        <v>LEA-037</v>
      </c>
      <c r="B252" s="1" t="str">
        <v>Leave Application</v>
      </c>
      <c r="C252" s="1" t="str">
        <v>Posting Date</v>
      </c>
      <c r="D252" s="1" t="str">
        <v>Posting Date cannot be manually changed</v>
      </c>
      <c r="E252" s="1" t="str">
        <v>High</v>
      </c>
      <c r="F252" s="1" t="str">
        <v>Not Run</v>
      </c>
      <c r="G252" s="1" t="str">
        <v>Not Run</v>
      </c>
      <c r="H252" s="1" t="str">
        <v>Not Run</v>
      </c>
      <c r="I252" s="1" t="str">
        <v>Not Run</v>
      </c>
      <c r="J252" s="1" t="str">
        <v>Not Run</v>
      </c>
      <c r="K252" s="1" t="str">
        <v>Not Run</v>
      </c>
      <c r="L252" s="1">
        <f>COUNTA(F252:K252)</f>
        <v>6</v>
      </c>
      <c r="M252" s="1">
        <f>COUNTIF(F252:K252,"Pass")</f>
        <v>0</v>
      </c>
      <c r="N252" s="1">
        <f>COUNTIF(F252:K252,"Fail")</f>
        <v>0</v>
      </c>
      <c r="O252" s="1" t="str">
        <f>IF(M252=0,"-",M252/L252)</f>
        <v>-</v>
      </c>
    </row>
    <row r="253">
      <c r="A253" s="1" t="str">
        <v>LEA-038</v>
      </c>
      <c r="B253" s="1" t="str">
        <v>Leave Application</v>
      </c>
      <c r="C253" s="1" t="str">
        <v>Posting Date</v>
      </c>
      <c r="D253" s="1" t="str">
        <v>Posting Date is recorded accurately on submission</v>
      </c>
      <c r="E253" s="1" t="str">
        <v>High</v>
      </c>
      <c r="F253" s="1" t="str">
        <v>Not Run</v>
      </c>
      <c r="G253" s="1" t="str">
        <v>Not Run</v>
      </c>
      <c r="H253" s="1" t="str">
        <v>Not Run</v>
      </c>
      <c r="I253" s="1" t="str">
        <v>Not Run</v>
      </c>
      <c r="J253" s="1" t="str">
        <v>Not Run</v>
      </c>
      <c r="K253" s="1" t="str">
        <v>Not Run</v>
      </c>
      <c r="L253" s="1">
        <f>COUNTA(F253:K253)</f>
        <v>6</v>
      </c>
      <c r="M253" s="1">
        <f>COUNTIF(F253:K253,"Pass")</f>
        <v>0</v>
      </c>
      <c r="N253" s="1">
        <f>COUNTIF(F253:K253,"Fail")</f>
        <v>0</v>
      </c>
      <c r="O253" s="1" t="str">
        <f>IF(M253=0,"-",M253/L253)</f>
        <v>-</v>
      </c>
    </row>
    <row r="254">
      <c r="A254" s="1" t="str">
        <v>LEA-039</v>
      </c>
      <c r="B254" s="1" t="str">
        <v>Leave Application</v>
      </c>
      <c r="C254" s="1" t="str">
        <v>Leave Balance</v>
      </c>
      <c r="D254" s="1" t="str">
        <v>Leave balance is displayed for selected leave type</v>
      </c>
      <c r="E254" s="1" t="str">
        <v>Critical</v>
      </c>
      <c r="F254" s="1" t="str">
        <v>Not Run</v>
      </c>
      <c r="G254" s="1" t="str">
        <v>Not Run</v>
      </c>
      <c r="H254" s="1" t="str">
        <v>Not Run</v>
      </c>
      <c r="I254" s="1" t="str">
        <v>Not Run</v>
      </c>
      <c r="J254" s="1" t="str">
        <v>Not Run</v>
      </c>
      <c r="K254" s="1" t="str">
        <v>Not Run</v>
      </c>
      <c r="L254" s="1">
        <f>COUNTA(F254:K254)</f>
        <v>6</v>
      </c>
      <c r="M254" s="1">
        <f>COUNTIF(F254:K254,"Pass")</f>
        <v>0</v>
      </c>
      <c r="N254" s="1">
        <f>COUNTIF(F254:K254,"Fail")</f>
        <v>0</v>
      </c>
      <c r="O254" s="1" t="str">
        <f>IF(M254=0,"-",M254/L254)</f>
        <v>-</v>
      </c>
    </row>
    <row r="255">
      <c r="A255" s="1" t="str">
        <v>LEA-040</v>
      </c>
      <c r="B255" s="1" t="str">
        <v>Leave Application</v>
      </c>
      <c r="C255" s="1" t="str">
        <v>Leave Balance</v>
      </c>
      <c r="D255" s="1" t="str">
        <v>Leave balance decreases after leave application is approved</v>
      </c>
      <c r="E255" s="1" t="str">
        <v>Critical</v>
      </c>
      <c r="F255" s="1" t="str">
        <v>Not Run</v>
      </c>
      <c r="G255" s="1" t="str">
        <v>Not Run</v>
      </c>
      <c r="H255" s="1" t="str">
        <v>Not Run</v>
      </c>
      <c r="I255" s="1" t="str">
        <v>Not Run</v>
      </c>
      <c r="J255" s="1" t="str">
        <v>Not Run</v>
      </c>
      <c r="K255" s="1" t="str">
        <v>Not Run</v>
      </c>
      <c r="L255" s="1">
        <f>COUNTA(F255:K255)</f>
        <v>6</v>
      </c>
      <c r="M255" s="1">
        <f>COUNTIF(F255:K255,"Pass")</f>
        <v>0</v>
      </c>
      <c r="N255" s="1">
        <f>COUNTIF(F255:K255,"Fail")</f>
        <v>0</v>
      </c>
      <c r="O255" s="1" t="str">
        <f>IF(M255=0,"-",M255/L255)</f>
        <v>-</v>
      </c>
    </row>
    <row r="256">
      <c r="A256" s="1" t="str">
        <v>LEA-041</v>
      </c>
      <c r="B256" s="1" t="str">
        <v>Leave Application</v>
      </c>
      <c r="C256" s="1" t="str">
        <v>Leave Balance</v>
      </c>
      <c r="D256" s="1" t="str">
        <v>Leave balance is restored after leave is cancelled</v>
      </c>
      <c r="E256" s="1" t="str">
        <v>Critical</v>
      </c>
      <c r="F256" s="1" t="str">
        <v>Not Run</v>
      </c>
      <c r="G256" s="1" t="str">
        <v>Not Run</v>
      </c>
      <c r="H256" s="1" t="str">
        <v>Not Run</v>
      </c>
      <c r="I256" s="1" t="str">
        <v>Not Run</v>
      </c>
      <c r="J256" s="1" t="str">
        <v>Not Run</v>
      </c>
      <c r="K256" s="1" t="str">
        <v>Not Run</v>
      </c>
      <c r="L256" s="1">
        <f>COUNTA(F256:K256)</f>
        <v>6</v>
      </c>
      <c r="M256" s="1">
        <f>COUNTIF(F256:K256,"Pass")</f>
        <v>0</v>
      </c>
      <c r="N256" s="1">
        <f>COUNTIF(F256:K256,"Fail")</f>
        <v>0</v>
      </c>
      <c r="O256" s="1" t="str">
        <f>IF(M256=0,"-",M256/L256)</f>
        <v>-</v>
      </c>
    </row>
    <row r="257">
      <c r="A257" s="1" t="str">
        <v>LEA-042</v>
      </c>
      <c r="B257" s="1" t="str">
        <v>Leave Application</v>
      </c>
      <c r="C257" s="1" t="str">
        <v>Leave Balance</v>
      </c>
      <c r="D257" s="1" t="str">
        <v>Leave application is rejected if balance is insufficient</v>
      </c>
      <c r="E257" s="1" t="str">
        <v>Critical</v>
      </c>
      <c r="F257" s="1" t="str">
        <v>Not Run</v>
      </c>
      <c r="G257" s="1" t="str">
        <v>Not Run</v>
      </c>
      <c r="H257" s="1" t="str">
        <v>Not Run</v>
      </c>
      <c r="I257" s="1" t="str">
        <v>Not Run</v>
      </c>
      <c r="J257" s="1" t="str">
        <v>Not Run</v>
      </c>
      <c r="K257" s="1" t="str">
        <v>Not Run</v>
      </c>
      <c r="L257" s="1">
        <f>COUNTA(F257:K257)</f>
        <v>6</v>
      </c>
      <c r="M257" s="1">
        <f>COUNTIF(F257:K257,"Pass")</f>
        <v>0</v>
      </c>
      <c r="N257" s="1">
        <f>COUNTIF(F257:K257,"Fail")</f>
        <v>0</v>
      </c>
      <c r="O257" s="1" t="str">
        <f>IF(M257=0,"-",M257/L257)</f>
        <v>-</v>
      </c>
    </row>
    <row r="258">
      <c r="A258" s="1" t="str">
        <v>LEA-043</v>
      </c>
      <c r="B258" s="1" t="str">
        <v>Leave Application</v>
      </c>
      <c r="C258" s="1" t="str">
        <v>Leave Balance</v>
      </c>
      <c r="D258" s="1" t="str">
        <v>Leave balance updates are reflected in real-time</v>
      </c>
      <c r="E258" s="1" t="str">
        <v>High</v>
      </c>
      <c r="F258" s="1" t="str">
        <v>Not Run</v>
      </c>
      <c r="G258" s="1" t="str">
        <v>Not Run</v>
      </c>
      <c r="H258" s="1" t="str">
        <v>Not Run</v>
      </c>
      <c r="I258" s="1" t="str">
        <v>Not Run</v>
      </c>
      <c r="J258" s="1" t="str">
        <v>Not Run</v>
      </c>
      <c r="K258" s="1" t="str">
        <v>Not Run</v>
      </c>
      <c r="L258" s="1">
        <f>COUNTA(F258:K258)</f>
        <v>6</v>
      </c>
      <c r="M258" s="1">
        <f>COUNTIF(F258:K258,"Pass")</f>
        <v>0</v>
      </c>
      <c r="N258" s="1">
        <f>COUNTIF(F258:K258,"Fail")</f>
        <v>0</v>
      </c>
      <c r="O258" s="1" t="str">
        <f>IF(M258=0,"-",M258/L258)</f>
        <v>-</v>
      </c>
    </row>
    <row r="259">
      <c r="A259" s="1" t="str">
        <v>LEA-044</v>
      </c>
      <c r="B259" s="1" t="str">
        <v>Leave Application</v>
      </c>
      <c r="C259" s="1" t="str">
        <v>Status &amp; Workflow</v>
      </c>
      <c r="D259" s="1" t="str">
        <v>Status defaults to Open on creation</v>
      </c>
      <c r="E259" s="1" t="str">
        <v>Critical</v>
      </c>
      <c r="F259" s="1" t="str">
        <v>Not Run</v>
      </c>
      <c r="G259" s="1" t="str">
        <v>Not Run</v>
      </c>
      <c r="H259" s="1" t="str">
        <v>Not Run</v>
      </c>
      <c r="I259" s="1" t="str">
        <v>Not Run</v>
      </c>
      <c r="J259" s="1" t="str">
        <v>Not Run</v>
      </c>
      <c r="K259" s="1" t="str">
        <v>Not Run</v>
      </c>
      <c r="L259" s="1">
        <f>COUNTA(F259:K259)</f>
        <v>6</v>
      </c>
      <c r="M259" s="1">
        <f>COUNTIF(F259:K259,"Pass")</f>
        <v>0</v>
      </c>
      <c r="N259" s="1">
        <f>COUNTIF(F259:K259,"Fail")</f>
        <v>0</v>
      </c>
      <c r="O259" s="1" t="str">
        <f>IF(M259=0,"-",M259/L259)</f>
        <v>-</v>
      </c>
    </row>
    <row r="260">
      <c r="A260" s="1" t="str">
        <v>LEA-045</v>
      </c>
      <c r="B260" s="1" t="str">
        <v>Leave Application</v>
      </c>
      <c r="C260" s="1" t="str">
        <v>Status &amp; Workflow</v>
      </c>
      <c r="D260" s="1" t="str">
        <v>Status changes to Approved after approval</v>
      </c>
      <c r="E260" s="1" t="str">
        <v>Critical</v>
      </c>
      <c r="F260" s="1" t="str">
        <v>Not Run</v>
      </c>
      <c r="G260" s="1" t="str">
        <v>Not Run</v>
      </c>
      <c r="H260" s="1" t="str">
        <v>Not Run</v>
      </c>
      <c r="I260" s="1" t="str">
        <v>Not Run</v>
      </c>
      <c r="J260" s="1" t="str">
        <v>Not Run</v>
      </c>
      <c r="K260" s="1" t="str">
        <v>Not Run</v>
      </c>
      <c r="L260" s="1">
        <f>COUNTA(F260:K260)</f>
        <v>6</v>
      </c>
      <c r="M260" s="1">
        <f>COUNTIF(F260:K260,"Pass")</f>
        <v>0</v>
      </c>
      <c r="N260" s="1">
        <f>COUNTIF(F260:K260,"Fail")</f>
        <v>0</v>
      </c>
      <c r="O260" s="1" t="str">
        <f>IF(M260=0,"-",M260/L260)</f>
        <v>-</v>
      </c>
    </row>
    <row r="261">
      <c r="A261" s="1" t="str">
        <v>LEA-046</v>
      </c>
      <c r="B261" s="1" t="str">
        <v>Leave Application</v>
      </c>
      <c r="C261" s="1" t="str">
        <v>Status &amp; Workflow</v>
      </c>
      <c r="D261" s="1" t="str">
        <v>Status changes to Rejected after rejection</v>
      </c>
      <c r="E261" s="1" t="str">
        <v>Critical</v>
      </c>
      <c r="F261" s="1" t="str">
        <v>Not Run</v>
      </c>
      <c r="G261" s="1" t="str">
        <v>Not Run</v>
      </c>
      <c r="H261" s="1" t="str">
        <v>Not Run</v>
      </c>
      <c r="I261" s="1" t="str">
        <v>Not Run</v>
      </c>
      <c r="J261" s="1" t="str">
        <v>Not Run</v>
      </c>
      <c r="K261" s="1" t="str">
        <v>Not Run</v>
      </c>
      <c r="L261" s="1">
        <f>COUNTA(F261:K261)</f>
        <v>6</v>
      </c>
      <c r="M261" s="1">
        <f>COUNTIF(F261:K261,"Pass")</f>
        <v>0</v>
      </c>
      <c r="N261" s="1">
        <f>COUNTIF(F261:K261,"Fail")</f>
        <v>0</v>
      </c>
      <c r="O261" s="1" t="str">
        <f>IF(M261=0,"-",M261/L261)</f>
        <v>-</v>
      </c>
    </row>
    <row r="262">
      <c r="A262" s="1" t="str">
        <v>LEA-047</v>
      </c>
      <c r="B262" s="1" t="str">
        <v>Leave Application</v>
      </c>
      <c r="C262" s="1" t="str">
        <v>Status &amp; Workflow</v>
      </c>
      <c r="D262" s="1" t="str">
        <v>Cancelled leave application shows Cancelled status</v>
      </c>
      <c r="E262" s="1" t="str">
        <v>Critical</v>
      </c>
      <c r="F262" s="1" t="str">
        <v>Not Run</v>
      </c>
      <c r="G262" s="1" t="str">
        <v>Not Run</v>
      </c>
      <c r="H262" s="1" t="str">
        <v>Not Run</v>
      </c>
      <c r="I262" s="1" t="str">
        <v>Not Run</v>
      </c>
      <c r="J262" s="1" t="str">
        <v>Not Run</v>
      </c>
      <c r="K262" s="1" t="str">
        <v>Not Run</v>
      </c>
      <c r="L262" s="1">
        <f>COUNTA(F262:K262)</f>
        <v>6</v>
      </c>
      <c r="M262" s="1">
        <f>COUNTIF(F262:K262,"Pass")</f>
        <v>0</v>
      </c>
      <c r="N262" s="1">
        <f>COUNTIF(F262:K262,"Fail")</f>
        <v>0</v>
      </c>
      <c r="O262" s="1" t="str">
        <f>IF(M262=0,"-",M262/L262)</f>
        <v>-</v>
      </c>
    </row>
    <row r="263">
      <c r="A263" s="1" t="str">
        <v>LEA-048</v>
      </c>
      <c r="B263" s="1" t="str">
        <v>Leave Application</v>
      </c>
      <c r="C263" s="1" t="str">
        <v>Status &amp; Workflow</v>
      </c>
      <c r="D263" s="1" t="str">
        <v>Only authorised user can approve leave application</v>
      </c>
      <c r="E263" s="1" t="str">
        <v>Critical</v>
      </c>
      <c r="F263" s="1" t="str">
        <v>Not Run</v>
      </c>
      <c r="G263" s="1" t="str">
        <v>Not Run</v>
      </c>
      <c r="H263" s="1" t="str">
        <v>Not Run</v>
      </c>
      <c r="I263" s="1" t="str">
        <v>Not Run</v>
      </c>
      <c r="J263" s="1" t="str">
        <v>Not Run</v>
      </c>
      <c r="K263" s="1" t="str">
        <v>Not Run</v>
      </c>
      <c r="L263" s="1">
        <f>COUNTA(F263:K263)</f>
        <v>6</v>
      </c>
      <c r="M263" s="1">
        <f>COUNTIF(F263:K263,"Pass")</f>
        <v>0</v>
      </c>
      <c r="N263" s="1">
        <f>COUNTIF(F263:K263,"Fail")</f>
        <v>0</v>
      </c>
      <c r="O263" s="1" t="str">
        <f>IF(M263=0,"-",M263/L263)</f>
        <v>-</v>
      </c>
    </row>
    <row r="264">
      <c r="A264" s="1" t="str">
        <v>LEA-049</v>
      </c>
      <c r="B264" s="1" t="str">
        <v>Leave Application</v>
      </c>
      <c r="C264" s="1" t="str">
        <v>Data Validation</v>
      </c>
      <c r="D264" s="1" t="str">
        <v>Leave Application cannot be saved without Employee</v>
      </c>
      <c r="E264" s="1" t="str">
        <v>Critical</v>
      </c>
      <c r="F264" s="1" t="str">
        <v>Not Run</v>
      </c>
      <c r="G264" s="1" t="str">
        <v>Not Run</v>
      </c>
      <c r="H264" s="1" t="str">
        <v>Not Run</v>
      </c>
      <c r="I264" s="1" t="str">
        <v>Not Run</v>
      </c>
      <c r="J264" s="1" t="str">
        <v>Not Run</v>
      </c>
      <c r="K264" s="1" t="str">
        <v>Not Run</v>
      </c>
      <c r="L264" s="1">
        <f>COUNTA(F264:K264)</f>
        <v>6</v>
      </c>
      <c r="M264" s="1">
        <f>COUNTIF(F264:K264,"Pass")</f>
        <v>0</v>
      </c>
      <c r="N264" s="1">
        <f>COUNTIF(F264:K264,"Fail")</f>
        <v>0</v>
      </c>
      <c r="O264" s="1" t="str">
        <f>IF(M264=0,"-",M264/L264)</f>
        <v>-</v>
      </c>
    </row>
    <row r="265">
      <c r="A265" s="1" t="str">
        <v>LEA-050</v>
      </c>
      <c r="B265" s="1" t="str">
        <v>Leave Application</v>
      </c>
      <c r="C265" s="1" t="str">
        <v>Data Validation</v>
      </c>
      <c r="D265" s="1" t="str">
        <v>Leave Application cannot be saved without Leave Type</v>
      </c>
      <c r="E265" s="1" t="str">
        <v>Critical</v>
      </c>
      <c r="F265" s="1" t="str">
        <v>Not Run</v>
      </c>
      <c r="G265" s="1" t="str">
        <v>Not Run</v>
      </c>
      <c r="H265" s="1" t="str">
        <v>Not Run</v>
      </c>
      <c r="I265" s="1" t="str">
        <v>Not Run</v>
      </c>
      <c r="J265" s="1" t="str">
        <v>Not Run</v>
      </c>
      <c r="K265" s="1" t="str">
        <v>Not Run</v>
      </c>
      <c r="L265" s="1">
        <f>COUNTA(F265:K265)</f>
        <v>6</v>
      </c>
      <c r="M265" s="1">
        <f>COUNTIF(F265:K265,"Pass")</f>
        <v>0</v>
      </c>
      <c r="N265" s="1">
        <f>COUNTIF(F265:K265,"Fail")</f>
        <v>0</v>
      </c>
      <c r="O265" s="1" t="str">
        <f>IF(M265=0,"-",M265/L265)</f>
        <v>-</v>
      </c>
    </row>
    <row r="266">
      <c r="A266" s="1" t="str">
        <v>LEA-051</v>
      </c>
      <c r="B266" s="1" t="str">
        <v>Leave Application</v>
      </c>
      <c r="C266" s="1" t="str">
        <v>Data Validation</v>
      </c>
      <c r="D266" s="1" t="str">
        <v>Leave Application cannot be saved without From Date</v>
      </c>
      <c r="E266" s="1" t="str">
        <v>Critical</v>
      </c>
      <c r="F266" s="1" t="str">
        <v>Not Run</v>
      </c>
      <c r="G266" s="1" t="str">
        <v>Not Run</v>
      </c>
      <c r="H266" s="1" t="str">
        <v>Not Run</v>
      </c>
      <c r="I266" s="1" t="str">
        <v>Not Run</v>
      </c>
      <c r="J266" s="1" t="str">
        <v>Not Run</v>
      </c>
      <c r="K266" s="1" t="str">
        <v>Not Run</v>
      </c>
      <c r="L266" s="1">
        <f>COUNTA(F266:K266)</f>
        <v>6</v>
      </c>
      <c r="M266" s="1">
        <f>COUNTIF(F266:K266,"Pass")</f>
        <v>0</v>
      </c>
      <c r="N266" s="1">
        <f>COUNTIF(F266:K266,"Fail")</f>
        <v>0</v>
      </c>
      <c r="O266" s="1" t="str">
        <f>IF(M266=0,"-",M266/L266)</f>
        <v>-</v>
      </c>
    </row>
    <row r="267">
      <c r="A267" s="1" t="str">
        <v>LEA-052</v>
      </c>
      <c r="B267" s="1" t="str">
        <v>Leave Application</v>
      </c>
      <c r="C267" s="1" t="str">
        <v>Data Validation</v>
      </c>
      <c r="D267" s="1" t="str">
        <v>Leave Application cannot be saved without To Date</v>
      </c>
      <c r="E267" s="1" t="str">
        <v>Critical</v>
      </c>
      <c r="F267" s="1" t="str">
        <v>Not Run</v>
      </c>
      <c r="G267" s="1" t="str">
        <v>Not Run</v>
      </c>
      <c r="H267" s="1" t="str">
        <v>Not Run</v>
      </c>
      <c r="I267" s="1" t="str">
        <v>Not Run</v>
      </c>
      <c r="J267" s="1" t="str">
        <v>Not Run</v>
      </c>
      <c r="K267" s="1" t="str">
        <v>Not Run</v>
      </c>
      <c r="L267" s="1">
        <f>COUNTA(F267:K267)</f>
        <v>6</v>
      </c>
      <c r="M267" s="1">
        <f>COUNTIF(F267:K267,"Pass")</f>
        <v>0</v>
      </c>
      <c r="N267" s="1">
        <f>COUNTIF(F267:K267,"Fail")</f>
        <v>0</v>
      </c>
      <c r="O267" s="1" t="str">
        <f>IF(M267=0,"-",M267/L267)</f>
        <v>-</v>
      </c>
    </row>
    <row r="268">
      <c r="A268" s="1" t="str">
        <v>LEA-053</v>
      </c>
      <c r="B268" s="1" t="str">
        <v>Leave Application</v>
      </c>
      <c r="C268" s="1" t="str">
        <v>Data Validation</v>
      </c>
      <c r="D268" s="1" t="str">
        <v>Leave Application cannot be submitted with From Date after To Date</v>
      </c>
      <c r="E268" s="1" t="str">
        <v>Critical</v>
      </c>
      <c r="F268" s="1" t="str">
        <v>Not Run</v>
      </c>
      <c r="G268" s="1" t="str">
        <v>Not Run</v>
      </c>
      <c r="H268" s="1" t="str">
        <v>Not Run</v>
      </c>
      <c r="I268" s="1" t="str">
        <v>Not Run</v>
      </c>
      <c r="J268" s="1" t="str">
        <v>Not Run</v>
      </c>
      <c r="K268" s="1" t="str">
        <v>Not Run</v>
      </c>
      <c r="L268" s="1">
        <f>COUNTA(F268:K268)</f>
        <v>6</v>
      </c>
      <c r="M268" s="1">
        <f>COUNTIF(F268:K268,"Pass")</f>
        <v>0</v>
      </c>
      <c r="N268" s="1">
        <f>COUNTIF(F268:K268,"Fail")</f>
        <v>0</v>
      </c>
      <c r="O268" s="1" t="str">
        <f>IF(M268=0,"-",M268/L268)</f>
        <v>-</v>
      </c>
    </row>
    <row r="269">
      <c r="A269" s="1" t="str">
        <v>LEA-054</v>
      </c>
      <c r="B269" s="1" t="str">
        <v>Leave Application</v>
      </c>
      <c r="C269" s="1" t="str">
        <v>Editing &amp; Updates</v>
      </c>
      <c r="D269" s="1" t="str">
        <v>Edit Leave Type on existing leave application</v>
      </c>
      <c r="E269" s="1" t="str">
        <v>High</v>
      </c>
      <c r="F269" s="1" t="str">
        <v>Not Run</v>
      </c>
      <c r="G269" s="1" t="str">
        <v>Not Run</v>
      </c>
      <c r="H269" s="1" t="str">
        <v>Not Run</v>
      </c>
      <c r="I269" s="1" t="str">
        <v>Not Run</v>
      </c>
      <c r="J269" s="1" t="str">
        <v>Not Run</v>
      </c>
      <c r="K269" s="1" t="str">
        <v>Not Run</v>
      </c>
      <c r="L269" s="1">
        <f>COUNTA(F269:K269)</f>
        <v>6</v>
      </c>
      <c r="M269" s="1">
        <f>COUNTIF(F269:K269,"Pass")</f>
        <v>0</v>
      </c>
      <c r="N269" s="1">
        <f>COUNTIF(F269:K269,"Fail")</f>
        <v>0</v>
      </c>
      <c r="O269" s="1" t="str">
        <f>IF(M269=0,"-",M269/L269)</f>
        <v>-</v>
      </c>
    </row>
    <row r="270">
      <c r="A270" s="1" t="str">
        <v>LEA-055</v>
      </c>
      <c r="B270" s="1" t="str">
        <v>Leave Application</v>
      </c>
      <c r="C270" s="1" t="str">
        <v>Editing &amp; Updates</v>
      </c>
      <c r="D270" s="1" t="str">
        <v>Edit date range on existing leave application</v>
      </c>
      <c r="E270" s="1" t="str">
        <v>High</v>
      </c>
      <c r="F270" s="1" t="str">
        <v>Not Run</v>
      </c>
      <c r="G270" s="1" t="str">
        <v>Not Run</v>
      </c>
      <c r="H270" s="1" t="str">
        <v>Not Run</v>
      </c>
      <c r="I270" s="1" t="str">
        <v>Not Run</v>
      </c>
      <c r="J270" s="1" t="str">
        <v>Not Run</v>
      </c>
      <c r="K270" s="1" t="str">
        <v>Not Run</v>
      </c>
      <c r="L270" s="1">
        <f>COUNTA(F270:K270)</f>
        <v>6</v>
      </c>
      <c r="M270" s="1">
        <f>COUNTIF(F270:K270,"Pass")</f>
        <v>0</v>
      </c>
      <c r="N270" s="1">
        <f>COUNTIF(F270:K270,"Fail")</f>
        <v>0</v>
      </c>
      <c r="O270" s="1" t="str">
        <f>IF(M270=0,"-",M270/L270)</f>
        <v>-</v>
      </c>
    </row>
    <row r="271">
      <c r="A271" s="1" t="str">
        <v>LEA-056</v>
      </c>
      <c r="B271" s="1" t="str">
        <v>Leave Application</v>
      </c>
      <c r="C271" s="1" t="str">
        <v>Editing &amp; Updates</v>
      </c>
      <c r="D271" s="1" t="str">
        <v>Edit reason on existing leave application</v>
      </c>
      <c r="E271" s="1" t="str">
        <v>Medium</v>
      </c>
      <c r="F271" s="1" t="str">
        <v>Not Run</v>
      </c>
      <c r="G271" s="1" t="str">
        <v>Not Run</v>
      </c>
      <c r="H271" s="1" t="str">
        <v>Not Run</v>
      </c>
      <c r="I271" s="1" t="str">
        <v>Not Run</v>
      </c>
      <c r="J271" s="1" t="str">
        <v>Not Run</v>
      </c>
      <c r="K271" s="1" t="str">
        <v>Not Run</v>
      </c>
      <c r="L271" s="1">
        <f>COUNTA(F271:K271)</f>
        <v>6</v>
      </c>
      <c r="M271" s="1">
        <f>COUNTIF(F271:K271,"Pass")</f>
        <v>0</v>
      </c>
      <c r="N271" s="1">
        <f>COUNTIF(F271:K271,"Fail")</f>
        <v>0</v>
      </c>
      <c r="O271" s="1" t="str">
        <f>IF(M271=0,"-",M271/L271)</f>
        <v>-</v>
      </c>
    </row>
    <row r="272">
      <c r="A272" s="1" t="str">
        <v>LEA-057</v>
      </c>
      <c r="B272" s="1" t="str">
        <v>Leave Application</v>
      </c>
      <c r="C272" s="1" t="str">
        <v>Editing &amp; Updates</v>
      </c>
      <c r="D272" s="1" t="str">
        <v>Edit leave approver before submission</v>
      </c>
      <c r="E272" s="1" t="str">
        <v>High</v>
      </c>
      <c r="F272" s="1" t="str">
        <v>Not Run</v>
      </c>
      <c r="G272" s="1" t="str">
        <v>Not Run</v>
      </c>
      <c r="H272" s="1" t="str">
        <v>Not Run</v>
      </c>
      <c r="I272" s="1" t="str">
        <v>Not Run</v>
      </c>
      <c r="J272" s="1" t="str">
        <v>Not Run</v>
      </c>
      <c r="K272" s="1" t="str">
        <v>Not Run</v>
      </c>
      <c r="L272" s="1">
        <f>COUNTA(F272:K272)</f>
        <v>6</v>
      </c>
      <c r="M272" s="1">
        <f>COUNTIF(F272:K272,"Pass")</f>
        <v>0</v>
      </c>
      <c r="N272" s="1">
        <f>COUNTIF(F272:K272,"Fail")</f>
        <v>0</v>
      </c>
      <c r="O272" s="1" t="str">
        <f>IF(M272=0,"-",M272/L272)</f>
        <v>-</v>
      </c>
    </row>
    <row r="273">
      <c r="A273" s="1" t="str">
        <v>LEA-058</v>
      </c>
      <c r="B273" s="1" t="str">
        <v>Leave Application</v>
      </c>
      <c r="C273" s="1" t="str">
        <v>Editing &amp; Updates</v>
      </c>
      <c r="D273" s="1" t="str">
        <v>Edit is restricted after leave is approved</v>
      </c>
      <c r="E273" s="1" t="str">
        <v>Critical</v>
      </c>
      <c r="F273" s="1" t="str">
        <v>Not Run</v>
      </c>
      <c r="G273" s="1" t="str">
        <v>Not Run</v>
      </c>
      <c r="H273" s="1" t="str">
        <v>Not Run</v>
      </c>
      <c r="I273" s="1" t="str">
        <v>Not Run</v>
      </c>
      <c r="J273" s="1" t="str">
        <v>Not Run</v>
      </c>
      <c r="K273" s="1" t="str">
        <v>Not Run</v>
      </c>
      <c r="L273" s="1">
        <f>COUNTA(F273:K273)</f>
        <v>6</v>
      </c>
      <c r="M273" s="1">
        <f>COUNTIF(F273:K273,"Pass")</f>
        <v>0</v>
      </c>
      <c r="N273" s="1">
        <f>COUNTIF(F273:K273,"Fail")</f>
        <v>0</v>
      </c>
      <c r="O273" s="1" t="str">
        <f>IF(M273=0,"-",M273/L273)</f>
        <v>-</v>
      </c>
    </row>
    <row r="274">
      <c r="A274" s="1" t="str">
        <v>LEA-059</v>
      </c>
      <c r="B274" s="1" t="str">
        <v>Leave Application</v>
      </c>
      <c r="C274" s="1" t="str">
        <v>Form Actions</v>
      </c>
      <c r="D274" s="1" t="str">
        <v>Save Leave Application successfully</v>
      </c>
      <c r="E274" s="1" t="str">
        <v>Critical</v>
      </c>
      <c r="F274" s="1" t="str">
        <v>Not Run</v>
      </c>
      <c r="G274" s="1" t="str">
        <v>Not Run</v>
      </c>
      <c r="H274" s="1" t="str">
        <v>Not Run</v>
      </c>
      <c r="I274" s="1" t="str">
        <v>Not Run</v>
      </c>
      <c r="J274" s="1" t="str">
        <v>Not Run</v>
      </c>
      <c r="K274" s="1" t="str">
        <v>Not Run</v>
      </c>
      <c r="L274" s="1">
        <f>COUNTA(F274:K274)</f>
        <v>6</v>
      </c>
      <c r="M274" s="1">
        <f>COUNTIF(F274:K274,"Pass")</f>
        <v>0</v>
      </c>
      <c r="N274" s="1">
        <f>COUNTIF(F274:K274,"Fail")</f>
        <v>0</v>
      </c>
      <c r="O274" s="1" t="str">
        <f>IF(M274=0,"-",M274/L274)</f>
        <v>-</v>
      </c>
    </row>
    <row r="275">
      <c r="A275" s="1" t="str">
        <v>LEA-060</v>
      </c>
      <c r="B275" s="1" t="str">
        <v>Leave Application</v>
      </c>
      <c r="C275" s="1" t="str">
        <v>Form Actions</v>
      </c>
      <c r="D275" s="1" t="str">
        <v>Submit Leave Application successfully</v>
      </c>
      <c r="E275" s="1" t="str">
        <v>Critical</v>
      </c>
      <c r="F275" s="1" t="str">
        <v>Not Run</v>
      </c>
      <c r="G275" s="1" t="str">
        <v>Not Run</v>
      </c>
      <c r="H275" s="1" t="str">
        <v>Not Run</v>
      </c>
      <c r="I275" s="1" t="str">
        <v>Not Run</v>
      </c>
      <c r="J275" s="1" t="str">
        <v>Not Run</v>
      </c>
      <c r="K275" s="1" t="str">
        <v>Not Run</v>
      </c>
      <c r="L275" s="1">
        <f>COUNTA(F275:K275)</f>
        <v>6</v>
      </c>
      <c r="M275" s="1">
        <f>COUNTIF(F275:K275,"Pass")</f>
        <v>0</v>
      </c>
      <c r="N275" s="1">
        <f>COUNTIF(F275:K275,"Fail")</f>
        <v>0</v>
      </c>
      <c r="O275" s="1" t="str">
        <f>IF(M275=0,"-",M275/L275)</f>
        <v>-</v>
      </c>
    </row>
    <row r="276">
      <c r="A276" s="1" t="str">
        <v>LEA-061</v>
      </c>
      <c r="B276" s="1" t="str">
        <v>Leave Application</v>
      </c>
      <c r="C276" s="1" t="str">
        <v>Form Actions</v>
      </c>
      <c r="D276" s="1" t="str">
        <v>Form shows "Not Saved" status before save</v>
      </c>
      <c r="E276" s="1" t="str">
        <v>Medium</v>
      </c>
      <c r="F276" s="1" t="str">
        <v>Not Run</v>
      </c>
      <c r="G276" s="1" t="str">
        <v>Not Run</v>
      </c>
      <c r="H276" s="1" t="str">
        <v>Not Run</v>
      </c>
      <c r="I276" s="1" t="str">
        <v>Not Run</v>
      </c>
      <c r="J276" s="1" t="str">
        <v>Not Run</v>
      </c>
      <c r="K276" s="1" t="str">
        <v>Not Run</v>
      </c>
      <c r="L276" s="1">
        <f>COUNTA(F276:K276)</f>
        <v>6</v>
      </c>
      <c r="M276" s="1">
        <f>COUNTIF(F276:K276,"Pass")</f>
        <v>0</v>
      </c>
      <c r="N276" s="1">
        <f>COUNTIF(F276:K276,"Fail")</f>
        <v>0</v>
      </c>
      <c r="O276" s="1" t="str">
        <f>IF(M276=0,"-",M276/L276)</f>
        <v>-</v>
      </c>
    </row>
    <row r="277">
      <c r="A277" s="1" t="str">
        <v>LEA-062</v>
      </c>
      <c r="B277" s="1" t="str">
        <v>Leave Application</v>
      </c>
      <c r="C277" s="1" t="str">
        <v>Form Actions</v>
      </c>
      <c r="D277" s="1" t="str">
        <v>Form shows "Saved" status after successful save</v>
      </c>
      <c r="E277" s="1" t="str">
        <v>Medium</v>
      </c>
      <c r="F277" s="1" t="str">
        <v>Not Run</v>
      </c>
      <c r="G277" s="1" t="str">
        <v>Not Run</v>
      </c>
      <c r="H277" s="1" t="str">
        <v>Not Run</v>
      </c>
      <c r="I277" s="1" t="str">
        <v>Not Run</v>
      </c>
      <c r="J277" s="1" t="str">
        <v>Not Run</v>
      </c>
      <c r="K277" s="1" t="str">
        <v>Not Run</v>
      </c>
      <c r="L277" s="1">
        <f>COUNTA(F277:K277)</f>
        <v>6</v>
      </c>
      <c r="M277" s="1">
        <f>COUNTIF(F277:K277,"Pass")</f>
        <v>0</v>
      </c>
      <c r="N277" s="1">
        <f>COUNTIF(F277:K277,"Fail")</f>
        <v>0</v>
      </c>
      <c r="O277" s="1" t="str">
        <f>IF(M277=0,"-",M277/L277)</f>
        <v>-</v>
      </c>
    </row>
    <row r="278">
      <c r="A278" s="1" t="str">
        <v>LEA-063</v>
      </c>
      <c r="B278" s="1" t="str">
        <v>Leave Application</v>
      </c>
      <c r="C278" s="1" t="str">
        <v>Form Actions</v>
      </c>
      <c r="D278" s="1" t="str">
        <v>Duplicate existing Leave Application</v>
      </c>
      <c r="E278" s="1" t="str">
        <v>High</v>
      </c>
      <c r="F278" s="1" t="str">
        <v>Not Run</v>
      </c>
      <c r="G278" s="1" t="str">
        <v>Not Run</v>
      </c>
      <c r="H278" s="1" t="str">
        <v>Not Run</v>
      </c>
      <c r="I278" s="1" t="str">
        <v>Not Run</v>
      </c>
      <c r="J278" s="1" t="str">
        <v>Not Run</v>
      </c>
      <c r="K278" s="1" t="str">
        <v>Not Run</v>
      </c>
      <c r="L278" s="1">
        <f>COUNTA(F278:K278)</f>
        <v>6</v>
      </c>
      <c r="M278" s="1">
        <f>COUNTIF(F278:K278,"Pass")</f>
        <v>0</v>
      </c>
      <c r="N278" s="1">
        <f>COUNTIF(F278:K278,"Fail")</f>
        <v>0</v>
      </c>
      <c r="O278" s="1" t="str">
        <f>IF(M278=0,"-",M278/L278)</f>
        <v>-</v>
      </c>
    </row>
    <row r="279">
      <c r="A279" s="1" t="str">
        <v>LEA-064</v>
      </c>
      <c r="B279" s="1" t="str">
        <v>Leave Application</v>
      </c>
      <c r="C279" s="1" t="str">
        <v>Form Actions</v>
      </c>
      <c r="D279" s="1" t="str">
        <v>Cancel submitted Leave Application</v>
      </c>
      <c r="E279" s="1" t="str">
        <v>Critical</v>
      </c>
      <c r="F279" s="1" t="str">
        <v>Not Run</v>
      </c>
      <c r="G279" s="1" t="str">
        <v>Not Run</v>
      </c>
      <c r="H279" s="1" t="str">
        <v>Not Run</v>
      </c>
      <c r="I279" s="1" t="str">
        <v>Not Run</v>
      </c>
      <c r="J279" s="1" t="str">
        <v>Not Run</v>
      </c>
      <c r="K279" s="1" t="str">
        <v>Not Run</v>
      </c>
      <c r="L279" s="1">
        <f>COUNTA(F279:K279)</f>
        <v>6</v>
      </c>
      <c r="M279" s="1">
        <f>COUNTIF(F279:K279,"Pass")</f>
        <v>0</v>
      </c>
      <c r="N279" s="1">
        <f>COUNTIF(F279:K279,"Fail")</f>
        <v>0</v>
      </c>
      <c r="O279" s="1" t="str">
        <f>IF(M279=0,"-",M279/L279)</f>
        <v>-</v>
      </c>
    </row>
    <row r="280">
      <c r="A280" s="1" t="str">
        <v>LEA-065</v>
      </c>
      <c r="B280" s="1" t="str">
        <v>Leave Application</v>
      </c>
      <c r="C280" s="1" t="str">
        <v>Form Actions</v>
      </c>
      <c r="D280" s="1" t="str">
        <v>Delete Draft Leave Application</v>
      </c>
      <c r="E280" s="1" t="str">
        <v>High</v>
      </c>
      <c r="F280" s="1" t="str">
        <v>Not Run</v>
      </c>
      <c r="G280" s="1" t="str">
        <v>Not Run</v>
      </c>
      <c r="H280" s="1" t="str">
        <v>Not Run</v>
      </c>
      <c r="I280" s="1" t="str">
        <v>Not Run</v>
      </c>
      <c r="J280" s="1" t="str">
        <v>Not Run</v>
      </c>
      <c r="K280" s="1" t="str">
        <v>Not Run</v>
      </c>
      <c r="L280" s="1">
        <f>COUNTA(F280:K280)</f>
        <v>6</v>
      </c>
      <c r="M280" s="1">
        <f>COUNTIF(F280:K280,"Pass")</f>
        <v>0</v>
      </c>
      <c r="N280" s="1">
        <f>COUNTIF(F280:K280,"Fail")</f>
        <v>0</v>
      </c>
      <c r="O280" s="1" t="str">
        <f>IF(M280=0,"-",M280/L280)</f>
        <v>-</v>
      </c>
    </row>
    <row r="281">
      <c r="A281" s="1" t="str">
        <v>▌ Service Call</v>
      </c>
    </row>
    <row r="282">
      <c r="A282" s="1" t="str">
        <v>SC-001</v>
      </c>
      <c r="B282" s="1" t="str">
        <v>Service Call</v>
      </c>
      <c r="C282" s="1" t="str">
        <v>Service Call Creation &amp; Basic Details</v>
      </c>
      <c r="D282" s="1" t="str">
        <v>Create Service Call with mandatory fields only (Customer, Service Type)</v>
      </c>
      <c r="E282" s="1" t="str">
        <v>Critical</v>
      </c>
      <c r="F282" s="1" t="str">
        <v>Not Run</v>
      </c>
      <c r="G282" s="1" t="str">
        <v>Not Run</v>
      </c>
      <c r="H282" s="1" t="str">
        <v>Not Run</v>
      </c>
      <c r="I282" s="1" t="str">
        <v>Not Run</v>
      </c>
      <c r="J282" s="1" t="str">
        <v>Not Run</v>
      </c>
      <c r="K282" s="1" t="str">
        <v>Not Run</v>
      </c>
      <c r="L282" s="1">
        <f>COUNTA(F282:K282)</f>
        <v>6</v>
      </c>
      <c r="M282" s="1">
        <f>COUNTIF(F282:K282,"Pass")</f>
        <v>0</v>
      </c>
      <c r="N282" s="1">
        <f>COUNTIF(F282:K282,"Fail")</f>
        <v>0</v>
      </c>
      <c r="O282" s="1" t="str">
        <f>IF(M282=0,"-",M282/L282)</f>
        <v>-</v>
      </c>
    </row>
    <row r="283">
      <c r="A283" s="1" t="str">
        <v>SC-002</v>
      </c>
      <c r="B283" s="1" t="str">
        <v>Service Call</v>
      </c>
      <c r="C283" s="1" t="str">
        <v>Service Call Creation &amp; Basic Details</v>
      </c>
      <c r="D283" s="1" t="str">
        <v>Create Service Call with all basic fields (Customer, Title, Description, Priority)</v>
      </c>
      <c r="E283" s="1" t="str">
        <v>Critical</v>
      </c>
      <c r="F283" s="1" t="str">
        <v>Not Run</v>
      </c>
      <c r="G283" s="1" t="str">
        <v>Not Run</v>
      </c>
      <c r="H283" s="1" t="str">
        <v>Not Run</v>
      </c>
      <c r="I283" s="1" t="str">
        <v>Not Run</v>
      </c>
      <c r="J283" s="1" t="str">
        <v>Not Run</v>
      </c>
      <c r="K283" s="1" t="str">
        <v>Not Run</v>
      </c>
      <c r="L283" s="1">
        <f>COUNTA(F283:K283)</f>
        <v>6</v>
      </c>
      <c r="M283" s="1">
        <f>COUNTIF(F283:K283,"Pass")</f>
        <v>0</v>
      </c>
      <c r="N283" s="1">
        <f>COUNTIF(F283:K283,"Fail")</f>
        <v>0</v>
      </c>
      <c r="O283" s="1" t="str">
        <f>IF(M283=0,"-",M283/L283)</f>
        <v>-</v>
      </c>
    </row>
    <row r="284">
      <c r="A284" s="1" t="str">
        <v>SC-003</v>
      </c>
      <c r="B284" s="1" t="str">
        <v>Service Call</v>
      </c>
      <c r="C284" s="1" t="str">
        <v>Service Call Creation &amp; Basic Details</v>
      </c>
      <c r="D284" s="1" t="str">
        <v>Create Service Call with multiple Service Items</v>
      </c>
      <c r="E284" s="1" t="str">
        <v>High</v>
      </c>
      <c r="F284" s="1" t="str">
        <v>Not Run</v>
      </c>
      <c r="G284" s="1" t="str">
        <v>Not Run</v>
      </c>
      <c r="H284" s="1" t="str">
        <v>Not Run</v>
      </c>
      <c r="I284" s="1" t="str">
        <v>Not Run</v>
      </c>
      <c r="J284" s="1" t="str">
        <v>Not Run</v>
      </c>
      <c r="K284" s="1" t="str">
        <v>Not Run</v>
      </c>
      <c r="L284" s="1">
        <f>COUNTA(F284:K284)</f>
        <v>6</v>
      </c>
      <c r="M284" s="1">
        <f>COUNTIF(F284:K284,"Pass")</f>
        <v>0</v>
      </c>
      <c r="N284" s="1">
        <f>COUNTIF(F284:K284,"Fail")</f>
        <v>0</v>
      </c>
      <c r="O284" s="1" t="str">
        <f>IF(M284=0,"-",M284/L284)</f>
        <v>-</v>
      </c>
    </row>
    <row r="285">
      <c r="A285" s="1" t="str">
        <v>SC-004</v>
      </c>
      <c r="B285" s="1" t="str">
        <v>Service Call</v>
      </c>
      <c r="C285" s="1" t="str">
        <v>Service Call Creation &amp; Basic Details</v>
      </c>
      <c r="D285" s="1" t="str">
        <v>Create Service Call for Individual customer type</v>
      </c>
      <c r="E285" s="1" t="str">
        <v>High</v>
      </c>
      <c r="F285" s="1" t="str">
        <v>Not Run</v>
      </c>
      <c r="G285" s="1" t="str">
        <v>Not Run</v>
      </c>
      <c r="H285" s="1" t="str">
        <v>Not Run</v>
      </c>
      <c r="I285" s="1" t="str">
        <v>Not Run</v>
      </c>
      <c r="J285" s="1" t="str">
        <v>Not Run</v>
      </c>
      <c r="K285" s="1" t="str">
        <v>Not Run</v>
      </c>
      <c r="L285" s="1">
        <f>COUNTA(F285:K285)</f>
        <v>6</v>
      </c>
      <c r="M285" s="1">
        <f>COUNTIF(F285:K285,"Pass")</f>
        <v>0</v>
      </c>
      <c r="N285" s="1">
        <f>COUNTIF(F285:K285,"Fail")</f>
        <v>0</v>
      </c>
      <c r="O285" s="1" t="str">
        <f>IF(M285=0,"-",M285/L285)</f>
        <v>-</v>
      </c>
    </row>
    <row r="286">
      <c r="A286" s="1" t="str">
        <v>SC-005</v>
      </c>
      <c r="B286" s="1" t="str">
        <v>Service Call</v>
      </c>
      <c r="C286" s="1" t="str">
        <v>Service Call Creation &amp; Basic Details</v>
      </c>
      <c r="D286" s="1" t="str">
        <v>Create Service Call for Company customer type</v>
      </c>
      <c r="E286" s="1" t="str">
        <v>High</v>
      </c>
      <c r="F286" s="1" t="str">
        <v>Not Run</v>
      </c>
      <c r="G286" s="1" t="str">
        <v>Not Run</v>
      </c>
      <c r="H286" s="1" t="str">
        <v>Not Run</v>
      </c>
      <c r="I286" s="1" t="str">
        <v>Not Run</v>
      </c>
      <c r="J286" s="1" t="str">
        <v>Not Run</v>
      </c>
      <c r="K286" s="1" t="str">
        <v>Not Run</v>
      </c>
      <c r="L286" s="1">
        <f>COUNTA(F286:K286)</f>
        <v>6</v>
      </c>
      <c r="M286" s="1">
        <f>COUNTIF(F286:K286,"Pass")</f>
        <v>0</v>
      </c>
      <c r="N286" s="1">
        <f>COUNTIF(F286:K286,"Fail")</f>
        <v>0</v>
      </c>
      <c r="O286" s="1" t="str">
        <f>IF(M286=0,"-",M286/L286)</f>
        <v>-</v>
      </c>
    </row>
    <row r="287">
      <c r="A287" s="1" t="str">
        <v>SC-006</v>
      </c>
      <c r="B287" s="1" t="str">
        <v>Service Call</v>
      </c>
      <c r="C287" s="1" t="str">
        <v>Customer &amp; Location Validation</v>
      </c>
      <c r="D287" s="1" t="str">
        <v>Valid customer selection populates branch locations</v>
      </c>
      <c r="E287" s="1" t="str">
        <v>Critical</v>
      </c>
      <c r="F287" s="1" t="str">
        <v>Not Run</v>
      </c>
      <c r="G287" s="1" t="str">
        <v>Not Run</v>
      </c>
      <c r="H287" s="1" t="str">
        <v>Not Run</v>
      </c>
      <c r="I287" s="1" t="str">
        <v>Not Run</v>
      </c>
      <c r="J287" s="1" t="str">
        <v>Not Run</v>
      </c>
      <c r="K287" s="1" t="str">
        <v>Not Run</v>
      </c>
      <c r="L287" s="1">
        <f>COUNTA(F287:K287)</f>
        <v>6</v>
      </c>
      <c r="M287" s="1">
        <f>COUNTIF(F287:K287,"Pass")</f>
        <v>0</v>
      </c>
      <c r="N287" s="1">
        <f>COUNTIF(F287:K287,"Fail")</f>
        <v>0</v>
      </c>
      <c r="O287" s="1" t="str">
        <f>IF(M287=0,"-",M287/L287)</f>
        <v>-</v>
      </c>
    </row>
    <row r="288">
      <c r="A288" s="1" t="str">
        <v>SC-007</v>
      </c>
      <c r="B288" s="1" t="str">
        <v>Service Call</v>
      </c>
      <c r="C288" s="1" t="str">
        <v>Customer &amp; Location Validation</v>
      </c>
      <c r="D288" s="1" t="str">
        <v>Invalid/non-existent customer is rejected</v>
      </c>
      <c r="E288" s="1" t="str">
        <v>Critical</v>
      </c>
      <c r="F288" s="1" t="str">
        <v>Not Run</v>
      </c>
      <c r="G288" s="1" t="str">
        <v>Not Run</v>
      </c>
      <c r="H288" s="1" t="str">
        <v>Not Run</v>
      </c>
      <c r="I288" s="1" t="str">
        <v>Not Run</v>
      </c>
      <c r="J288" s="1" t="str">
        <v>Not Run</v>
      </c>
      <c r="K288" s="1" t="str">
        <v>Not Run</v>
      </c>
      <c r="L288" s="1">
        <f>COUNTA(F288:K288)</f>
        <v>6</v>
      </c>
      <c r="M288" s="1">
        <f>COUNTIF(F288:K288,"Pass")</f>
        <v>0</v>
      </c>
      <c r="N288" s="1">
        <f>COUNTIF(F288:K288,"Fail")</f>
        <v>0</v>
      </c>
      <c r="O288" s="1" t="str">
        <f>IF(M288=0,"-",M288/L288)</f>
        <v>-</v>
      </c>
    </row>
    <row r="289">
      <c r="A289" s="1" t="str">
        <v>SC-008</v>
      </c>
      <c r="B289" s="1" t="str">
        <v>Service Call</v>
      </c>
      <c r="C289" s="1" t="str">
        <v>Customer &amp; Location Validation</v>
      </c>
      <c r="D289" s="1" t="str">
        <v>Service Call can be linked to specific branch location</v>
      </c>
      <c r="E289" s="1" t="str">
        <v>High</v>
      </c>
      <c r="F289" s="1" t="str">
        <v>Not Run</v>
      </c>
      <c r="G289" s="1" t="str">
        <v>Not Run</v>
      </c>
      <c r="H289" s="1" t="str">
        <v>Not Run</v>
      </c>
      <c r="I289" s="1" t="str">
        <v>Not Run</v>
      </c>
      <c r="J289" s="1" t="str">
        <v>Not Run</v>
      </c>
      <c r="K289" s="1" t="str">
        <v>Not Run</v>
      </c>
      <c r="L289" s="1">
        <f>COUNTA(F289:K289)</f>
        <v>6</v>
      </c>
      <c r="M289" s="1">
        <f>COUNTIF(F289:K289,"Pass")</f>
        <v>0</v>
      </c>
      <c r="N289" s="1">
        <f>COUNTIF(F289:K289,"Fail")</f>
        <v>0</v>
      </c>
      <c r="O289" s="1" t="str">
        <f>IF(M289=0,"-",M289/L289)</f>
        <v>-</v>
      </c>
    </row>
    <row r="290">
      <c r="A290" s="1" t="str">
        <v>SC-009</v>
      </c>
      <c r="B290" s="1" t="str">
        <v>Service Call</v>
      </c>
      <c r="C290" s="1" t="str">
        <v>Customer &amp; Location Validation</v>
      </c>
      <c r="D290" s="1" t="str">
        <v>Contact person is filtered by selected branch</v>
      </c>
      <c r="E290" s="1" t="str">
        <v>High</v>
      </c>
      <c r="F290" s="1" t="str">
        <v>Not Run</v>
      </c>
      <c r="G290" s="1" t="str">
        <v>Not Run</v>
      </c>
      <c r="H290" s="1" t="str">
        <v>Not Run</v>
      </c>
      <c r="I290" s="1" t="str">
        <v>Not Run</v>
      </c>
      <c r="J290" s="1" t="str">
        <v>Not Run</v>
      </c>
      <c r="K290" s="1" t="str">
        <v>Not Run</v>
      </c>
      <c r="L290" s="1">
        <f>COUNTA(F290:K290)</f>
        <v>6</v>
      </c>
      <c r="M290" s="1">
        <f>COUNTIF(F290:K290,"Pass")</f>
        <v>0</v>
      </c>
      <c r="N290" s="1">
        <f>COUNTIF(F290:K290,"Fail")</f>
        <v>0</v>
      </c>
      <c r="O290" s="1" t="str">
        <f>IF(M290=0,"-",M290/L290)</f>
        <v>-</v>
      </c>
    </row>
    <row r="291">
      <c r="A291" s="1" t="str">
        <v>SC-010</v>
      </c>
      <c r="B291" s="1" t="str">
        <v>Service Call</v>
      </c>
      <c r="C291" s="1" t="str">
        <v>Technician Assignment</v>
      </c>
      <c r="D291" s="1" t="str">
        <v>Assign available technician to Service Call</v>
      </c>
      <c r="E291" s="1" t="str">
        <v>Critical</v>
      </c>
      <c r="F291" s="1" t="str">
        <v>Not Run</v>
      </c>
      <c r="G291" s="1" t="str">
        <v>Not Run</v>
      </c>
      <c r="H291" s="1" t="str">
        <v>Not Run</v>
      </c>
      <c r="I291" s="1" t="str">
        <v>Not Run</v>
      </c>
      <c r="J291" s="1" t="str">
        <v>Not Run</v>
      </c>
      <c r="K291" s="1" t="str">
        <v>Not Run</v>
      </c>
      <c r="L291" s="1">
        <f>COUNTA(F291:K291)</f>
        <v>6</v>
      </c>
      <c r="M291" s="1">
        <f>COUNTIF(F291:K291,"Pass")</f>
        <v>0</v>
      </c>
      <c r="N291" s="1">
        <f>COUNTIF(F291:K291,"Fail")</f>
        <v>0</v>
      </c>
      <c r="O291" s="1" t="str">
        <f>IF(M291=0,"-",M291/L291)</f>
        <v>-</v>
      </c>
    </row>
    <row r="292">
      <c r="A292" s="1" t="str">
        <v>SC-011</v>
      </c>
      <c r="B292" s="1" t="str">
        <v>Service Call</v>
      </c>
      <c r="C292" s="1" t="str">
        <v>Technician Assignment</v>
      </c>
      <c r="D292" s="1" t="str">
        <v>Reassign technician to different Service Call</v>
      </c>
      <c r="E292" s="1" t="str">
        <v>High</v>
      </c>
      <c r="F292" s="1" t="str">
        <v>Not Run</v>
      </c>
      <c r="G292" s="1" t="str">
        <v>Not Run</v>
      </c>
      <c r="H292" s="1" t="str">
        <v>Not Run</v>
      </c>
      <c r="I292" s="1" t="str">
        <v>Not Run</v>
      </c>
      <c r="J292" s="1" t="str">
        <v>Not Run</v>
      </c>
      <c r="K292" s="1" t="str">
        <v>Not Run</v>
      </c>
      <c r="L292" s="1">
        <f>COUNTA(F292:K292)</f>
        <v>6</v>
      </c>
      <c r="M292" s="1">
        <f>COUNTIF(F292:K292,"Pass")</f>
        <v>0</v>
      </c>
      <c r="N292" s="1">
        <f>COUNTIF(F292:K292,"Fail")</f>
        <v>0</v>
      </c>
      <c r="O292" s="1" t="str">
        <f>IF(M292=0,"-",M292/L292)</f>
        <v>-</v>
      </c>
    </row>
    <row r="293">
      <c r="A293" s="1" t="str">
        <v>SC-012</v>
      </c>
      <c r="B293" s="1" t="str">
        <v>Service Call</v>
      </c>
      <c r="C293" s="1" t="str">
        <v>Technician Assignment</v>
      </c>
      <c r="D293" s="1" t="str">
        <v>Service Call without technician assignment is saved successfully</v>
      </c>
      <c r="E293" s="1" t="str">
        <v>Medium</v>
      </c>
      <c r="F293" s="1" t="str">
        <v>Not Run</v>
      </c>
      <c r="G293" s="1" t="str">
        <v>Not Run</v>
      </c>
      <c r="H293" s="1" t="str">
        <v>Not Run</v>
      </c>
      <c r="I293" s="1" t="str">
        <v>Not Run</v>
      </c>
      <c r="J293" s="1" t="str">
        <v>Not Run</v>
      </c>
      <c r="K293" s="1" t="str">
        <v>Not Run</v>
      </c>
      <c r="L293" s="1">
        <f>COUNTA(F293:K293)</f>
        <v>6</v>
      </c>
      <c r="M293" s="1">
        <f>COUNTIF(F293:K293,"Pass")</f>
        <v>0</v>
      </c>
      <c r="N293" s="1">
        <f>COUNTIF(F293:K293,"Fail")</f>
        <v>0</v>
      </c>
      <c r="O293" s="1" t="str">
        <f>IF(M293=0,"-",M293/L293)</f>
        <v>-</v>
      </c>
    </row>
    <row r="294">
      <c r="A294" s="1" t="str">
        <v>SC-013</v>
      </c>
      <c r="B294" s="1" t="str">
        <v>Service Call</v>
      </c>
      <c r="C294" s="1" t="str">
        <v>Technician Assignment</v>
      </c>
      <c r="D294" s="1" t="str">
        <v>Duplicate technician assignment is blocked</v>
      </c>
      <c r="E294" s="1" t="str">
        <v>Critical</v>
      </c>
      <c r="F294" s="1" t="str">
        <v>Not Run</v>
      </c>
      <c r="G294" s="1" t="str">
        <v>Not Run</v>
      </c>
      <c r="H294" s="1" t="str">
        <v>Not Run</v>
      </c>
      <c r="I294" s="1" t="str">
        <v>Not Run</v>
      </c>
      <c r="J294" s="1" t="str">
        <v>Not Run</v>
      </c>
      <c r="K294" s="1" t="str">
        <v>Not Run</v>
      </c>
      <c r="L294" s="1">
        <f>COUNTA(F294:K294)</f>
        <v>6</v>
      </c>
      <c r="M294" s="1">
        <f>COUNTIF(F294:K294,"Pass")</f>
        <v>0</v>
      </c>
      <c r="N294" s="1">
        <f>COUNTIF(F294:K294,"Fail")</f>
        <v>0</v>
      </c>
      <c r="O294" s="1" t="str">
        <f>IF(M294=0,"-",M294/L294)</f>
        <v>-</v>
      </c>
    </row>
    <row r="295">
      <c r="A295" s="1" t="str">
        <v>SC-014</v>
      </c>
      <c r="B295" s="1" t="str">
        <v>Service Call</v>
      </c>
      <c r="C295" s="1" t="str">
        <v>Priority &amp; Status Management</v>
      </c>
      <c r="D295" s="1" t="str">
        <v>Create High Priority Service Call</v>
      </c>
      <c r="E295" s="1" t="str">
        <v>High</v>
      </c>
      <c r="F295" s="1" t="str">
        <v>Not Run</v>
      </c>
      <c r="G295" s="1" t="str">
        <v>Not Run</v>
      </c>
      <c r="H295" s="1" t="str">
        <v>Not Run</v>
      </c>
      <c r="I295" s="1" t="str">
        <v>Not Run</v>
      </c>
      <c r="J295" s="1" t="str">
        <v>Not Run</v>
      </c>
      <c r="K295" s="1" t="str">
        <v>Not Run</v>
      </c>
      <c r="L295" s="1">
        <f>COUNTA(F295:K295)</f>
        <v>6</v>
      </c>
      <c r="M295" s="1">
        <f>COUNTIF(F295:K295,"Pass")</f>
        <v>0</v>
      </c>
      <c r="N295" s="1">
        <f>COUNTIF(F295:K295,"Fail")</f>
        <v>0</v>
      </c>
      <c r="O295" s="1" t="str">
        <f>IF(M295=0,"-",M295/L295)</f>
        <v>-</v>
      </c>
    </row>
    <row r="296">
      <c r="A296" s="1" t="str">
        <v>SC-015</v>
      </c>
      <c r="B296" s="1" t="str">
        <v>Service Call</v>
      </c>
      <c r="C296" s="1" t="str">
        <v>Priority &amp; Status Management</v>
      </c>
      <c r="D296" s="1" t="str">
        <v>Create Low Priority Service Call</v>
      </c>
      <c r="E296" s="1" t="str">
        <v>Medium</v>
      </c>
      <c r="F296" s="1" t="str">
        <v>Not Run</v>
      </c>
      <c r="G296" s="1" t="str">
        <v>Not Run</v>
      </c>
      <c r="H296" s="1" t="str">
        <v>Not Run</v>
      </c>
      <c r="I296" s="1" t="str">
        <v>Not Run</v>
      </c>
      <c r="J296" s="1" t="str">
        <v>Not Run</v>
      </c>
      <c r="K296" s="1" t="str">
        <v>Not Run</v>
      </c>
      <c r="L296" s="1">
        <f>COUNTA(F296:K296)</f>
        <v>6</v>
      </c>
      <c r="M296" s="1">
        <f>COUNTIF(F296:K296,"Pass")</f>
        <v>0</v>
      </c>
      <c r="N296" s="1">
        <f>COUNTIF(F296:K296,"Fail")</f>
        <v>0</v>
      </c>
      <c r="O296" s="1" t="str">
        <f>IF(M296=0,"-",M296/L296)</f>
        <v>-</v>
      </c>
    </row>
    <row r="297">
      <c r="A297" s="1" t="str">
        <v>SC-016</v>
      </c>
      <c r="B297" s="1" t="str">
        <v>Service Call</v>
      </c>
      <c r="C297" s="1" t="str">
        <v>Priority &amp; Status Management</v>
      </c>
      <c r="D297" s="1" t="str">
        <v>Status transitions from Draft to Assigned to In Progress</v>
      </c>
      <c r="E297" s="1" t="str">
        <v>Critical</v>
      </c>
      <c r="F297" s="1" t="str">
        <v>Not Run</v>
      </c>
      <c r="G297" s="1" t="str">
        <v>Not Run</v>
      </c>
      <c r="H297" s="1" t="str">
        <v>Not Run</v>
      </c>
      <c r="I297" s="1" t="str">
        <v>Not Run</v>
      </c>
      <c r="J297" s="1" t="str">
        <v>Not Run</v>
      </c>
      <c r="K297" s="1" t="str">
        <v>Not Run</v>
      </c>
      <c r="L297" s="1">
        <f>COUNTA(F297:K297)</f>
        <v>6</v>
      </c>
      <c r="M297" s="1">
        <f>COUNTIF(F297:K297,"Pass")</f>
        <v>0</v>
      </c>
      <c r="N297" s="1">
        <f>COUNTIF(F297:K297,"Fail")</f>
        <v>0</v>
      </c>
      <c r="O297" s="1" t="str">
        <f>IF(M297=0,"-",M297/L297)</f>
        <v>-</v>
      </c>
    </row>
    <row r="298">
      <c r="A298" s="1" t="str">
        <v>SC-017</v>
      </c>
      <c r="B298" s="1" t="str">
        <v>Service Call</v>
      </c>
      <c r="C298" s="1" t="str">
        <v>Priority &amp; Status Management</v>
      </c>
      <c r="D298" s="1" t="str">
        <v>Status transitions from In Progress to Completed</v>
      </c>
      <c r="E298" s="1" t="str">
        <v>Critical</v>
      </c>
      <c r="F298" s="1" t="str">
        <v>Not Run</v>
      </c>
      <c r="G298" s="1" t="str">
        <v>Not Run</v>
      </c>
      <c r="H298" s="1" t="str">
        <v>Not Run</v>
      </c>
      <c r="I298" s="1" t="str">
        <v>Not Run</v>
      </c>
      <c r="J298" s="1" t="str">
        <v>Not Run</v>
      </c>
      <c r="K298" s="1" t="str">
        <v>Not Run</v>
      </c>
      <c r="L298" s="1">
        <f>COUNTA(F298:K298)</f>
        <v>6</v>
      </c>
      <c r="M298" s="1">
        <f>COUNTIF(F298:K298,"Pass")</f>
        <v>0</v>
      </c>
      <c r="N298" s="1">
        <f>COUNTIF(F298:K298,"Fail")</f>
        <v>0</v>
      </c>
      <c r="O298" s="1" t="str">
        <f>IF(M298=0,"-",M298/L298)</f>
        <v>-</v>
      </c>
    </row>
    <row r="299">
      <c r="A299" s="1" t="str">
        <v>SC-018</v>
      </c>
      <c r="B299" s="1" t="str">
        <v>Service Call</v>
      </c>
      <c r="C299" s="1" t="str">
        <v>Priority &amp; Status Management</v>
      </c>
      <c r="D299" s="1" t="str">
        <v>Invalid status transition is rejected with error message</v>
      </c>
      <c r="E299" s="1" t="str">
        <v>Critical</v>
      </c>
      <c r="F299" s="1" t="str">
        <v>Not Run</v>
      </c>
      <c r="G299" s="1" t="str">
        <v>Not Run</v>
      </c>
      <c r="H299" s="1" t="str">
        <v>Not Run</v>
      </c>
      <c r="I299" s="1" t="str">
        <v>Not Run</v>
      </c>
      <c r="J299" s="1" t="str">
        <v>Not Run</v>
      </c>
      <c r="K299" s="1" t="str">
        <v>Not Run</v>
      </c>
      <c r="L299" s="1">
        <f>COUNTA(F299:K299)</f>
        <v>6</v>
      </c>
      <c r="M299" s="1">
        <f>COUNTIF(F299:K299,"Pass")</f>
        <v>0</v>
      </c>
      <c r="N299" s="1">
        <f>COUNTIF(F299:K299,"Fail")</f>
        <v>0</v>
      </c>
      <c r="O299" s="1" t="str">
        <f>IF(M299=0,"-",M299/L299)</f>
        <v>-</v>
      </c>
    </row>
    <row r="300">
      <c r="A300" s="1" t="str">
        <v>SC-019</v>
      </c>
      <c r="B300" s="1" t="str">
        <v>Service Call</v>
      </c>
      <c r="C300" s="1" t="str">
        <v>Service Date &amp; Time</v>
      </c>
      <c r="D300" s="1" t="str">
        <v>Schedule Service Call with valid date &amp; time</v>
      </c>
      <c r="E300" s="1" t="str">
        <v>Critical</v>
      </c>
      <c r="F300" s="1" t="str">
        <v>Not Run</v>
      </c>
      <c r="G300" s="1" t="str">
        <v>Not Run</v>
      </c>
      <c r="H300" s="1" t="str">
        <v>Not Run</v>
      </c>
      <c r="I300" s="1" t="str">
        <v>Not Run</v>
      </c>
      <c r="J300" s="1" t="str">
        <v>Not Run</v>
      </c>
      <c r="K300" s="1" t="str">
        <v>Not Run</v>
      </c>
      <c r="L300" s="1">
        <f>COUNTA(F300:K300)</f>
        <v>6</v>
      </c>
      <c r="M300" s="1">
        <f>COUNTIF(F300:K300,"Pass")</f>
        <v>0</v>
      </c>
      <c r="N300" s="1">
        <f>COUNTIF(F300:K300,"Fail")</f>
        <v>0</v>
      </c>
      <c r="O300" s="1" t="str">
        <f>IF(M300=0,"-",M300/L300)</f>
        <v>-</v>
      </c>
    </row>
    <row r="301">
      <c r="A301" s="1" t="str">
        <v>SC-020</v>
      </c>
      <c r="B301" s="1" t="str">
        <v>Service Call</v>
      </c>
      <c r="C301" s="1" t="str">
        <v>Service Date &amp; Time</v>
      </c>
      <c r="D301" s="1" t="str">
        <v>Service date in past is rejected</v>
      </c>
      <c r="E301" s="1" t="str">
        <v>Critical</v>
      </c>
      <c r="F301" s="1" t="str">
        <v>Not Run</v>
      </c>
      <c r="G301" s="1" t="str">
        <v>Not Run</v>
      </c>
      <c r="H301" s="1" t="str">
        <v>Not Run</v>
      </c>
      <c r="I301" s="1" t="str">
        <v>Not Run</v>
      </c>
      <c r="J301" s="1" t="str">
        <v>Not Run</v>
      </c>
      <c r="K301" s="1" t="str">
        <v>Not Run</v>
      </c>
      <c r="L301" s="1">
        <f>COUNTA(F301:K301)</f>
        <v>6</v>
      </c>
      <c r="M301" s="1">
        <f>COUNTIF(F301:K301,"Pass")</f>
        <v>0</v>
      </c>
      <c r="N301" s="1">
        <f>COUNTIF(F301:K301,"Fail")</f>
        <v>0</v>
      </c>
      <c r="O301" s="1" t="str">
        <f>IF(M301=0,"-",M301/L301)</f>
        <v>-</v>
      </c>
    </row>
    <row r="302">
      <c r="A302" s="1" t="str">
        <v>SC-021</v>
      </c>
      <c r="B302" s="1" t="str">
        <v>Service Call</v>
      </c>
      <c r="C302" s="1" t="str">
        <v>Service Date &amp; Time</v>
      </c>
      <c r="D302" s="1" t="str">
        <v>Service date cannot be left blank</v>
      </c>
      <c r="E302" s="1" t="str">
        <v>Critical</v>
      </c>
      <c r="F302" s="1" t="str">
        <v>Not Run</v>
      </c>
      <c r="G302" s="1" t="str">
        <v>Not Run</v>
      </c>
      <c r="H302" s="1" t="str">
        <v>Not Run</v>
      </c>
      <c r="I302" s="1" t="str">
        <v>Not Run</v>
      </c>
      <c r="J302" s="1" t="str">
        <v>Not Run</v>
      </c>
      <c r="K302" s="1" t="str">
        <v>Not Run</v>
      </c>
      <c r="L302" s="1">
        <f>COUNTA(F302:K302)</f>
        <v>6</v>
      </c>
      <c r="M302" s="1">
        <f>COUNTIF(F302:K302,"Pass")</f>
        <v>0</v>
      </c>
      <c r="N302" s="1">
        <f>COUNTIF(F302:K302,"Fail")</f>
        <v>0</v>
      </c>
      <c r="O302" s="1" t="str">
        <f>IF(M302=0,"-",M302/L302)</f>
        <v>-</v>
      </c>
    </row>
    <row r="303">
      <c r="A303" s="1" t="str">
        <v>SC-022</v>
      </c>
      <c r="B303" s="1" t="str">
        <v>Service Call</v>
      </c>
      <c r="C303" s="1" t="str">
        <v>Service Date &amp; Time</v>
      </c>
      <c r="D303" s="1" t="str">
        <v>Service start time and end time are recorded correctly</v>
      </c>
      <c r="E303" s="1" t="str">
        <v>High</v>
      </c>
      <c r="F303" s="1" t="str">
        <v>Not Run</v>
      </c>
      <c r="G303" s="1" t="str">
        <v>Not Run</v>
      </c>
      <c r="H303" s="1" t="str">
        <v>Not Run</v>
      </c>
      <c r="I303" s="1" t="str">
        <v>Not Run</v>
      </c>
      <c r="J303" s="1" t="str">
        <v>Not Run</v>
      </c>
      <c r="K303" s="1" t="str">
        <v>Not Run</v>
      </c>
      <c r="L303" s="1">
        <f>COUNTA(F303:K303)</f>
        <v>6</v>
      </c>
      <c r="M303" s="1">
        <f>COUNTIF(F303:K303,"Pass")</f>
        <v>0</v>
      </c>
      <c r="N303" s="1">
        <f>COUNTIF(F303:K303,"Fail")</f>
        <v>0</v>
      </c>
      <c r="O303" s="1" t="str">
        <f>IF(M303=0,"-",M303/L303)</f>
        <v>-</v>
      </c>
    </row>
    <row r="304">
      <c r="A304" s="1" t="str">
        <v>SC-023</v>
      </c>
      <c r="B304" s="1" t="str">
        <v>Service Call</v>
      </c>
      <c r="C304" s="1" t="str">
        <v>Service Items &amp; Inventory</v>
      </c>
      <c r="D304" s="1" t="str">
        <v>Add single Service Item to Service Call</v>
      </c>
      <c r="E304" s="1" t="str">
        <v>Critical</v>
      </c>
      <c r="F304" s="1" t="str">
        <v>Not Run</v>
      </c>
      <c r="G304" s="1" t="str">
        <v>Not Run</v>
      </c>
      <c r="H304" s="1" t="str">
        <v>Not Run</v>
      </c>
      <c r="I304" s="1" t="str">
        <v>Not Run</v>
      </c>
      <c r="J304" s="1" t="str">
        <v>Not Run</v>
      </c>
      <c r="K304" s="1" t="str">
        <v>Not Run</v>
      </c>
      <c r="L304" s="1">
        <f>COUNTA(F304:K304)</f>
        <v>6</v>
      </c>
      <c r="M304" s="1">
        <f>COUNTIF(F304:K304,"Pass")</f>
        <v>0</v>
      </c>
      <c r="N304" s="1">
        <f>COUNTIF(F304:K304,"Fail")</f>
        <v>0</v>
      </c>
      <c r="O304" s="1" t="str">
        <f>IF(M304=0,"-",M304/L304)</f>
        <v>-</v>
      </c>
    </row>
    <row r="305">
      <c r="A305" s="1" t="str">
        <v>SC-024</v>
      </c>
      <c r="B305" s="1" t="str">
        <v>Service Call</v>
      </c>
      <c r="C305" s="1" t="str">
        <v>Service Items &amp; Inventory</v>
      </c>
      <c r="D305" s="1" t="str">
        <v>Add multiple Service Items to same Service Call</v>
      </c>
      <c r="E305" s="1" t="str">
        <v>High</v>
      </c>
      <c r="F305" s="1" t="str">
        <v>Not Run</v>
      </c>
      <c r="G305" s="1" t="str">
        <v>Not Run</v>
      </c>
      <c r="H305" s="1" t="str">
        <v>Not Run</v>
      </c>
      <c r="I305" s="1" t="str">
        <v>Not Run</v>
      </c>
      <c r="J305" s="1" t="str">
        <v>Not Run</v>
      </c>
      <c r="K305" s="1" t="str">
        <v>Not Run</v>
      </c>
      <c r="L305" s="1">
        <f>COUNTA(F305:K305)</f>
        <v>6</v>
      </c>
      <c r="M305" s="1">
        <f>COUNTIF(F305:K305,"Pass")</f>
        <v>0</v>
      </c>
      <c r="N305" s="1">
        <f>COUNTIF(F305:K305,"Fail")</f>
        <v>0</v>
      </c>
      <c r="O305" s="1" t="str">
        <f>IF(M305=0,"-",M305/L305)</f>
        <v>-</v>
      </c>
    </row>
    <row r="306">
      <c r="A306" s="1" t="str">
        <v>SC-025</v>
      </c>
      <c r="B306" s="1" t="str">
        <v>Service Call</v>
      </c>
      <c r="C306" s="1" t="str">
        <v>Service Items &amp; Inventory</v>
      </c>
      <c r="D306" s="1" t="str">
        <v>Delete Service Item row from Service Call</v>
      </c>
      <c r="E306" s="1" t="str">
        <v>Medium</v>
      </c>
      <c r="F306" s="1" t="str">
        <v>Not Run</v>
      </c>
      <c r="G306" s="1" t="str">
        <v>Not Run</v>
      </c>
      <c r="H306" s="1" t="str">
        <v>Not Run</v>
      </c>
      <c r="I306" s="1" t="str">
        <v>Not Run</v>
      </c>
      <c r="J306" s="1" t="str">
        <v>Not Run</v>
      </c>
      <c r="K306" s="1" t="str">
        <v>Not Run</v>
      </c>
      <c r="L306" s="1">
        <f>COUNTA(F306:K306)</f>
        <v>6</v>
      </c>
      <c r="M306" s="1">
        <f>COUNTIF(F306:K306,"Pass")</f>
        <v>0</v>
      </c>
      <c r="N306" s="1">
        <f>COUNTIF(F306:K306,"Fail")</f>
        <v>0</v>
      </c>
      <c r="O306" s="1" t="str">
        <f>IF(M306=0,"-",M306/L306)</f>
        <v>-</v>
      </c>
    </row>
    <row r="307">
      <c r="A307" s="1" t="str">
        <v>SC-026</v>
      </c>
      <c r="B307" s="1" t="str">
        <v>Service Call</v>
      </c>
      <c r="C307" s="1" t="str">
        <v>Service Items &amp; Inventory</v>
      </c>
      <c r="D307" s="1" t="str">
        <v>Service Item quantity can be updated</v>
      </c>
      <c r="E307" s="1" t="str">
        <v>High</v>
      </c>
      <c r="F307" s="1" t="str">
        <v>Not Run</v>
      </c>
      <c r="G307" s="1" t="str">
        <v>Not Run</v>
      </c>
      <c r="H307" s="1" t="str">
        <v>Not Run</v>
      </c>
      <c r="I307" s="1" t="str">
        <v>Not Run</v>
      </c>
      <c r="J307" s="1" t="str">
        <v>Not Run</v>
      </c>
      <c r="K307" s="1" t="str">
        <v>Not Run</v>
      </c>
      <c r="L307" s="1">
        <f>COUNTA(F307:K307)</f>
        <v>6</v>
      </c>
      <c r="M307" s="1">
        <f>COUNTIF(F307:K307,"Pass")</f>
        <v>0</v>
      </c>
      <c r="N307" s="1">
        <f>COUNTIF(F307:K307,"Fail")</f>
        <v>0</v>
      </c>
      <c r="O307" s="1" t="str">
        <f>IF(M307=0,"-",M307/L307)</f>
        <v>-</v>
      </c>
    </row>
    <row r="308">
      <c r="A308" s="1" t="str">
        <v>SC-027</v>
      </c>
      <c r="B308" s="1" t="str">
        <v>Service Call</v>
      </c>
      <c r="C308" s="1" t="str">
        <v>Service Items &amp; Inventory</v>
      </c>
      <c r="D308" s="1" t="str">
        <v>Out-of-stock Service Item is flagged with warning</v>
      </c>
      <c r="E308" s="1" t="str">
        <v>Critical</v>
      </c>
      <c r="F308" s="1" t="str">
        <v>Not Run</v>
      </c>
      <c r="G308" s="1" t="str">
        <v>Not Run</v>
      </c>
      <c r="H308" s="1" t="str">
        <v>Not Run</v>
      </c>
      <c r="I308" s="1" t="str">
        <v>Not Run</v>
      </c>
      <c r="J308" s="1" t="str">
        <v>Not Run</v>
      </c>
      <c r="K308" s="1" t="str">
        <v>Not Run</v>
      </c>
      <c r="L308" s="1">
        <f>COUNTA(F308:K308)</f>
        <v>6</v>
      </c>
      <c r="M308" s="1">
        <f>COUNTIF(F308:K308,"Pass")</f>
        <v>0</v>
      </c>
      <c r="N308" s="1">
        <f>COUNTIF(F308:K308,"Fail")</f>
        <v>0</v>
      </c>
      <c r="O308" s="1" t="str">
        <f>IF(M308=0,"-",M308/L308)</f>
        <v>-</v>
      </c>
    </row>
    <row r="309">
      <c r="A309" s="1" t="str">
        <v>SC-028</v>
      </c>
      <c r="B309" s="1" t="str">
        <v>Service Call</v>
      </c>
      <c r="C309" s="1" t="str">
        <v>Billing &amp; Cost Calculation</v>
      </c>
      <c r="D309" s="1" t="str">
        <v>Service Call total cost is calculated correctly</v>
      </c>
      <c r="E309" s="1" t="str">
        <v>Critical</v>
      </c>
      <c r="F309" s="1" t="str">
        <v>Not Run</v>
      </c>
      <c r="G309" s="1" t="str">
        <v>Not Run</v>
      </c>
      <c r="H309" s="1" t="str">
        <v>Not Run</v>
      </c>
      <c r="I309" s="1" t="str">
        <v>Not Run</v>
      </c>
      <c r="J309" s="1" t="str">
        <v>Not Run</v>
      </c>
      <c r="K309" s="1" t="str">
        <v>Not Run</v>
      </c>
      <c r="L309" s="1">
        <f>COUNTA(F309:K309)</f>
        <v>6</v>
      </c>
      <c r="M309" s="1">
        <f>COUNTIF(F309:K309,"Pass")</f>
        <v>0</v>
      </c>
      <c r="N309" s="1">
        <f>COUNTIF(F309:K309,"Fail")</f>
        <v>0</v>
      </c>
      <c r="O309" s="1" t="str">
        <f>IF(M309=0,"-",M309/L309)</f>
        <v>-</v>
      </c>
    </row>
    <row r="310">
      <c r="A310" s="1" t="str">
        <v>SC-029</v>
      </c>
      <c r="B310" s="1" t="str">
        <v>Service Call</v>
      </c>
      <c r="C310" s="1" t="str">
        <v>Billing &amp; Cost Calculation</v>
      </c>
      <c r="D310" s="1" t="str">
        <v>Discount applied to Service Call reduces total cost</v>
      </c>
      <c r="E310" s="1" t="str">
        <v>High</v>
      </c>
      <c r="F310" s="1" t="str">
        <v>Not Run</v>
      </c>
      <c r="G310" s="1" t="str">
        <v>Not Run</v>
      </c>
      <c r="H310" s="1" t="str">
        <v>Not Run</v>
      </c>
      <c r="I310" s="1" t="str">
        <v>Not Run</v>
      </c>
      <c r="J310" s="1" t="str">
        <v>Not Run</v>
      </c>
      <c r="K310" s="1" t="str">
        <v>Not Run</v>
      </c>
      <c r="L310" s="1">
        <f>COUNTA(F310:K310)</f>
        <v>6</v>
      </c>
      <c r="M310" s="1">
        <f>COUNTIF(F310:K310,"Pass")</f>
        <v>0</v>
      </c>
      <c r="N310" s="1">
        <f>COUNTIF(F310:K310,"Fail")</f>
        <v>0</v>
      </c>
      <c r="O310" s="1" t="str">
        <f>IF(M310=0,"-",M310/L310)</f>
        <v>-</v>
      </c>
    </row>
    <row r="311">
      <c r="A311" s="1" t="str">
        <v>SC-030</v>
      </c>
      <c r="B311" s="1" t="str">
        <v>Service Call</v>
      </c>
      <c r="C311" s="1" t="str">
        <v>Billing &amp; Cost Calculation</v>
      </c>
      <c r="D311" s="1" t="str">
        <v>Additional charges increase Service Call total cost</v>
      </c>
      <c r="E311" s="1" t="str">
        <v>High</v>
      </c>
      <c r="F311" s="1" t="str">
        <v>Not Run</v>
      </c>
      <c r="G311" s="1" t="str">
        <v>Not Run</v>
      </c>
      <c r="H311" s="1" t="str">
        <v>Not Run</v>
      </c>
      <c r="I311" s="1" t="str">
        <v>Not Run</v>
      </c>
      <c r="J311" s="1" t="str">
        <v>Not Run</v>
      </c>
      <c r="K311" s="1" t="str">
        <v>Not Run</v>
      </c>
      <c r="L311" s="1">
        <f>COUNTA(F311:K311)</f>
        <v>6</v>
      </c>
      <c r="M311" s="1">
        <f>COUNTIF(F311:K311,"Pass")</f>
        <v>0</v>
      </c>
      <c r="N311" s="1">
        <f>COUNTIF(F311:K311,"Fail")</f>
        <v>0</v>
      </c>
      <c r="O311" s="1" t="str">
        <f>IF(M311=0,"-",M311/L311)</f>
        <v>-</v>
      </c>
    </row>
    <row r="312">
      <c r="A312" s="1" t="str">
        <v>SC-031</v>
      </c>
      <c r="B312" s="1" t="str">
        <v>Service Call</v>
      </c>
      <c r="C312" s="1" t="str">
        <v>Billing &amp; Cost Calculation</v>
      </c>
      <c r="D312" s="1" t="str">
        <v>Billable flag determines invoice eligibility</v>
      </c>
      <c r="E312" s="1" t="str">
        <v>Critical</v>
      </c>
      <c r="F312" s="1" t="str">
        <v>Not Run</v>
      </c>
      <c r="G312" s="1" t="str">
        <v>Not Run</v>
      </c>
      <c r="H312" s="1" t="str">
        <v>Not Run</v>
      </c>
      <c r="I312" s="1" t="str">
        <v>Not Run</v>
      </c>
      <c r="J312" s="1" t="str">
        <v>Not Run</v>
      </c>
      <c r="K312" s="1" t="str">
        <v>Not Run</v>
      </c>
      <c r="L312" s="1">
        <f>COUNTA(F312:K312)</f>
        <v>6</v>
      </c>
      <c r="M312" s="1">
        <f>COUNTIF(F312:K312,"Pass")</f>
        <v>0</v>
      </c>
      <c r="N312" s="1">
        <f>COUNTIF(F312:K312,"Fail")</f>
        <v>0</v>
      </c>
      <c r="O312" s="1" t="str">
        <f>IF(M312=0,"-",M312/L312)</f>
        <v>-</v>
      </c>
    </row>
    <row r="313">
      <c r="A313" s="1" t="str">
        <v>SC-032</v>
      </c>
      <c r="B313" s="1" t="str">
        <v>Service Call</v>
      </c>
      <c r="C313" s="1" t="str">
        <v>SLA &amp; Warranty</v>
      </c>
      <c r="D313" s="1" t="str">
        <v>Service Call within warranty period is marked correctly</v>
      </c>
      <c r="E313" s="1" t="str">
        <v>Critical</v>
      </c>
      <c r="F313" s="1" t="str">
        <v>Not Run</v>
      </c>
      <c r="G313" s="1" t="str">
        <v>Not Run</v>
      </c>
      <c r="H313" s="1" t="str">
        <v>Not Run</v>
      </c>
      <c r="I313" s="1" t="str">
        <v>Not Run</v>
      </c>
      <c r="J313" s="1" t="str">
        <v>Not Run</v>
      </c>
      <c r="K313" s="1" t="str">
        <v>Not Run</v>
      </c>
      <c r="L313" s="1">
        <f>COUNTA(F313:K313)</f>
        <v>6</v>
      </c>
      <c r="M313" s="1">
        <f>COUNTIF(F313:K313,"Pass")</f>
        <v>0</v>
      </c>
      <c r="N313" s="1">
        <f>COUNTIF(F313:K313,"Fail")</f>
        <v>0</v>
      </c>
      <c r="O313" s="1" t="str">
        <f>IF(M313=0,"-",M313/L313)</f>
        <v>-</v>
      </c>
    </row>
    <row r="314">
      <c r="A314" s="1" t="str">
        <v>SC-033</v>
      </c>
      <c r="B314" s="1" t="str">
        <v>Service Call</v>
      </c>
      <c r="C314" s="1" t="str">
        <v>SLA &amp; Warranty</v>
      </c>
      <c r="D314" s="1" t="str">
        <v>Service Call outside warranty period is marked correctly</v>
      </c>
      <c r="E314" s="1" t="str">
        <v>Critical</v>
      </c>
      <c r="F314" s="1" t="str">
        <v>Not Run</v>
      </c>
      <c r="G314" s="1" t="str">
        <v>Not Run</v>
      </c>
      <c r="H314" s="1" t="str">
        <v>Not Run</v>
      </c>
      <c r="I314" s="1" t="str">
        <v>Not Run</v>
      </c>
      <c r="J314" s="1" t="str">
        <v>Not Run</v>
      </c>
      <c r="K314" s="1" t="str">
        <v>Not Run</v>
      </c>
      <c r="L314" s="1">
        <f>COUNTA(F314:K314)</f>
        <v>6</v>
      </c>
      <c r="M314" s="1">
        <f>COUNTIF(F314:K314,"Pass")</f>
        <v>0</v>
      </c>
      <c r="N314" s="1">
        <f>COUNTIF(F314:K314,"Fail")</f>
        <v>0</v>
      </c>
      <c r="O314" s="1" t="str">
        <f>IF(M314=0,"-",M314/L314)</f>
        <v>-</v>
      </c>
    </row>
    <row r="315">
      <c r="A315" s="1" t="str">
        <v>SC-034</v>
      </c>
      <c r="B315" s="1" t="str">
        <v>Service Call</v>
      </c>
      <c r="C315" s="1" t="str">
        <v>SLA &amp; Warranty</v>
      </c>
      <c r="D315" s="1" t="str">
        <v>SLA response time is tracked and validated</v>
      </c>
      <c r="E315" s="1" t="str">
        <v>Critical</v>
      </c>
      <c r="F315" s="1" t="str">
        <v>Not Run</v>
      </c>
      <c r="G315" s="1" t="str">
        <v>Not Run</v>
      </c>
      <c r="H315" s="1" t="str">
        <v>Not Run</v>
      </c>
      <c r="I315" s="1" t="str">
        <v>Not Run</v>
      </c>
      <c r="J315" s="1" t="str">
        <v>Not Run</v>
      </c>
      <c r="K315" s="1" t="str">
        <v>Not Run</v>
      </c>
      <c r="L315" s="1">
        <f>COUNTA(F315:K315)</f>
        <v>6</v>
      </c>
      <c r="M315" s="1">
        <f>COUNTIF(F315:K315,"Pass")</f>
        <v>0</v>
      </c>
      <c r="N315" s="1">
        <f>COUNTIF(F315:K315,"Fail")</f>
        <v>0</v>
      </c>
      <c r="O315" s="1" t="str">
        <f>IF(M315=0,"-",M315/L315)</f>
        <v>-</v>
      </c>
    </row>
    <row r="316">
      <c r="A316" s="1" t="str">
        <v>SC-035</v>
      </c>
      <c r="B316" s="1" t="str">
        <v>Service Call</v>
      </c>
      <c r="C316" s="1" t="str">
        <v>Documentation</v>
      </c>
      <c r="D316" s="1" t="str">
        <v>Attach document (image/PDF) to Service Call</v>
      </c>
      <c r="E316" s="1" t="str">
        <v>High</v>
      </c>
      <c r="F316" s="1" t="str">
        <v>Not Run</v>
      </c>
      <c r="G316" s="1" t="str">
        <v>Not Run</v>
      </c>
      <c r="H316" s="1" t="str">
        <v>Not Run</v>
      </c>
      <c r="I316" s="1" t="str">
        <v>Not Run</v>
      </c>
      <c r="J316" s="1" t="str">
        <v>Not Run</v>
      </c>
      <c r="K316" s="1" t="str">
        <v>Not Run</v>
      </c>
      <c r="L316" s="1">
        <f>COUNTA(F316:K316)</f>
        <v>6</v>
      </c>
      <c r="M316" s="1">
        <f>COUNTIF(F316:K316,"Pass")</f>
        <v>0</v>
      </c>
      <c r="N316" s="1">
        <f>COUNTIF(F316:K316,"Fail")</f>
        <v>0</v>
      </c>
      <c r="O316" s="1" t="str">
        <f>IF(M316=0,"-",M316/L316)</f>
        <v>-</v>
      </c>
    </row>
    <row r="317">
      <c r="A317" s="1" t="str">
        <v>SC-036</v>
      </c>
      <c r="B317" s="1" t="str">
        <v>Service Call</v>
      </c>
      <c r="C317" s="1" t="str">
        <v>Documentation</v>
      </c>
      <c r="D317" s="1" t="str">
        <v>Add internal notes to Service Call</v>
      </c>
      <c r="E317" s="1" t="str">
        <v>High</v>
      </c>
      <c r="F317" s="1" t="str">
        <v>Not Run</v>
      </c>
      <c r="G317" s="1" t="str">
        <v>Not Run</v>
      </c>
      <c r="H317" s="1" t="str">
        <v>Not Run</v>
      </c>
      <c r="I317" s="1" t="str">
        <v>Not Run</v>
      </c>
      <c r="J317" s="1" t="str">
        <v>Not Run</v>
      </c>
      <c r="K317" s="1" t="str">
        <v>Not Run</v>
      </c>
      <c r="L317" s="1">
        <f>COUNTA(F317:K317)</f>
        <v>6</v>
      </c>
      <c r="M317" s="1">
        <f>COUNTIF(F317:K317,"Pass")</f>
        <v>0</v>
      </c>
      <c r="N317" s="1">
        <f>COUNTIF(F317:K317,"Fail")</f>
        <v>0</v>
      </c>
      <c r="O317" s="1" t="str">
        <f>IF(M317=0,"-",M317/L317)</f>
        <v>-</v>
      </c>
    </row>
    <row r="318">
      <c r="A318" s="1" t="str">
        <v>SC-037</v>
      </c>
      <c r="B318" s="1" t="str">
        <v>Service Call</v>
      </c>
      <c r="C318" s="1" t="str">
        <v>Documentation</v>
      </c>
      <c r="D318" s="1" t="str">
        <v>Add customer-visible remarks to Service Call</v>
      </c>
      <c r="E318" s="1" t="str">
        <v>High</v>
      </c>
      <c r="F318" s="1" t="str">
        <v>Not Run</v>
      </c>
      <c r="G318" s="1" t="str">
        <v>Not Run</v>
      </c>
      <c r="H318" s="1" t="str">
        <v>Not Run</v>
      </c>
      <c r="I318" s="1" t="str">
        <v>Not Run</v>
      </c>
      <c r="J318" s="1" t="str">
        <v>Not Run</v>
      </c>
      <c r="K318" s="1" t="str">
        <v>Not Run</v>
      </c>
      <c r="L318" s="1">
        <f>COUNTA(F318:K318)</f>
        <v>6</v>
      </c>
      <c r="M318" s="1">
        <f>COUNTIF(F318:K318,"Pass")</f>
        <v>0</v>
      </c>
      <c r="N318" s="1">
        <f>COUNTIF(F318:K318,"Fail")</f>
        <v>0</v>
      </c>
      <c r="O318" s="1" t="str">
        <f>IF(M318=0,"-",M318/L318)</f>
        <v>-</v>
      </c>
    </row>
    <row r="319">
      <c r="A319" s="1" t="str">
        <v>SC-038</v>
      </c>
      <c r="B319" s="1" t="str">
        <v>Service Call</v>
      </c>
      <c r="C319" s="1" t="str">
        <v>Documentation</v>
      </c>
      <c r="D319" s="1" t="str">
        <v>Delete attached document from Service Call</v>
      </c>
      <c r="E319" s="1" t="str">
        <v>Medium</v>
      </c>
      <c r="F319" s="1" t="str">
        <v>Not Run</v>
      </c>
      <c r="G319" s="1" t="str">
        <v>Not Run</v>
      </c>
      <c r="H319" s="1" t="str">
        <v>Not Run</v>
      </c>
      <c r="I319" s="1" t="str">
        <v>Not Run</v>
      </c>
      <c r="J319" s="1" t="str">
        <v>Not Run</v>
      </c>
      <c r="K319" s="1" t="str">
        <v>Not Run</v>
      </c>
      <c r="L319" s="1">
        <f>COUNTA(F319:K319)</f>
        <v>6</v>
      </c>
      <c r="M319" s="1">
        <f>COUNTIF(F319:K319,"Pass")</f>
        <v>0</v>
      </c>
      <c r="N319" s="1">
        <f>COUNTIF(F319:K319,"Fail")</f>
        <v>0</v>
      </c>
      <c r="O319" s="1" t="str">
        <f>IF(M319=0,"-",M319/L319)</f>
        <v>-</v>
      </c>
    </row>
    <row r="320">
      <c r="A320" s="1" t="str">
        <v>SC-039</v>
      </c>
      <c r="B320" s="1" t="str">
        <v>Service Call</v>
      </c>
      <c r="C320" s="1" t="str">
        <v>Data Validation</v>
      </c>
      <c r="D320" s="1" t="str">
        <v>Service Call with missing mandatory fields cannot be saved</v>
      </c>
      <c r="E320" s="1" t="str">
        <v>Critical</v>
      </c>
      <c r="F320" s="1" t="str">
        <v>Not Run</v>
      </c>
      <c r="G320" s="1" t="str">
        <v>Not Run</v>
      </c>
      <c r="H320" s="1" t="str">
        <v>Not Run</v>
      </c>
      <c r="I320" s="1" t="str">
        <v>Not Run</v>
      </c>
      <c r="J320" s="1" t="str">
        <v>Not Run</v>
      </c>
      <c r="K320" s="1" t="str">
        <v>Not Run</v>
      </c>
      <c r="L320" s="1">
        <f>COUNTA(F320:K320)</f>
        <v>6</v>
      </c>
      <c r="M320" s="1">
        <f>COUNTIF(F320:K320,"Pass")</f>
        <v>0</v>
      </c>
      <c r="N320" s="1">
        <f>COUNTIF(F320:K320,"Fail")</f>
        <v>0</v>
      </c>
      <c r="O320" s="1" t="str">
        <f>IF(M320=0,"-",M320/L320)</f>
        <v>-</v>
      </c>
    </row>
    <row r="321">
      <c r="A321" s="1" t="str">
        <v>SC-040</v>
      </c>
      <c r="B321" s="1" t="str">
        <v>Service Call</v>
      </c>
      <c r="C321" s="1" t="str">
        <v>Data Validation</v>
      </c>
      <c r="D321" s="1" t="str">
        <v>Invalid email format in contact field is rejected</v>
      </c>
      <c r="E321" s="1" t="str">
        <v>Critical</v>
      </c>
      <c r="F321" s="1" t="str">
        <v>Not Run</v>
      </c>
      <c r="G321" s="1" t="str">
        <v>Not Run</v>
      </c>
      <c r="H321" s="1" t="str">
        <v>Not Run</v>
      </c>
      <c r="I321" s="1" t="str">
        <v>Not Run</v>
      </c>
      <c r="J321" s="1" t="str">
        <v>Not Run</v>
      </c>
      <c r="K321" s="1" t="str">
        <v>Not Run</v>
      </c>
      <c r="L321" s="1">
        <f>COUNTA(F321:K321)</f>
        <v>6</v>
      </c>
      <c r="M321" s="1">
        <f>COUNTIF(F321:K321,"Pass")</f>
        <v>0</v>
      </c>
      <c r="N321" s="1">
        <f>COUNTIF(F321:K321,"Fail")</f>
        <v>0</v>
      </c>
      <c r="O321" s="1" t="str">
        <f>IF(M321=0,"-",M321/L321)</f>
        <v>-</v>
      </c>
    </row>
    <row r="322">
      <c r="A322" s="1" t="str">
        <v>SC-041</v>
      </c>
      <c r="B322" s="1" t="str">
        <v>Service Call</v>
      </c>
      <c r="C322" s="1" t="str">
        <v>Data Validation</v>
      </c>
      <c r="D322" s="1" t="str">
        <v>Invalid phone number format is rejected</v>
      </c>
      <c r="E322" s="1" t="str">
        <v>Critical</v>
      </c>
      <c r="F322" s="1" t="str">
        <v>Not Run</v>
      </c>
      <c r="G322" s="1" t="str">
        <v>Not Run</v>
      </c>
      <c r="H322" s="1" t="str">
        <v>Not Run</v>
      </c>
      <c r="I322" s="1" t="str">
        <v>Not Run</v>
      </c>
      <c r="J322" s="1" t="str">
        <v>Not Run</v>
      </c>
      <c r="K322" s="1" t="str">
        <v>Not Run</v>
      </c>
      <c r="L322" s="1">
        <f>COUNTA(F322:K322)</f>
        <v>6</v>
      </c>
      <c r="M322" s="1">
        <f>COUNTIF(F322:K322,"Pass")</f>
        <v>0</v>
      </c>
      <c r="N322" s="1">
        <f>COUNTIF(F322:K322,"Fail")</f>
        <v>0</v>
      </c>
      <c r="O322" s="1" t="str">
        <f>IF(M322=0,"-",M322/L322)</f>
        <v>-</v>
      </c>
    </row>
    <row r="323">
      <c r="A323" s="1" t="str">
        <v>SC-042</v>
      </c>
      <c r="B323" s="1" t="str">
        <v>Service Call</v>
      </c>
      <c r="C323" s="1" t="str">
        <v>Editing &amp; Updates</v>
      </c>
      <c r="D323" s="1" t="str">
        <v>Edit existing Service Call details</v>
      </c>
      <c r="E323" s="1" t="str">
        <v>High</v>
      </c>
      <c r="F323" s="1" t="str">
        <v>Not Run</v>
      </c>
      <c r="G323" s="1" t="str">
        <v>Not Run</v>
      </c>
      <c r="H323" s="1" t="str">
        <v>Not Run</v>
      </c>
      <c r="I323" s="1" t="str">
        <v>Not Run</v>
      </c>
      <c r="J323" s="1" t="str">
        <v>Not Run</v>
      </c>
      <c r="K323" s="1" t="str">
        <v>Not Run</v>
      </c>
      <c r="L323" s="1">
        <f>COUNTA(F323:K323)</f>
        <v>6</v>
      </c>
      <c r="M323" s="1">
        <f>COUNTIF(F323:K323,"Pass")</f>
        <v>0</v>
      </c>
      <c r="N323" s="1">
        <f>COUNTIF(F323:K323,"Fail")</f>
        <v>0</v>
      </c>
      <c r="O323" s="1" t="str">
        <f>IF(M323=0,"-",M323/L323)</f>
        <v>-</v>
      </c>
    </row>
    <row r="324">
      <c r="A324" s="1" t="str">
        <v>SC-043</v>
      </c>
      <c r="B324" s="1" t="str">
        <v>Service Call</v>
      </c>
      <c r="C324" s="1" t="str">
        <v>Editing &amp; Updates</v>
      </c>
      <c r="D324" s="1" t="str">
        <v>Edit Service Call after status change is restricted</v>
      </c>
      <c r="E324" s="1" t="str">
        <v>Critical</v>
      </c>
      <c r="F324" s="1" t="str">
        <v>Not Run</v>
      </c>
      <c r="G324" s="1" t="str">
        <v>Not Run</v>
      </c>
      <c r="H324" s="1" t="str">
        <v>Not Run</v>
      </c>
      <c r="I324" s="1" t="str">
        <v>Not Run</v>
      </c>
      <c r="J324" s="1" t="str">
        <v>Not Run</v>
      </c>
      <c r="K324" s="1" t="str">
        <v>Not Run</v>
      </c>
      <c r="L324" s="1">
        <f>COUNTA(F324:K324)</f>
        <v>6</v>
      </c>
      <c r="M324" s="1">
        <f>COUNTIF(F324:K324,"Pass")</f>
        <v>0</v>
      </c>
      <c r="N324" s="1">
        <f>COUNTIF(F324:K324,"Fail")</f>
        <v>0</v>
      </c>
      <c r="O324" s="1" t="str">
        <f>IF(M324=0,"-",M324/L324)</f>
        <v>-</v>
      </c>
    </row>
    <row r="325">
      <c r="A325" s="1" t="str">
        <v>SC-044</v>
      </c>
      <c r="B325" s="1" t="str">
        <v>Service Call</v>
      </c>
      <c r="C325" s="1" t="str">
        <v>Editing &amp; Updates</v>
      </c>
      <c r="D325" s="1" t="str">
        <v>Edit Service Call technician assignment after creation</v>
      </c>
      <c r="E325" s="1" t="str">
        <v>High</v>
      </c>
      <c r="F325" s="1" t="str">
        <v>Not Run</v>
      </c>
      <c r="G325" s="1" t="str">
        <v>Not Run</v>
      </c>
      <c r="H325" s="1" t="str">
        <v>Not Run</v>
      </c>
      <c r="I325" s="1" t="str">
        <v>Not Run</v>
      </c>
      <c r="J325" s="1" t="str">
        <v>Not Run</v>
      </c>
      <c r="K325" s="1" t="str">
        <v>Not Run</v>
      </c>
      <c r="L325" s="1">
        <f>COUNTA(F325:K325)</f>
        <v>6</v>
      </c>
      <c r="M325" s="1">
        <f>COUNTIF(F325:K325,"Pass")</f>
        <v>0</v>
      </c>
      <c r="N325" s="1">
        <f>COUNTIF(F325:K325,"Fail")</f>
        <v>0</v>
      </c>
      <c r="O325" s="1" t="str">
        <f>IF(M325=0,"-",M325/L325)</f>
        <v>-</v>
      </c>
    </row>
    <row r="326">
      <c r="A326" s="1" t="str">
        <v>SC-045</v>
      </c>
      <c r="B326" s="1" t="str">
        <v>Service Call</v>
      </c>
      <c r="C326" s="1" t="str">
        <v>Bulk Operations</v>
      </c>
      <c r="D326" s="1" t="str">
        <v>Duplicate existing Service Call</v>
      </c>
      <c r="E326" s="1" t="str">
        <v>High</v>
      </c>
      <c r="F326" s="1" t="str">
        <v>Not Run</v>
      </c>
      <c r="G326" s="1" t="str">
        <v>Not Run</v>
      </c>
      <c r="H326" s="1" t="str">
        <v>Not Run</v>
      </c>
      <c r="I326" s="1" t="str">
        <v>Not Run</v>
      </c>
      <c r="J326" s="1" t="str">
        <v>Not Run</v>
      </c>
      <c r="K326" s="1" t="str">
        <v>Not Run</v>
      </c>
      <c r="L326" s="1">
        <f>COUNTA(F326:K326)</f>
        <v>6</v>
      </c>
      <c r="M326" s="1">
        <f>COUNTIF(F326:K326,"Pass")</f>
        <v>0</v>
      </c>
      <c r="N326" s="1">
        <f>COUNTIF(F326:K326,"Fail")</f>
        <v>0</v>
      </c>
      <c r="O326" s="1" t="str">
        <f>IF(M326=0,"-",M326/L326)</f>
        <v>-</v>
      </c>
    </row>
    <row r="327">
      <c r="A327" s="1" t="str">
        <v>SC-046</v>
      </c>
      <c r="B327" s="1" t="str">
        <v>Service Call</v>
      </c>
      <c r="C327" s="1" t="str">
        <v>Bulk Operations</v>
      </c>
      <c r="D327" s="1" t="str">
        <v>Delete Service Call (permitted status only)</v>
      </c>
      <c r="E327" s="1" t="str">
        <v>Critical</v>
      </c>
      <c r="F327" s="1" t="str">
        <v>Not Run</v>
      </c>
      <c r="G327" s="1" t="str">
        <v>Not Run</v>
      </c>
      <c r="H327" s="1" t="str">
        <v>Not Run</v>
      </c>
      <c r="I327" s="1" t="str">
        <v>Not Run</v>
      </c>
      <c r="J327" s="1" t="str">
        <v>Not Run</v>
      </c>
      <c r="K327" s="1" t="str">
        <v>Not Run</v>
      </c>
      <c r="L327" s="1">
        <f>COUNTA(F327:K327)</f>
        <v>6</v>
      </c>
      <c r="M327" s="1">
        <f>COUNTIF(F327:K327,"Pass")</f>
        <v>0</v>
      </c>
      <c r="N327" s="1">
        <f>COUNTIF(F327:K327,"Fail")</f>
        <v>0</v>
      </c>
      <c r="O327" s="1" t="str">
        <f>IF(M327=0,"-",M327/L327)</f>
        <v>-</v>
      </c>
    </row>
    <row r="328">
      <c r="A328" s="1" t="str">
        <v>SC-047</v>
      </c>
      <c r="B328" s="1" t="str">
        <v>Service Call</v>
      </c>
      <c r="C328" s="1" t="str">
        <v>Bulk Operations</v>
      </c>
      <c r="D328" s="1" t="str">
        <v>Bulk update Service Call status</v>
      </c>
      <c r="E328" s="1" t="str">
        <v>High</v>
      </c>
      <c r="F328" s="1" t="str">
        <v>Not Run</v>
      </c>
      <c r="G328" s="1" t="str">
        <v>Not Run</v>
      </c>
      <c r="H328" s="1" t="str">
        <v>Not Run</v>
      </c>
      <c r="I328" s="1" t="str">
        <v>Not Run</v>
      </c>
      <c r="J328" s="1" t="str">
        <v>Not Run</v>
      </c>
      <c r="K328" s="1" t="str">
        <v>Not Run</v>
      </c>
      <c r="L328" s="1">
        <f>COUNTA(F328:K328)</f>
        <v>6</v>
      </c>
      <c r="M328" s="1">
        <f>COUNTIF(F328:K328,"Pass")</f>
        <v>0</v>
      </c>
      <c r="N328" s="1">
        <f>COUNTIF(F328:K328,"Fail")</f>
        <v>0</v>
      </c>
      <c r="O328" s="1" t="str">
        <f>IF(M328=0,"-",M328/L328)</f>
        <v>-</v>
      </c>
    </row>
    <row r="329">
      <c r="A329" s="1" t="str">
        <v>SC-048</v>
      </c>
      <c r="B329" s="1" t="str">
        <v>Service Call</v>
      </c>
      <c r="C329" s="1" t="str">
        <v>Permissions &amp; Access</v>
      </c>
      <c r="D329" s="1" t="str">
        <v>Technician views only assigned Service Calls</v>
      </c>
      <c r="E329" s="1" t="str">
        <v>Critical</v>
      </c>
      <c r="F329" s="1" t="str">
        <v>Not Run</v>
      </c>
      <c r="G329" s="1" t="str">
        <v>Not Run</v>
      </c>
      <c r="H329" s="1" t="str">
        <v>Not Run</v>
      </c>
      <c r="I329" s="1" t="str">
        <v>Not Run</v>
      </c>
      <c r="J329" s="1" t="str">
        <v>Not Run</v>
      </c>
      <c r="K329" s="1" t="str">
        <v>Not Run</v>
      </c>
      <c r="L329" s="1">
        <f>COUNTA(F329:K329)</f>
        <v>6</v>
      </c>
      <c r="M329" s="1">
        <f>COUNTIF(F329:K329,"Pass")</f>
        <v>0</v>
      </c>
      <c r="N329" s="1">
        <f>COUNTIF(F329:K329,"Fail")</f>
        <v>0</v>
      </c>
      <c r="O329" s="1" t="str">
        <f>IF(M329=0,"-",M329/L329)</f>
        <v>-</v>
      </c>
    </row>
    <row r="330">
      <c r="A330" s="1" t="str">
        <v>SC-049</v>
      </c>
      <c r="B330" s="1" t="str">
        <v>Service Call</v>
      </c>
      <c r="C330" s="1" t="str">
        <v>Permissions &amp; Access</v>
      </c>
      <c r="D330" s="1" t="str">
        <v>Customer views only their own Service Calls</v>
      </c>
      <c r="E330" s="1" t="str">
        <v>Critical</v>
      </c>
      <c r="F330" s="1" t="str">
        <v>Not Run</v>
      </c>
      <c r="G330" s="1" t="str">
        <v>Not Run</v>
      </c>
      <c r="H330" s="1" t="str">
        <v>Not Run</v>
      </c>
      <c r="I330" s="1" t="str">
        <v>Not Run</v>
      </c>
      <c r="J330" s="1" t="str">
        <v>Not Run</v>
      </c>
      <c r="K330" s="1" t="str">
        <v>Not Run</v>
      </c>
      <c r="L330" s="1">
        <f>COUNTA(F330:K330)</f>
        <v>6</v>
      </c>
      <c r="M330" s="1">
        <f>COUNTIF(F330:K330,"Pass")</f>
        <v>0</v>
      </c>
      <c r="N330" s="1">
        <f>COUNTIF(F330:K330,"Fail")</f>
        <v>0</v>
      </c>
      <c r="O330" s="1" t="str">
        <f>IF(M330=0,"-",M330/L330)</f>
        <v>-</v>
      </c>
    </row>
    <row r="331">
      <c r="A331" s="1" t="str">
        <v>SC-050</v>
      </c>
      <c r="B331" s="1" t="str">
        <v>Service Call</v>
      </c>
      <c r="C331" s="1" t="str">
        <v>Permissions &amp; Access</v>
      </c>
      <c r="D331" s="1" t="str">
        <v>Manager can approve/reject Service Calls</v>
      </c>
      <c r="E331" s="1" t="str">
        <v>Critical</v>
      </c>
      <c r="F331" s="1" t="str">
        <v>Not Run</v>
      </c>
      <c r="G331" s="1" t="str">
        <v>Not Run</v>
      </c>
      <c r="H331" s="1" t="str">
        <v>Not Run</v>
      </c>
      <c r="I331" s="1" t="str">
        <v>Not Run</v>
      </c>
      <c r="J331" s="1" t="str">
        <v>Not Run</v>
      </c>
      <c r="K331" s="1" t="str">
        <v>Not Run</v>
      </c>
      <c r="L331" s="1">
        <f>COUNTA(F331:K331)</f>
        <v>6</v>
      </c>
      <c r="M331" s="1">
        <f>COUNTIF(F331:K331,"Pass")</f>
        <v>0</v>
      </c>
      <c r="N331" s="1">
        <f>COUNTIF(F331:K331,"Fail")</f>
        <v>0</v>
      </c>
      <c r="O331" s="1" t="str">
        <f>IF(M331=0,"-",M331/L331)</f>
        <v>-</v>
      </c>
    </row>
  </sheetData>
  <mergeCells count="9">
    <mergeCell ref="A1:O1"/>
    <mergeCell ref="A2:O2"/>
    <mergeCell ref="A5:O5"/>
    <mergeCell ref="A27:O27"/>
    <mergeCell ref="A60:O60"/>
    <mergeCell ref="A101:O101"/>
    <mergeCell ref="A154:O154"/>
    <mergeCell ref="A215:O215"/>
    <mergeCell ref="A281:O281"/>
  </mergeCells>
  <pageMargins left="0.75" right="0.75" top="1" bottom="1" header="0.511811023622047" footer="0.511811023622047"/>
  <ignoredErrors>
    <ignoredError numberStoredAsText="1" sqref="A1:O3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96"/>
  <sheetViews>
    <sheetView workbookViewId="0" rightToLeft="0"/>
  </sheetViews>
  <sheetData>
    <row r="1">
      <c r="A1" s="1" t="str">
        <v>AMC Core — Master Execution Summary Dashboard</v>
      </c>
    </row>
    <row r="2">
      <c r="A2" s="1" t="str">
        <v>Live dashboard — all metrics auto-update as Test Case Register statuses are filled in.</v>
      </c>
    </row>
    <row r="4">
      <c r="A4" s="1" t="str">
        <v>Total TCs</v>
      </c>
      <c r="C4" s="1" t="str">
        <v>Not Run</v>
      </c>
      <c r="E4" s="1" t="str">
        <v>Pass</v>
      </c>
      <c r="G4" s="1" t="str">
        <v>Fail</v>
      </c>
      <c r="I4" s="1" t="str">
        <v>Blocked</v>
      </c>
      <c r="K4" s="1" t="str">
        <v>Pass Rate</v>
      </c>
    </row>
    <row r="5">
      <c r="A5" s="1">
        <f>COUNTA('Test Case Register'!A5:A700)-COUNTIF('Test Case Register'!A5:A700,"▌*")</f>
        <v>320</v>
      </c>
      <c r="C5" s="1">
        <f>COUNTIF('Test Case Register'!G5:G700,"Not Run")</f>
        <v>320</v>
      </c>
      <c r="E5" s="1">
        <f>COUNTIF('Test Case Register'!G5:G700,"Pass")</f>
        <v>0</v>
      </c>
      <c r="G5" s="1">
        <f>COUNTIF('Test Case Register'!G5:G700,"Fail")</f>
        <v>0</v>
      </c>
      <c r="I5" s="1">
        <f>COUNTIF('Test Case Register'!G5:G700,"Blocked")</f>
        <v>0</v>
      </c>
      <c r="K5" s="1">
        <f>IF(COUNTIF('Test Case Register'!G5:G700,"Pass")+COUNTIF('Test Case Register'!G5:G700,"Fail")=0,0,COUNTIF('Test Case Register'!G5:G700,"Pass")/(COUNTIF('Test Case Register'!G5:G700,"Pass")+COUNTIF('Test Case Register'!G5:G700,"Fail")))</f>
        <v>0</v>
      </c>
    </row>
    <row r="7">
      <c r="A7" s="1" t="str">
        <v>Results by DocType</v>
      </c>
    </row>
    <row r="8">
      <c r="A8" s="1" t="str">
        <v>DocType</v>
      </c>
      <c r="C8" s="1" t="str">
        <v>Total</v>
      </c>
      <c r="E8" s="1" t="str">
        <v>Pass</v>
      </c>
      <c r="G8" s="1" t="str">
        <v>Fail</v>
      </c>
      <c r="I8" s="1" t="str">
        <v>Blocked</v>
      </c>
      <c r="K8" s="1" t="str">
        <v>Pass Rate</v>
      </c>
    </row>
    <row r="9">
      <c r="A9" s="1" t="str">
        <v>AMC Customers</v>
      </c>
      <c r="C9" s="1">
        <v>21</v>
      </c>
      <c r="E9" s="1">
        <f>COUNTIFS('Test Case Register'!B5:B700,"AMC Customers",'Test Case Register'!G5:G700,"Pass")</f>
        <v>0</v>
      </c>
      <c r="G9" s="1">
        <f>COUNTIFS('Test Case Register'!B5:B700,"AMC Customers",'Test Case Register'!G5:G700,"Fail")</f>
        <v>0</v>
      </c>
      <c r="I9" s="1">
        <f>COUNTIFS('Test Case Register'!B5:B700,"AMC Customers",'Test Case Register'!G5:G700,"Blocked")</f>
        <v>0</v>
      </c>
      <c r="K9" s="1" t="str">
        <f>IF(E9+G9=0,"-",E9/(E9+G9))</f>
        <v>-</v>
      </c>
    </row>
    <row r="10">
      <c r="A10" s="1" t="str">
        <v>AMC Contract</v>
      </c>
      <c r="C10" s="1">
        <v>32</v>
      </c>
      <c r="E10" s="1">
        <f>COUNTIFS('Test Case Register'!B5:B700,"AMC Contract",'Test Case Register'!G5:G700,"Pass")</f>
        <v>0</v>
      </c>
      <c r="G10" s="1">
        <f>COUNTIFS('Test Case Register'!B5:B700,"AMC Contract",'Test Case Register'!G5:G700,"Fail")</f>
        <v>0</v>
      </c>
      <c r="I10" s="1">
        <f>COUNTIFS('Test Case Register'!B5:B700,"AMC Contract",'Test Case Register'!G5:G700,"Blocked")</f>
        <v>0</v>
      </c>
      <c r="K10" s="1" t="str">
        <f>IF(E10+G10=0,"-",E10/(E10+G10))</f>
        <v>-</v>
      </c>
    </row>
    <row r="11">
      <c r="A11" s="1" t="str">
        <v>Vendor</v>
      </c>
      <c r="C11" s="1">
        <v>40</v>
      </c>
      <c r="E11" s="1">
        <f>COUNTIFS('Test Case Register'!B5:B700,"Vendor",'Test Case Register'!G5:G700,"Pass")</f>
        <v>0</v>
      </c>
      <c r="G11" s="1">
        <f>COUNTIFS('Test Case Register'!B5:B700,"Vendor",'Test Case Register'!G5:G700,"Fail")</f>
        <v>0</v>
      </c>
      <c r="I11" s="1">
        <f>COUNTIFS('Test Case Register'!B5:B700,"Vendor",'Test Case Register'!G5:G700,"Blocked")</f>
        <v>0</v>
      </c>
      <c r="K11" s="1" t="str">
        <f>IF(E11+G11=0,"-",E11/(E11+G11))</f>
        <v>-</v>
      </c>
    </row>
    <row r="12">
      <c r="A12" s="1" t="str">
        <v>Attendance</v>
      </c>
      <c r="C12" s="1">
        <v>52</v>
      </c>
      <c r="E12" s="1">
        <f>COUNTIFS('Test Case Register'!B5:B700,"Attendance",'Test Case Register'!G5:G700,"Pass")</f>
        <v>0</v>
      </c>
      <c r="G12" s="1">
        <f>COUNTIFS('Test Case Register'!B5:B700,"Attendance",'Test Case Register'!G5:G700,"Fail")</f>
        <v>0</v>
      </c>
      <c r="I12" s="1">
        <f>COUNTIFS('Test Case Register'!B5:B700,"Attendance",'Test Case Register'!G5:G700,"Blocked")</f>
        <v>0</v>
      </c>
      <c r="K12" s="1" t="str">
        <f>IF(E12+G12=0,"-",E12/(E12+G12))</f>
        <v>-</v>
      </c>
    </row>
    <row r="13">
      <c r="A13" s="1" t="str">
        <v>Expense Claim</v>
      </c>
      <c r="C13" s="1">
        <v>60</v>
      </c>
      <c r="E13" s="1">
        <f>COUNTIFS('Test Case Register'!B5:B700,"Expense Claim",'Test Case Register'!G5:G700,"Pass")</f>
        <v>0</v>
      </c>
      <c r="G13" s="1">
        <f>COUNTIFS('Test Case Register'!B5:B700,"Expense Claim",'Test Case Register'!G5:G700,"Fail")</f>
        <v>0</v>
      </c>
      <c r="I13" s="1">
        <f>COUNTIFS('Test Case Register'!B5:B700,"Expense Claim",'Test Case Register'!G5:G700,"Blocked")</f>
        <v>0</v>
      </c>
      <c r="K13" s="1" t="str">
        <f>IF(E13+G13=0,"-",E13/(E13+G13))</f>
        <v>-</v>
      </c>
    </row>
    <row r="14">
      <c r="A14" s="1" t="str">
        <v>Leave Application</v>
      </c>
      <c r="C14" s="1">
        <v>65</v>
      </c>
      <c r="E14" s="1">
        <f>COUNTIFS('Test Case Register'!B5:B700,"Leave Application",'Test Case Register'!G5:G700,"Pass")</f>
        <v>0</v>
      </c>
      <c r="G14" s="1">
        <f>COUNTIFS('Test Case Register'!B5:B700,"Leave Application",'Test Case Register'!G5:G700,"Fail")</f>
        <v>0</v>
      </c>
      <c r="I14" s="1">
        <f>COUNTIFS('Test Case Register'!B5:B700,"Leave Application",'Test Case Register'!G5:G700,"Blocked")</f>
        <v>0</v>
      </c>
      <c r="K14" s="1" t="str">
        <f>IF(E14+G14=0,"-",E14/(E14+G14))</f>
        <v>-</v>
      </c>
    </row>
    <row r="15">
      <c r="A15" s="1" t="str">
        <v>Service Call</v>
      </c>
      <c r="C15" s="1">
        <v>50</v>
      </c>
      <c r="E15" s="1">
        <f>COUNTIFS('Test Case Register'!B5:B700,"Service Call",'Test Case Register'!G5:G700,"Pass")</f>
        <v>0</v>
      </c>
      <c r="G15" s="1">
        <f>COUNTIFS('Test Case Register'!B5:B700,"Service Call",'Test Case Register'!G5:G700,"Fail")</f>
        <v>0</v>
      </c>
      <c r="I15" s="1">
        <f>COUNTIFS('Test Case Register'!B5:B700,"Service Call",'Test Case Register'!G5:G700,"Blocked")</f>
        <v>0</v>
      </c>
      <c r="K15" s="1" t="str">
        <f>IF(E15+G15=0,"-",E15/(E15+G15))</f>
        <v>-</v>
      </c>
    </row>
    <row r="18">
      <c r="A18" s="1" t="str">
        <v>Results by Module</v>
      </c>
    </row>
    <row r="19">
      <c r="A19" s="1" t="str">
        <v>Module</v>
      </c>
      <c r="B19" s="1" t="str">
        <v>DocType</v>
      </c>
      <c r="C19" s="1" t="str">
        <v>Tests</v>
      </c>
      <c r="D19" s="1" t="str">
        <v>Pass</v>
      </c>
      <c r="E19" s="1" t="str">
        <v>Fail</v>
      </c>
      <c r="F19" s="1" t="str">
        <v>Blocked</v>
      </c>
      <c r="G19" s="1" t="str">
        <v>Pass Rate</v>
      </c>
    </row>
    <row r="20">
      <c r="A20" s="1" t="str">
        <v>Customer Creation &amp; Basic Details</v>
      </c>
      <c r="B20" s="1" t="str">
        <v>AMC Customers</v>
      </c>
      <c r="C20" s="1">
        <v>4</v>
      </c>
      <c r="D20" s="1">
        <f>COUNTIFS('Test Case Register'!B5:B700,"AMC Customers",'Test Case Register'!C5:C700,"Customer Creation &amp; Basic Details",'Test Case Register'!G5:G700,"Pass")</f>
        <v>0</v>
      </c>
      <c r="E20" s="1">
        <f>COUNTIFS('Test Case Register'!B5:B700,"AMC Customers",'Test Case Register'!C5:C700,"Customer Creation &amp; Basic Details",'Test Case Register'!G5:G700,"Fail")</f>
        <v>0</v>
      </c>
      <c r="F20" s="1">
        <f>COUNTIFS('Test Case Register'!B5:B700,"AMC Customers",'Test Case Register'!C5:C700,"Customer Creation &amp; Basic Details",'Test Case Register'!G5:G700,"Blocked")</f>
        <v>0</v>
      </c>
      <c r="G20" s="1" t="str">
        <f>IF(D20+E20=0,"-",D20/(D20+E20))</f>
        <v>-</v>
      </c>
    </row>
    <row r="21">
      <c r="A21" s="1" t="str">
        <v>GST Validation</v>
      </c>
      <c r="B21" s="1" t="str">
        <v>AMC Customers</v>
      </c>
      <c r="C21" s="1">
        <v>5</v>
      </c>
      <c r="D21" s="1">
        <f>COUNTIFS('Test Case Register'!B5:B700,"AMC Customers",'Test Case Register'!C5:C700,"GST Validation",'Test Case Register'!G5:G700,"Pass")</f>
        <v>0</v>
      </c>
      <c r="E21" s="1">
        <f>COUNTIFS('Test Case Register'!B5:B700,"AMC Customers",'Test Case Register'!C5:C700,"GST Validation",'Test Case Register'!G5:G700,"Fail")</f>
        <v>0</v>
      </c>
      <c r="F21" s="1">
        <f>COUNTIFS('Test Case Register'!B5:B700,"AMC Customers",'Test Case Register'!C5:C700,"GST Validation",'Test Case Register'!G5:G700,"Blocked")</f>
        <v>0</v>
      </c>
      <c r="G21" s="1" t="str">
        <f>IF(D21+E21=0,"-",D21/(D21+E21))</f>
        <v>-</v>
      </c>
    </row>
    <row r="22">
      <c r="A22" s="1" t="str">
        <v>Branch Locations</v>
      </c>
      <c r="B22" s="1" t="str">
        <v>AMC Customers</v>
      </c>
      <c r="C22" s="1">
        <v>4</v>
      </c>
      <c r="D22" s="1">
        <f>COUNTIFS('Test Case Register'!B5:B700,"AMC Customers",'Test Case Register'!C5:C700,"Branch Locations",'Test Case Register'!G5:G700,"Pass")</f>
        <v>0</v>
      </c>
      <c r="E22" s="1">
        <f>COUNTIFS('Test Case Register'!B5:B700,"AMC Customers",'Test Case Register'!C5:C700,"Branch Locations",'Test Case Register'!G5:G700,"Fail")</f>
        <v>0</v>
      </c>
      <c r="F22" s="1">
        <f>COUNTIFS('Test Case Register'!B5:B700,"AMC Customers",'Test Case Register'!C5:C700,"Branch Locations",'Test Case Register'!G5:G700,"Blocked")</f>
        <v>0</v>
      </c>
      <c r="G22" s="1" t="str">
        <f>IF(D22+E22=0,"-",D22/(D22+E22))</f>
        <v>-</v>
      </c>
    </row>
    <row r="23">
      <c r="A23" s="1" t="str">
        <v>Contact Details</v>
      </c>
      <c r="B23" s="1" t="str">
        <v>AMC Customers</v>
      </c>
      <c r="C23" s="1">
        <v>4</v>
      </c>
      <c r="D23" s="1">
        <f>COUNTIFS('Test Case Register'!B5:B700,"AMC Customers",'Test Case Register'!C5:C700,"Contact Details",'Test Case Register'!G5:G700,"Pass")</f>
        <v>0</v>
      </c>
      <c r="E23" s="1">
        <f>COUNTIFS('Test Case Register'!B5:B700,"AMC Customers",'Test Case Register'!C5:C700,"Contact Details",'Test Case Register'!G5:G700,"Fail")</f>
        <v>0</v>
      </c>
      <c r="F23" s="1">
        <f>COUNTIFS('Test Case Register'!B5:B700,"AMC Customers",'Test Case Register'!C5:C700,"Contact Details",'Test Case Register'!G5:G700,"Blocked")</f>
        <v>0</v>
      </c>
      <c r="G23" s="1" t="str">
        <f>IF(D23+E23=0,"-",D23/(D23+E23))</f>
        <v>-</v>
      </c>
    </row>
    <row r="24">
      <c r="A24" s="1" t="str">
        <v>Connections Tab</v>
      </c>
      <c r="B24" s="1" t="str">
        <v>AMC Customers</v>
      </c>
      <c r="C24" s="1">
        <v>2</v>
      </c>
      <c r="D24" s="1">
        <f>COUNTIFS('Test Case Register'!B5:B700,"AMC Customers",'Test Case Register'!C5:C700,"Connections Tab",'Test Case Register'!G5:G700,"Pass")</f>
        <v>0</v>
      </c>
      <c r="E24" s="1">
        <f>COUNTIFS('Test Case Register'!B5:B700,"AMC Customers",'Test Case Register'!C5:C700,"Connections Tab",'Test Case Register'!G5:G700,"Fail")</f>
        <v>0</v>
      </c>
      <c r="F24" s="1">
        <f>COUNTIFS('Test Case Register'!B5:B700,"AMC Customers",'Test Case Register'!C5:C700,"Connections Tab",'Test Case Register'!G5:G700,"Blocked")</f>
        <v>0</v>
      </c>
      <c r="G24" s="1" t="str">
        <f>IF(D24+E24=0,"-",D24/(D24+E24))</f>
        <v>-</v>
      </c>
    </row>
    <row r="25">
      <c r="A25" s="1" t="str">
        <v>Permissions</v>
      </c>
      <c r="B25" s="1" t="str">
        <v>AMC Customers</v>
      </c>
      <c r="C25" s="1">
        <v>1</v>
      </c>
      <c r="D25" s="1">
        <f>COUNTIFS('Test Case Register'!B5:B700,"AMC Customers",'Test Case Register'!C5:C700,"Permissions",'Test Case Register'!G5:G700,"Pass")</f>
        <v>0</v>
      </c>
      <c r="E25" s="1">
        <f>COUNTIFS('Test Case Register'!B5:B700,"AMC Customers",'Test Case Register'!C5:C700,"Permissions",'Test Case Register'!G5:G700,"Fail")</f>
        <v>0</v>
      </c>
      <c r="F25" s="1">
        <f>COUNTIFS('Test Case Register'!B5:B700,"AMC Customers",'Test Case Register'!C5:C700,"Permissions",'Test Case Register'!G5:G700,"Blocked")</f>
        <v>0</v>
      </c>
      <c r="G25" s="1" t="str">
        <f>IF(D25+E25=0,"-",D25/(D25+E25))</f>
        <v>-</v>
      </c>
    </row>
    <row r="26">
      <c r="A26" s="1" t="str">
        <v>Data Integrity</v>
      </c>
      <c r="B26" s="1" t="str">
        <v>AMC Customers</v>
      </c>
      <c r="C26" s="1">
        <v>1</v>
      </c>
      <c r="D26" s="1">
        <f>COUNTIFS('Test Case Register'!B5:B700,"AMC Customers",'Test Case Register'!C5:C700,"Data Integrity",'Test Case Register'!G5:G700,"Pass")</f>
        <v>0</v>
      </c>
      <c r="E26" s="1">
        <f>COUNTIFS('Test Case Register'!B5:B700,"AMC Customers",'Test Case Register'!C5:C700,"Data Integrity",'Test Case Register'!G5:G700,"Fail")</f>
        <v>0</v>
      </c>
      <c r="F26" s="1">
        <f>COUNTIFS('Test Case Register'!B5:B700,"AMC Customers",'Test Case Register'!C5:C700,"Data Integrity",'Test Case Register'!G5:G700,"Blocked")</f>
        <v>0</v>
      </c>
      <c r="G26" s="1" t="str">
        <f>IF(D26+E26=0,"-",D26/(D26+E26))</f>
        <v>-</v>
      </c>
    </row>
    <row r="27">
      <c r="A27" s="1" t="str">
        <v>Contract Creation</v>
      </c>
      <c r="B27" s="1" t="str">
        <v>AMC Contract</v>
      </c>
      <c r="C27" s="1">
        <v>5</v>
      </c>
      <c r="D27" s="1">
        <f>COUNTIFS('Test Case Register'!B5:B700,"AMC Contract",'Test Case Register'!C5:C700,"Contract Creation",'Test Case Register'!G5:G700,"Pass")</f>
        <v>0</v>
      </c>
      <c r="E27" s="1">
        <f>COUNTIFS('Test Case Register'!B5:B700,"AMC Contract",'Test Case Register'!C5:C700,"Contract Creation",'Test Case Register'!G5:G700,"Fail")</f>
        <v>0</v>
      </c>
      <c r="F27" s="1">
        <f>COUNTIFS('Test Case Register'!B5:B700,"AMC Contract",'Test Case Register'!C5:C700,"Contract Creation",'Test Case Register'!G5:G700,"Blocked")</f>
        <v>0</v>
      </c>
      <c r="G27" s="1" t="str">
        <f>IF(D27+E27=0,"-",D27/(D27+E27))</f>
        <v>-</v>
      </c>
    </row>
    <row r="28">
      <c r="A28" s="1" t="str">
        <v>Contract Date Logic</v>
      </c>
      <c r="B28" s="1" t="str">
        <v>AMC Contract</v>
      </c>
      <c r="C28" s="1">
        <v>3</v>
      </c>
      <c r="D28" s="1">
        <f>COUNTIFS('Test Case Register'!B5:B700,"AMC Contract",'Test Case Register'!C5:C700,"Contract Date Logic",'Test Case Register'!G5:G700,"Pass")</f>
        <v>0</v>
      </c>
      <c r="E28" s="1">
        <f>COUNTIFS('Test Case Register'!B5:B700,"AMC Contract",'Test Case Register'!C5:C700,"Contract Date Logic",'Test Case Register'!G5:G700,"Fail")</f>
        <v>0</v>
      </c>
      <c r="F28" s="1">
        <f>COUNTIFS('Test Case Register'!B5:B700,"AMC Contract",'Test Case Register'!C5:C700,"Contract Date Logic",'Test Case Register'!G5:G700,"Blocked")</f>
        <v>0</v>
      </c>
      <c r="G28" s="1" t="str">
        <f>IF(D28+E28=0,"-",D28/(D28+E28))</f>
        <v>-</v>
      </c>
    </row>
    <row r="29">
      <c r="A29" s="1" t="str">
        <v>Service Count &amp; Schedule</v>
      </c>
      <c r="B29" s="1" t="str">
        <v>AMC Contract</v>
      </c>
      <c r="C29" s="1">
        <v>6</v>
      </c>
      <c r="D29" s="1">
        <f>COUNTIFS('Test Case Register'!B5:B700,"AMC Contract",'Test Case Register'!C5:C700,"Service Count &amp; Schedule",'Test Case Register'!G5:G700,"Pass")</f>
        <v>0</v>
      </c>
      <c r="E29" s="1">
        <f>COUNTIFS('Test Case Register'!B5:B700,"AMC Contract",'Test Case Register'!C5:C700,"Service Count &amp; Schedule",'Test Case Register'!G5:G700,"Fail")</f>
        <v>0</v>
      </c>
      <c r="F29" s="1">
        <f>COUNTIFS('Test Case Register'!B5:B700,"AMC Contract",'Test Case Register'!C5:C700,"Service Count &amp; Schedule",'Test Case Register'!G5:G700,"Blocked")</f>
        <v>0</v>
      </c>
      <c r="G29" s="1" t="str">
        <f>IF(D29+E29=0,"-",D29/(D29+E29))</f>
        <v>-</v>
      </c>
    </row>
    <row r="30">
      <c r="A30" s="1" t="str">
        <v>Customer &amp; Branch Linkage</v>
      </c>
      <c r="B30" s="1" t="str">
        <v>AMC Contract</v>
      </c>
      <c r="C30" s="1">
        <v>4</v>
      </c>
      <c r="D30" s="1">
        <f>COUNTIFS('Test Case Register'!B5:B700,"AMC Contract",'Test Case Register'!C5:C700,"Customer &amp; Branch Linkage",'Test Case Register'!G5:G700,"Pass")</f>
        <v>0</v>
      </c>
      <c r="E30" s="1">
        <f>COUNTIFS('Test Case Register'!B5:B700,"AMC Contract",'Test Case Register'!C5:C700,"Customer &amp; Branch Linkage",'Test Case Register'!G5:G700,"Fail")</f>
        <v>0</v>
      </c>
      <c r="F30" s="1">
        <f>COUNTIFS('Test Case Register'!B5:B700,"AMC Contract",'Test Case Register'!C5:C700,"Customer &amp; Branch Linkage",'Test Case Register'!G5:G700,"Blocked")</f>
        <v>0</v>
      </c>
      <c r="G30" s="1" t="str">
        <f>IF(D30+E30=0,"-",D30/(D30+E30))</f>
        <v>-</v>
      </c>
    </row>
    <row r="31">
      <c r="A31" s="1" t="str">
        <v>Contract Status</v>
      </c>
      <c r="B31" s="1" t="str">
        <v>AMC Contract</v>
      </c>
      <c r="C31" s="1">
        <v>3</v>
      </c>
      <c r="D31" s="1">
        <f>COUNTIFS('Test Case Register'!B5:B700,"AMC Contract",'Test Case Register'!C5:C700,"Contract Status",'Test Case Register'!G5:G700,"Pass")</f>
        <v>0</v>
      </c>
      <c r="E31" s="1">
        <f>COUNTIFS('Test Case Register'!B5:B700,"AMC Contract",'Test Case Register'!C5:C700,"Contract Status",'Test Case Register'!G5:G700,"Fail")</f>
        <v>0</v>
      </c>
      <c r="F31" s="1">
        <f>COUNTIFS('Test Case Register'!B5:B700,"AMC Contract",'Test Case Register'!C5:C700,"Contract Status",'Test Case Register'!G5:G700,"Blocked")</f>
        <v>0</v>
      </c>
      <c r="G31" s="1" t="str">
        <f>IF(D31+E31=0,"-",D31/(D31+E31))</f>
        <v>-</v>
      </c>
    </row>
    <row r="32">
      <c r="A32" s="1" t="str">
        <v>Submit &amp; Amend Workflow</v>
      </c>
      <c r="B32" s="1" t="str">
        <v>AMC Contract</v>
      </c>
      <c r="C32" s="1">
        <v>4</v>
      </c>
      <c r="D32" s="1">
        <f>COUNTIFS('Test Case Register'!B5:B700,"AMC Contract",'Test Case Register'!C5:C700,"Submit &amp; Amend Workflow",'Test Case Register'!G5:G700,"Pass")</f>
        <v>0</v>
      </c>
      <c r="E32" s="1">
        <f>COUNTIFS('Test Case Register'!B5:B700,"AMC Contract",'Test Case Register'!C5:C700,"Submit &amp; Amend Workflow",'Test Case Register'!G5:G700,"Fail")</f>
        <v>0</v>
      </c>
      <c r="F32" s="1">
        <f>COUNTIFS('Test Case Register'!B5:B700,"AMC Contract",'Test Case Register'!C5:C700,"Submit &amp; Amend Workflow",'Test Case Register'!G5:G700,"Blocked")</f>
        <v>0</v>
      </c>
      <c r="G32" s="1" t="str">
        <f>IF(D32+E32=0,"-",D32/(D32+E32))</f>
        <v>-</v>
      </c>
    </row>
    <row r="33">
      <c r="A33" s="1" t="str">
        <v>Company Branch</v>
      </c>
      <c r="B33" s="1" t="str">
        <v>AMC Contract</v>
      </c>
      <c r="C33" s="1">
        <v>1</v>
      </c>
      <c r="D33" s="1">
        <f>COUNTIFS('Test Case Register'!B5:B700,"AMC Contract",'Test Case Register'!C5:C700,"Company Branch",'Test Case Register'!G5:G700,"Pass")</f>
        <v>0</v>
      </c>
      <c r="E33" s="1">
        <f>COUNTIFS('Test Case Register'!B5:B700,"AMC Contract",'Test Case Register'!C5:C700,"Company Branch",'Test Case Register'!G5:G700,"Fail")</f>
        <v>0</v>
      </c>
      <c r="F33" s="1">
        <f>COUNTIFS('Test Case Register'!B5:B700,"AMC Contract",'Test Case Register'!C5:C700,"Company Branch",'Test Case Register'!G5:G700,"Blocked")</f>
        <v>0</v>
      </c>
      <c r="G33" s="1" t="str">
        <f>IF(D33+E33=0,"-",D33/(D33+E33))</f>
        <v>-</v>
      </c>
    </row>
    <row r="34">
      <c r="A34" s="1" t="str">
        <v>Service Calls Tab</v>
      </c>
      <c r="B34" s="1" t="str">
        <v>AMC Contract</v>
      </c>
      <c r="C34" s="1">
        <v>3</v>
      </c>
      <c r="D34" s="1">
        <f>COUNTIFS('Test Case Register'!B5:B700,"AMC Contract",'Test Case Register'!C5:C700,"Service Calls Tab",'Test Case Register'!G5:G700,"Pass")</f>
        <v>0</v>
      </c>
      <c r="E34" s="1">
        <f>COUNTIFS('Test Case Register'!B5:B700,"AMC Contract",'Test Case Register'!C5:C700,"Service Calls Tab",'Test Case Register'!G5:G700,"Fail")</f>
        <v>0</v>
      </c>
      <c r="F34" s="1">
        <f>COUNTIFS('Test Case Register'!B5:B700,"AMC Contract",'Test Case Register'!C5:C700,"Service Calls Tab",'Test Case Register'!G5:G700,"Blocked")</f>
        <v>0</v>
      </c>
      <c r="G34" s="1" t="str">
        <f>IF(D34+E34=0,"-",D34/(D34+E34))</f>
        <v>-</v>
      </c>
    </row>
    <row r="35">
      <c r="A35" s="1" t="str">
        <v>Cross-DocType Integration</v>
      </c>
      <c r="B35" s="1" t="str">
        <v>AMC Contract</v>
      </c>
      <c r="C35" s="1">
        <v>3</v>
      </c>
      <c r="D35" s="1">
        <f>COUNTIFS('Test Case Register'!B5:B700,"AMC Contract",'Test Case Register'!C5:C700,"Cross-DocType Integration",'Test Case Register'!G5:G700,"Pass")</f>
        <v>0</v>
      </c>
      <c r="E35" s="1">
        <f>COUNTIFS('Test Case Register'!B5:B700,"AMC Contract",'Test Case Register'!C5:C700,"Cross-DocType Integration",'Test Case Register'!G5:G700,"Fail")</f>
        <v>0</v>
      </c>
      <c r="F35" s="1">
        <f>COUNTIFS('Test Case Register'!B5:B700,"AMC Contract",'Test Case Register'!C5:C700,"Cross-DocType Integration",'Test Case Register'!G5:G700,"Blocked")</f>
        <v>0</v>
      </c>
      <c r="G35" s="1" t="str">
        <f>IF(D35+E35=0,"-",D35/(D35+E35))</f>
        <v>-</v>
      </c>
    </row>
    <row r="36">
      <c r="A36" s="1" t="str">
        <v>Vendor Creation &amp; Basic Details</v>
      </c>
      <c r="B36" s="1" t="str">
        <v>Vendor</v>
      </c>
      <c r="C36" s="1">
        <v>4</v>
      </c>
      <c r="D36" s="1">
        <f>COUNTIFS('Test Case Register'!B5:B700,"Vendor",'Test Case Register'!C5:C700,"Vendor Creation &amp; Basic Details",'Test Case Register'!G5:G700,"Pass")</f>
        <v>0</v>
      </c>
      <c r="E36" s="1">
        <f>COUNTIFS('Test Case Register'!B5:B700,"Vendor",'Test Case Register'!C5:C700,"Vendor Creation &amp; Basic Details",'Test Case Register'!G5:G700,"Fail")</f>
        <v>0</v>
      </c>
      <c r="F36" s="1">
        <f>COUNTIFS('Test Case Register'!B5:B700,"Vendor",'Test Case Register'!C5:C700,"Vendor Creation &amp; Basic Details",'Test Case Register'!G5:G700,"Blocked")</f>
        <v>0</v>
      </c>
      <c r="G36" s="1" t="str">
        <f>IF(D36+E36=0,"-",D36/(D36+E36))</f>
        <v>-</v>
      </c>
    </row>
    <row r="37">
      <c r="A37" s="1" t="str">
        <v>Primary Contact Details</v>
      </c>
      <c r="B37" s="1" t="str">
        <v>Vendor</v>
      </c>
      <c r="C37" s="1">
        <v>5</v>
      </c>
      <c r="D37" s="1">
        <f>COUNTIFS('Test Case Register'!B5:B700,"Vendor",'Test Case Register'!C5:C700,"Primary Contact Details",'Test Case Register'!G5:G700,"Pass")</f>
        <v>0</v>
      </c>
      <c r="E37" s="1">
        <f>COUNTIFS('Test Case Register'!B5:B700,"Vendor",'Test Case Register'!C5:C700,"Primary Contact Details",'Test Case Register'!G5:G700,"Fail")</f>
        <v>0</v>
      </c>
      <c r="F37" s="1">
        <f>COUNTIFS('Test Case Register'!B5:B700,"Vendor",'Test Case Register'!C5:C700,"Primary Contact Details",'Test Case Register'!G5:G700,"Blocked")</f>
        <v>0</v>
      </c>
      <c r="G37" s="1" t="str">
        <f>IF(D37+E37=0,"-",D37/(D37+E37))</f>
        <v>-</v>
      </c>
    </row>
    <row r="38">
      <c r="A38" s="1" t="str">
        <v>Tax Identification</v>
      </c>
      <c r="B38" s="1" t="str">
        <v>Vendor</v>
      </c>
      <c r="C38" s="1">
        <v>4</v>
      </c>
      <c r="D38" s="1">
        <f>COUNTIFS('Test Case Register'!B5:B700,"Vendor",'Test Case Register'!C5:C700,"Tax Identification",'Test Case Register'!G5:G700,"Pass")</f>
        <v>0</v>
      </c>
      <c r="E38" s="1">
        <f>COUNTIFS('Test Case Register'!B5:B700,"Vendor",'Test Case Register'!C5:C700,"Tax Identification",'Test Case Register'!G5:G700,"Fail")</f>
        <v>0</v>
      </c>
      <c r="F38" s="1">
        <f>COUNTIFS('Test Case Register'!B5:B700,"Vendor",'Test Case Register'!C5:C700,"Tax Identification",'Test Case Register'!G5:G700,"Blocked")</f>
        <v>0</v>
      </c>
      <c r="G38" s="1" t="str">
        <f>IF(D38+E38=0,"-",D38/(D38+E38))</f>
        <v>-</v>
      </c>
    </row>
    <row r="39">
      <c r="A39" s="1" t="str">
        <v>Registered Address</v>
      </c>
      <c r="B39" s="1" t="str">
        <v>Vendor</v>
      </c>
      <c r="C39" s="1">
        <v>3</v>
      </c>
      <c r="D39" s="1">
        <f>COUNTIFS('Test Case Register'!B5:B700,"Vendor",'Test Case Register'!C5:C700,"Registered Address",'Test Case Register'!G5:G700,"Pass")</f>
        <v>0</v>
      </c>
      <c r="E39" s="1">
        <f>COUNTIFS('Test Case Register'!B5:B700,"Vendor",'Test Case Register'!C5:C700,"Registered Address",'Test Case Register'!G5:G700,"Fail")</f>
        <v>0</v>
      </c>
      <c r="F39" s="1">
        <f>COUNTIFS('Test Case Register'!B5:B700,"Vendor",'Test Case Register'!C5:C700,"Registered Address",'Test Case Register'!G5:G700,"Blocked")</f>
        <v>0</v>
      </c>
      <c r="G39" s="1" t="str">
        <f>IF(D39+E39=0,"-",D39/(D39+E39))</f>
        <v>-</v>
      </c>
    </row>
    <row r="40">
      <c r="A40" s="1" t="str">
        <v>Address Table</v>
      </c>
      <c r="B40" s="1" t="str">
        <v>Vendor</v>
      </c>
      <c r="C40" s="1">
        <v>10</v>
      </c>
      <c r="D40" s="1">
        <f>COUNTIFS('Test Case Register'!B5:B700,"Vendor",'Test Case Register'!C5:C700,"Address Table",'Test Case Register'!G5:G700,"Pass")</f>
        <v>0</v>
      </c>
      <c r="E40" s="1">
        <f>COUNTIFS('Test Case Register'!B5:B700,"Vendor",'Test Case Register'!C5:C700,"Address Table",'Test Case Register'!G5:G700,"Fail")</f>
        <v>0</v>
      </c>
      <c r="F40" s="1">
        <f>COUNTIFS('Test Case Register'!B5:B700,"Vendor",'Test Case Register'!C5:C700,"Address Table",'Test Case Register'!G5:G700,"Blocked")</f>
        <v>0</v>
      </c>
      <c r="G40" s="1" t="str">
        <f>IF(D40+E40=0,"-",D40/(D40+E40))</f>
        <v>-</v>
      </c>
    </row>
    <row r="41">
      <c r="A41" s="1" t="str">
        <v>Data Validation</v>
      </c>
      <c r="B41" s="1" t="str">
        <v>Vendor</v>
      </c>
      <c r="C41" s="1">
        <v>4</v>
      </c>
      <c r="D41" s="1">
        <f>COUNTIFS('Test Case Register'!B5:B700,"Vendor",'Test Case Register'!C5:C700,"Data Validation",'Test Case Register'!G5:G700,"Pass")</f>
        <v>0</v>
      </c>
      <c r="E41" s="1">
        <f>COUNTIFS('Test Case Register'!B5:B700,"Vendor",'Test Case Register'!C5:C700,"Data Validation",'Test Case Register'!G5:G700,"Fail")</f>
        <v>0</v>
      </c>
      <c r="F41" s="1">
        <f>COUNTIFS('Test Case Register'!B5:B700,"Vendor",'Test Case Register'!C5:C700,"Data Validation",'Test Case Register'!G5:G700,"Blocked")</f>
        <v>0</v>
      </c>
      <c r="G41" s="1" t="str">
        <f>IF(D41+E41=0,"-",D41/(D41+E41))</f>
        <v>-</v>
      </c>
    </row>
    <row r="42">
      <c r="A42" s="1" t="str">
        <v>Editing &amp; Updates</v>
      </c>
      <c r="B42" s="1" t="str">
        <v>Vendor</v>
      </c>
      <c r="C42" s="1">
        <v>5</v>
      </c>
      <c r="D42" s="1">
        <f>COUNTIFS('Test Case Register'!B5:B700,"Vendor",'Test Case Register'!C5:C700,"Editing &amp; Updates",'Test Case Register'!G5:G700,"Pass")</f>
        <v>0</v>
      </c>
      <c r="E42" s="1">
        <f>COUNTIFS('Test Case Register'!B5:B700,"Vendor",'Test Case Register'!C5:C700,"Editing &amp; Updates",'Test Case Register'!G5:G700,"Fail")</f>
        <v>0</v>
      </c>
      <c r="F42" s="1">
        <f>COUNTIFS('Test Case Register'!B5:B700,"Vendor",'Test Case Register'!C5:C700,"Editing &amp; Updates",'Test Case Register'!G5:G700,"Blocked")</f>
        <v>0</v>
      </c>
      <c r="G42" s="1" t="str">
        <f>IF(D42+E42=0,"-",D42/(D42+E42))</f>
        <v>-</v>
      </c>
    </row>
    <row r="43">
      <c r="A43" s="1" t="str">
        <v>Form Actions</v>
      </c>
      <c r="B43" s="1" t="str">
        <v>Vendor</v>
      </c>
      <c r="C43" s="1">
        <v>5</v>
      </c>
      <c r="D43" s="1">
        <f>COUNTIFS('Test Case Register'!B5:B700,"Vendor",'Test Case Register'!C5:C700,"Form Actions",'Test Case Register'!G5:G700,"Pass")</f>
        <v>0</v>
      </c>
      <c r="E43" s="1">
        <f>COUNTIFS('Test Case Register'!B5:B700,"Vendor",'Test Case Register'!C5:C700,"Form Actions",'Test Case Register'!G5:G700,"Fail")</f>
        <v>0</v>
      </c>
      <c r="F43" s="1">
        <f>COUNTIFS('Test Case Register'!B5:B700,"Vendor",'Test Case Register'!C5:C700,"Form Actions",'Test Case Register'!G5:G700,"Blocked")</f>
        <v>0</v>
      </c>
      <c r="G43" s="1" t="str">
        <f>IF(D43+E43=0,"-",D43/(D43+E43))</f>
        <v>-</v>
      </c>
    </row>
    <row r="44">
      <c r="A44" s="1" t="str">
        <v>Attendance Creation &amp; Basic Details</v>
      </c>
      <c r="B44" s="1" t="str">
        <v>Attendance</v>
      </c>
      <c r="C44" s="1">
        <v>6</v>
      </c>
      <c r="D44" s="1">
        <f>COUNTIFS('Test Case Register'!B5:B700,"Attendance",'Test Case Register'!C5:C700,"Attendance Creation &amp; Basic Details",'Test Case Register'!G5:G700,"Pass")</f>
        <v>0</v>
      </c>
      <c r="E44" s="1">
        <f>COUNTIFS('Test Case Register'!B5:B700,"Attendance",'Test Case Register'!C5:C700,"Attendance Creation &amp; Basic Details",'Test Case Register'!G5:G700,"Fail")</f>
        <v>0</v>
      </c>
      <c r="F44" s="1">
        <f>COUNTIFS('Test Case Register'!B5:B700,"Attendance",'Test Case Register'!C5:C700,"Attendance Creation &amp; Basic Details",'Test Case Register'!G5:G700,"Blocked")</f>
        <v>0</v>
      </c>
      <c r="G44" s="1" t="str">
        <f>IF(D44+E44=0,"-",D44/(D44+E44))</f>
        <v>-</v>
      </c>
    </row>
    <row r="45">
      <c r="A45" s="1" t="str">
        <v>Series &amp; Auto-generation</v>
      </c>
      <c r="B45" s="1" t="str">
        <v>Attendance</v>
      </c>
      <c r="C45" s="1">
        <v>3</v>
      </c>
      <c r="D45" s="1">
        <f>COUNTIFS('Test Case Register'!B5:B700,"Attendance",'Test Case Register'!C5:C700,"Series &amp; Auto-generation",'Test Case Register'!G5:G700,"Pass")</f>
        <v>0</v>
      </c>
      <c r="E45" s="1">
        <f>COUNTIFS('Test Case Register'!B5:B700,"Attendance",'Test Case Register'!C5:C700,"Series &amp; Auto-generation",'Test Case Register'!G5:G700,"Fail")</f>
        <v>0</v>
      </c>
      <c r="F45" s="1">
        <f>COUNTIFS('Test Case Register'!B5:B700,"Attendance",'Test Case Register'!C5:C700,"Series &amp; Auto-generation",'Test Case Register'!G5:G700,"Blocked")</f>
        <v>0</v>
      </c>
      <c r="G45" s="1" t="str">
        <f>IF(D45+E45=0,"-",D45/(D45+E45))</f>
        <v>-</v>
      </c>
    </row>
    <row r="46">
      <c r="A46" s="1" t="str">
        <v>Employee Selection</v>
      </c>
      <c r="B46" s="1" t="str">
        <v>Attendance</v>
      </c>
      <c r="C46" s="1">
        <v>4</v>
      </c>
      <c r="D46" s="1">
        <f>COUNTIFS('Test Case Register'!B5:B700,"Attendance",'Test Case Register'!C5:C700,"Employee Selection",'Test Case Register'!G5:G700,"Pass")</f>
        <v>0</v>
      </c>
      <c r="E46" s="1">
        <f>COUNTIFS('Test Case Register'!B5:B700,"Attendance",'Test Case Register'!C5:C700,"Employee Selection",'Test Case Register'!G5:G700,"Fail")</f>
        <v>0</v>
      </c>
      <c r="F46" s="1">
        <f>COUNTIFS('Test Case Register'!B5:B700,"Attendance",'Test Case Register'!C5:C700,"Employee Selection",'Test Case Register'!G5:G700,"Blocked")</f>
        <v>0</v>
      </c>
      <c r="G46" s="1" t="str">
        <f>IF(D46+E46=0,"-",D46/(D46+E46))</f>
        <v>-</v>
      </c>
    </row>
    <row r="47">
      <c r="A47" s="1" t="str">
        <v>Attendance Date</v>
      </c>
      <c r="B47" s="1" t="str">
        <v>Attendance</v>
      </c>
      <c r="C47" s="1">
        <v>5</v>
      </c>
      <c r="D47" s="1">
        <f>COUNTIFS('Test Case Register'!B5:B700,"Attendance",'Test Case Register'!C5:C700,"Attendance Date",'Test Case Register'!G5:G700,"Pass")</f>
        <v>0</v>
      </c>
      <c r="E47" s="1">
        <f>COUNTIFS('Test Case Register'!B5:B700,"Attendance",'Test Case Register'!C5:C700,"Attendance Date",'Test Case Register'!G5:G700,"Fail")</f>
        <v>0</v>
      </c>
      <c r="F47" s="1">
        <f>COUNTIFS('Test Case Register'!B5:B700,"Attendance",'Test Case Register'!C5:C700,"Attendance Date",'Test Case Register'!G5:G700,"Blocked")</f>
        <v>0</v>
      </c>
      <c r="G47" s="1" t="str">
        <f>IF(D47+E47=0,"-",D47/(D47+E47))</f>
        <v>-</v>
      </c>
    </row>
    <row r="48">
      <c r="A48" s="1" t="str">
        <v>Status Management</v>
      </c>
      <c r="B48" s="1" t="str">
        <v>Attendance</v>
      </c>
      <c r="C48" s="1">
        <v>3</v>
      </c>
      <c r="D48" s="1">
        <f>COUNTIFS('Test Case Register'!B5:B700,"Attendance",'Test Case Register'!C5:C700,"Status Management",'Test Case Register'!G5:G700,"Pass")</f>
        <v>0</v>
      </c>
      <c r="E48" s="1">
        <f>COUNTIFS('Test Case Register'!B5:B700,"Attendance",'Test Case Register'!C5:C700,"Status Management",'Test Case Register'!G5:G700,"Fail")</f>
        <v>0</v>
      </c>
      <c r="F48" s="1">
        <f>COUNTIFS('Test Case Register'!B5:B700,"Attendance",'Test Case Register'!C5:C700,"Status Management",'Test Case Register'!G5:G700,"Blocked")</f>
        <v>0</v>
      </c>
      <c r="G48" s="1" t="str">
        <f>IF(D48+E48=0,"-",D48/(D48+E48))</f>
        <v>-</v>
      </c>
    </row>
    <row r="49">
      <c r="A49" s="1" t="str">
        <v>Company Assignment</v>
      </c>
      <c r="B49" s="1" t="str">
        <v>Attendance</v>
      </c>
      <c r="C49" s="1">
        <v>3</v>
      </c>
      <c r="D49" s="1">
        <f>COUNTIFS('Test Case Register'!B5:B700,"Attendance",'Test Case Register'!C5:C700,"Company Assignment",'Test Case Register'!G5:G700,"Pass")</f>
        <v>0</v>
      </c>
      <c r="E49" s="1">
        <f>COUNTIFS('Test Case Register'!B5:B700,"Attendance",'Test Case Register'!C5:C700,"Company Assignment",'Test Case Register'!G5:G700,"Fail")</f>
        <v>0</v>
      </c>
      <c r="F49" s="1">
        <f>COUNTIFS('Test Case Register'!B5:B700,"Attendance",'Test Case Register'!C5:C700,"Company Assignment",'Test Case Register'!G5:G700,"Blocked")</f>
        <v>0</v>
      </c>
      <c r="G49" s="1" t="str">
        <f>IF(D49+E49=0,"-",D49/(D49+E49))</f>
        <v>-</v>
      </c>
    </row>
    <row r="50">
      <c r="A50" s="1" t="str">
        <v>Shift Details</v>
      </c>
      <c r="B50" s="1" t="str">
        <v>Attendance</v>
      </c>
      <c r="C50" s="1">
        <v>4</v>
      </c>
      <c r="D50" s="1">
        <f>COUNTIFS('Test Case Register'!B5:B700,"Attendance",'Test Case Register'!C5:C700,"Shift Details",'Test Case Register'!G5:G700,"Pass")</f>
        <v>0</v>
      </c>
      <c r="E50" s="1">
        <f>COUNTIFS('Test Case Register'!B5:B700,"Attendance",'Test Case Register'!C5:C700,"Shift Details",'Test Case Register'!G5:G700,"Fail")</f>
        <v>0</v>
      </c>
      <c r="F50" s="1">
        <f>COUNTIFS('Test Case Register'!B5:B700,"Attendance",'Test Case Register'!C5:C700,"Shift Details",'Test Case Register'!G5:G700,"Blocked")</f>
        <v>0</v>
      </c>
      <c r="G50" s="1" t="str">
        <f>IF(D50+E50=0,"-",D50/(D50+E50))</f>
        <v>-</v>
      </c>
    </row>
    <row r="51">
      <c r="A51" s="1" t="str">
        <v>Late Entry Tracking</v>
      </c>
      <c r="B51" s="1" t="str">
        <v>Attendance</v>
      </c>
      <c r="C51" s="1">
        <v>5</v>
      </c>
      <c r="D51" s="1">
        <f>COUNTIFS('Test Case Register'!B5:B700,"Attendance",'Test Case Register'!C5:C700,"Late Entry Tracking",'Test Case Register'!G5:G700,"Pass")</f>
        <v>0</v>
      </c>
      <c r="E51" s="1">
        <f>COUNTIFS('Test Case Register'!B5:B700,"Attendance",'Test Case Register'!C5:C700,"Late Entry Tracking",'Test Case Register'!G5:G700,"Fail")</f>
        <v>0</v>
      </c>
      <c r="F51" s="1">
        <f>COUNTIFS('Test Case Register'!B5:B700,"Attendance",'Test Case Register'!C5:C700,"Late Entry Tracking",'Test Case Register'!G5:G700,"Blocked")</f>
        <v>0</v>
      </c>
      <c r="G51" s="1" t="str">
        <f>IF(D51+E51=0,"-",D51/(D51+E51))</f>
        <v>-</v>
      </c>
    </row>
    <row r="52">
      <c r="A52" s="1" t="str">
        <v>Early Exit Tracking</v>
      </c>
      <c r="B52" s="1" t="str">
        <v>Attendance</v>
      </c>
      <c r="C52" s="1">
        <v>5</v>
      </c>
      <c r="D52" s="1">
        <f>COUNTIFS('Test Case Register'!B5:B700,"Attendance",'Test Case Register'!C5:C700,"Early Exit Tracking",'Test Case Register'!G5:G700,"Pass")</f>
        <v>0</v>
      </c>
      <c r="E52" s="1">
        <f>COUNTIFS('Test Case Register'!B5:B700,"Attendance",'Test Case Register'!C5:C700,"Early Exit Tracking",'Test Case Register'!G5:G700,"Fail")</f>
        <v>0</v>
      </c>
      <c r="F52" s="1">
        <f>COUNTIFS('Test Case Register'!B5:B700,"Attendance",'Test Case Register'!C5:C700,"Early Exit Tracking",'Test Case Register'!G5:G700,"Blocked")</f>
        <v>0</v>
      </c>
      <c r="G52" s="1" t="str">
        <f>IF(D52+E52=0,"-",D52/(D52+E52))</f>
        <v>-</v>
      </c>
    </row>
    <row r="53">
      <c r="A53" s="1" t="str">
        <v>Late Entry &amp; Early Exit Combination</v>
      </c>
      <c r="B53" s="1" t="str">
        <v>Attendance</v>
      </c>
      <c r="C53" s="1">
        <v>2</v>
      </c>
      <c r="D53" s="1">
        <f>COUNTIFS('Test Case Register'!B5:B700,"Attendance",'Test Case Register'!C5:C700,"Late Entry &amp; Early Exit Combination",'Test Case Register'!G5:G700,"Pass")</f>
        <v>0</v>
      </c>
      <c r="E53" s="1">
        <f>COUNTIFS('Test Case Register'!B5:B700,"Attendance",'Test Case Register'!C5:C700,"Late Entry &amp; Early Exit Combination",'Test Case Register'!G5:G700,"Fail")</f>
        <v>0</v>
      </c>
      <c r="F53" s="1">
        <f>COUNTIFS('Test Case Register'!B5:B700,"Attendance",'Test Case Register'!C5:C700,"Late Entry &amp; Early Exit Combination",'Test Case Register'!G5:G700,"Blocked")</f>
        <v>0</v>
      </c>
      <c r="G53" s="1" t="str">
        <f>IF(D53+E53=0,"-",D53/(D53+E53))</f>
        <v>-</v>
      </c>
    </row>
    <row r="54">
      <c r="A54" s="1" t="str">
        <v>Data Validation</v>
      </c>
      <c r="B54" s="1" t="str">
        <v>Attendance</v>
      </c>
      <c r="C54" s="1">
        <v>3</v>
      </c>
      <c r="D54" s="1">
        <f>COUNTIFS('Test Case Register'!B5:B700,"Attendance",'Test Case Register'!C5:C700,"Data Validation",'Test Case Register'!G5:G700,"Pass")</f>
        <v>0</v>
      </c>
      <c r="E54" s="1">
        <f>COUNTIFS('Test Case Register'!B5:B700,"Attendance",'Test Case Register'!C5:C700,"Data Validation",'Test Case Register'!G5:G700,"Fail")</f>
        <v>0</v>
      </c>
      <c r="F54" s="1">
        <f>COUNTIFS('Test Case Register'!B5:B700,"Attendance",'Test Case Register'!C5:C700,"Data Validation",'Test Case Register'!G5:G700,"Blocked")</f>
        <v>0</v>
      </c>
      <c r="G54" s="1" t="str">
        <f>IF(D54+E54=0,"-",D54/(D54+E54))</f>
        <v>-</v>
      </c>
    </row>
    <row r="55">
      <c r="A55" s="1" t="str">
        <v>Editing &amp; Updates</v>
      </c>
      <c r="B55" s="1" t="str">
        <v>Attendance</v>
      </c>
      <c r="C55" s="1">
        <v>6</v>
      </c>
      <c r="D55" s="1">
        <f>COUNTIFS('Test Case Register'!B5:B700,"Attendance",'Test Case Register'!C5:C700,"Editing &amp; Updates",'Test Case Register'!G5:G700,"Pass")</f>
        <v>0</v>
      </c>
      <c r="E55" s="1">
        <f>COUNTIFS('Test Case Register'!B5:B700,"Attendance",'Test Case Register'!C5:C700,"Editing &amp; Updates",'Test Case Register'!G5:G700,"Fail")</f>
        <v>0</v>
      </c>
      <c r="F55" s="1">
        <f>COUNTIFS('Test Case Register'!B5:B700,"Attendance",'Test Case Register'!C5:C700,"Editing &amp; Updates",'Test Case Register'!G5:G700,"Blocked")</f>
        <v>0</v>
      </c>
      <c r="G55" s="1" t="str">
        <f>IF(D55+E55=0,"-",D55/(D55+E55))</f>
        <v>-</v>
      </c>
    </row>
    <row r="56">
      <c r="A56" s="1" t="str">
        <v>Form Actions</v>
      </c>
      <c r="B56" s="1" t="str">
        <v>Attendance</v>
      </c>
      <c r="C56" s="1">
        <v>3</v>
      </c>
      <c r="D56" s="1">
        <f>COUNTIFS('Test Case Register'!B5:B700,"Attendance",'Test Case Register'!C5:C700,"Form Actions",'Test Case Register'!G5:G700,"Pass")</f>
        <v>0</v>
      </c>
      <c r="E56" s="1">
        <f>COUNTIFS('Test Case Register'!B5:B700,"Attendance",'Test Case Register'!C5:C700,"Form Actions",'Test Case Register'!G5:G700,"Fail")</f>
        <v>0</v>
      </c>
      <c r="F56" s="1">
        <f>COUNTIFS('Test Case Register'!B5:B700,"Attendance",'Test Case Register'!C5:C700,"Form Actions",'Test Case Register'!G5:G700,"Blocked")</f>
        <v>0</v>
      </c>
      <c r="G56" s="1" t="str">
        <f>IF(D56+E56=0,"-",D56/(D56+E56))</f>
        <v>-</v>
      </c>
    </row>
    <row r="57">
      <c r="A57" s="1" t="str">
        <v>Expense Claim Creation &amp; Basic Details</v>
      </c>
      <c r="B57" s="1" t="str">
        <v>Expense Claim</v>
      </c>
      <c r="C57" s="1">
        <v>2</v>
      </c>
      <c r="D57" s="1">
        <f>COUNTIFS('Test Case Register'!B5:B700,"Expense Claim",'Test Case Register'!C5:C700,"Expense Claim Creation &amp; Basic Details",'Test Case Register'!G5:G700,"Pass")</f>
        <v>0</v>
      </c>
      <c r="E57" s="1">
        <f>COUNTIFS('Test Case Register'!B5:B700,"Expense Claim",'Test Case Register'!C5:C700,"Expense Claim Creation &amp; Basic Details",'Test Case Register'!G5:G700,"Fail")</f>
        <v>0</v>
      </c>
      <c r="F57" s="1">
        <f>COUNTIFS('Test Case Register'!B5:B700,"Expense Claim",'Test Case Register'!C5:C700,"Expense Claim Creation &amp; Basic Details",'Test Case Register'!G5:G700,"Blocked")</f>
        <v>0</v>
      </c>
      <c r="G57" s="1" t="str">
        <f>IF(D57+E57=0,"-",D57/(D57+E57))</f>
        <v>-</v>
      </c>
    </row>
    <row r="58">
      <c r="A58" s="1" t="str">
        <v>Series &amp; Auto-generation</v>
      </c>
      <c r="B58" s="1" t="str">
        <v>Expense Claim</v>
      </c>
      <c r="C58" s="1">
        <v>3</v>
      </c>
      <c r="D58" s="1">
        <f>COUNTIFS('Test Case Register'!B5:B700,"Expense Claim",'Test Case Register'!C5:C700,"Series &amp; Auto-generation",'Test Case Register'!G5:G700,"Pass")</f>
        <v>0</v>
      </c>
      <c r="E58" s="1">
        <f>COUNTIFS('Test Case Register'!B5:B700,"Expense Claim",'Test Case Register'!C5:C700,"Series &amp; Auto-generation",'Test Case Register'!G5:G700,"Fail")</f>
        <v>0</v>
      </c>
      <c r="F58" s="1">
        <f>COUNTIFS('Test Case Register'!B5:B700,"Expense Claim",'Test Case Register'!C5:C700,"Series &amp; Auto-generation",'Test Case Register'!G5:G700,"Blocked")</f>
        <v>0</v>
      </c>
      <c r="G58" s="1" t="str">
        <f>IF(D58+E58=0,"-",D58/(D58+E58))</f>
        <v>-</v>
      </c>
    </row>
    <row r="59">
      <c r="A59" s="1" t="str">
        <v>Employee Selection</v>
      </c>
      <c r="B59" s="1" t="str">
        <v>Expense Claim</v>
      </c>
      <c r="C59" s="1">
        <v>4</v>
      </c>
      <c r="D59" s="1">
        <f>COUNTIFS('Test Case Register'!B5:B700,"Expense Claim",'Test Case Register'!C5:C700,"Employee Selection",'Test Case Register'!G5:G700,"Pass")</f>
        <v>0</v>
      </c>
      <c r="E59" s="1">
        <f>COUNTIFS('Test Case Register'!B5:B700,"Expense Claim",'Test Case Register'!C5:C700,"Employee Selection",'Test Case Register'!G5:G700,"Fail")</f>
        <v>0</v>
      </c>
      <c r="F59" s="1">
        <f>COUNTIFS('Test Case Register'!B5:B700,"Expense Claim",'Test Case Register'!C5:C700,"Employee Selection",'Test Case Register'!G5:G700,"Blocked")</f>
        <v>0</v>
      </c>
      <c r="G59" s="1" t="str">
        <f>IF(D59+E59=0,"-",D59/(D59+E59))</f>
        <v>-</v>
      </c>
    </row>
    <row r="60">
      <c r="A60" s="1" t="str">
        <v>Company Details</v>
      </c>
      <c r="B60" s="1" t="str">
        <v>Expense Claim</v>
      </c>
      <c r="C60" s="1">
        <v>4</v>
      </c>
      <c r="D60" s="1">
        <f>COUNTIFS('Test Case Register'!B5:B700,"Expense Claim",'Test Case Register'!C5:C700,"Company Details",'Test Case Register'!G5:G700,"Pass")</f>
        <v>0</v>
      </c>
      <c r="E60" s="1">
        <f>COUNTIFS('Test Case Register'!B5:B700,"Expense Claim",'Test Case Register'!C5:C700,"Company Details",'Test Case Register'!G5:G700,"Fail")</f>
        <v>0</v>
      </c>
      <c r="F60" s="1">
        <f>COUNTIFS('Test Case Register'!B5:B700,"Expense Claim",'Test Case Register'!C5:C700,"Company Details",'Test Case Register'!G5:G700,"Blocked")</f>
        <v>0</v>
      </c>
      <c r="G60" s="1" t="str">
        <f>IF(D60+E60=0,"-",D60/(D60+E60))</f>
        <v>-</v>
      </c>
    </row>
    <row r="61">
      <c r="A61" s="1" t="str">
        <v>Expense Approver</v>
      </c>
      <c r="B61" s="1" t="str">
        <v>Expense Claim</v>
      </c>
      <c r="C61" s="1">
        <v>3</v>
      </c>
      <c r="D61" s="1">
        <f>COUNTIFS('Test Case Register'!B5:B700,"Expense Claim",'Test Case Register'!C5:C700,"Expense Approver",'Test Case Register'!G5:G700,"Pass")</f>
        <v>0</v>
      </c>
      <c r="E61" s="1">
        <f>COUNTIFS('Test Case Register'!B5:B700,"Expense Claim",'Test Case Register'!C5:C700,"Expense Approver",'Test Case Register'!G5:G700,"Fail")</f>
        <v>0</v>
      </c>
      <c r="F61" s="1">
        <f>COUNTIFS('Test Case Register'!B5:B700,"Expense Claim",'Test Case Register'!C5:C700,"Expense Approver",'Test Case Register'!G5:G700,"Blocked")</f>
        <v>0</v>
      </c>
      <c r="G61" s="1" t="str">
        <f>IF(D61+E61=0,"-",D61/(D61+E61))</f>
        <v>-</v>
      </c>
    </row>
    <row r="62">
      <c r="A62" s="1" t="str">
        <v>Approval Status</v>
      </c>
      <c r="B62" s="1" t="str">
        <v>Expense Claim</v>
      </c>
      <c r="C62" s="1">
        <v>4</v>
      </c>
      <c r="D62" s="1">
        <f>COUNTIFS('Test Case Register'!B5:B700,"Expense Claim",'Test Case Register'!C5:C700,"Approval Status",'Test Case Register'!G5:G700,"Pass")</f>
        <v>0</v>
      </c>
      <c r="E62" s="1">
        <f>COUNTIFS('Test Case Register'!B5:B700,"Expense Claim",'Test Case Register'!C5:C700,"Approval Status",'Test Case Register'!G5:G700,"Fail")</f>
        <v>0</v>
      </c>
      <c r="F62" s="1">
        <f>COUNTIFS('Test Case Register'!B5:B700,"Expense Claim",'Test Case Register'!C5:C700,"Approval Status",'Test Case Register'!G5:G700,"Blocked")</f>
        <v>0</v>
      </c>
      <c r="G62" s="1" t="str">
        <f>IF(D62+E62=0,"-",D62/(D62+E62))</f>
        <v>-</v>
      </c>
    </row>
    <row r="63">
      <c r="A63" s="1" t="str">
        <v>Expenses Table</v>
      </c>
      <c r="B63" s="1" t="str">
        <v>Expense Claim</v>
      </c>
      <c r="C63" s="1">
        <v>13</v>
      </c>
      <c r="D63" s="1">
        <f>COUNTIFS('Test Case Register'!B5:B700,"Expense Claim",'Test Case Register'!C5:C700,"Expenses Table",'Test Case Register'!G5:G700,"Pass")</f>
        <v>0</v>
      </c>
      <c r="E63" s="1">
        <f>COUNTIFS('Test Case Register'!B5:B700,"Expense Claim",'Test Case Register'!C5:C700,"Expenses Table",'Test Case Register'!G5:G700,"Fail")</f>
        <v>0</v>
      </c>
      <c r="F63" s="1">
        <f>COUNTIFS('Test Case Register'!B5:B700,"Expense Claim",'Test Case Register'!C5:C700,"Expenses Table",'Test Case Register'!G5:G700,"Blocked")</f>
        <v>0</v>
      </c>
      <c r="G63" s="1" t="str">
        <f>IF(D63+E63=0,"-",D63/(D63+E63))</f>
        <v>-</v>
      </c>
    </row>
    <row r="64">
      <c r="A64" s="1" t="str">
        <v>Taxes &amp; Charges</v>
      </c>
      <c r="B64" s="1" t="str">
        <v>Expense Claim</v>
      </c>
      <c r="C64" s="1">
        <v>7</v>
      </c>
      <c r="D64" s="1">
        <f>COUNTIFS('Test Case Register'!B5:B700,"Expense Claim",'Test Case Register'!C5:C700,"Taxes &amp; Charges",'Test Case Register'!G5:G700,"Pass")</f>
        <v>0</v>
      </c>
      <c r="E64" s="1">
        <f>COUNTIFS('Test Case Register'!B5:B700,"Expense Claim",'Test Case Register'!C5:C700,"Taxes &amp; Charges",'Test Case Register'!G5:G700,"Fail")</f>
        <v>0</v>
      </c>
      <c r="F64" s="1">
        <f>COUNTIFS('Test Case Register'!B5:B700,"Expense Claim",'Test Case Register'!C5:C700,"Taxes &amp; Charges",'Test Case Register'!G5:G700,"Blocked")</f>
        <v>0</v>
      </c>
      <c r="G64" s="1" t="str">
        <f>IF(D64+E64=0,"-",D64/(D64+E64))</f>
        <v>-</v>
      </c>
    </row>
    <row r="65">
      <c r="A65" s="1" t="str">
        <v>Accounting Details</v>
      </c>
      <c r="B65" s="1" t="str">
        <v>Expense Claim</v>
      </c>
      <c r="C65" s="1">
        <v>6</v>
      </c>
      <c r="D65" s="1">
        <f>COUNTIFS('Test Case Register'!B5:B700,"Expense Claim",'Test Case Register'!C5:C700,"Accounting Details",'Test Case Register'!G5:G700,"Pass")</f>
        <v>0</v>
      </c>
      <c r="E65" s="1">
        <f>COUNTIFS('Test Case Register'!B5:B700,"Expense Claim",'Test Case Register'!C5:C700,"Accounting Details",'Test Case Register'!G5:G700,"Fail")</f>
        <v>0</v>
      </c>
      <c r="F65" s="1">
        <f>COUNTIFS('Test Case Register'!B5:B700,"Expense Claim",'Test Case Register'!C5:C700,"Accounting Details",'Test Case Register'!G5:G700,"Blocked")</f>
        <v>0</v>
      </c>
      <c r="G65" s="1" t="str">
        <f>IF(D65+E65=0,"-",D65/(D65+E65))</f>
        <v>-</v>
      </c>
    </row>
    <row r="66">
      <c r="A66" s="1" t="str">
        <v>Data Validation</v>
      </c>
      <c r="B66" s="1" t="str">
        <v>Expense Claim</v>
      </c>
      <c r="C66" s="1">
        <v>4</v>
      </c>
      <c r="D66" s="1">
        <f>COUNTIFS('Test Case Register'!B5:B700,"Expense Claim",'Test Case Register'!C5:C700,"Data Validation",'Test Case Register'!G5:G700,"Pass")</f>
        <v>0</v>
      </c>
      <c r="E66" s="1">
        <f>COUNTIFS('Test Case Register'!B5:B700,"Expense Claim",'Test Case Register'!C5:C700,"Data Validation",'Test Case Register'!G5:G700,"Fail")</f>
        <v>0</v>
      </c>
      <c r="F66" s="1">
        <f>COUNTIFS('Test Case Register'!B5:B700,"Expense Claim",'Test Case Register'!C5:C700,"Data Validation",'Test Case Register'!G5:G700,"Blocked")</f>
        <v>0</v>
      </c>
      <c r="G66" s="1" t="str">
        <f>IF(D66+E66=0,"-",D66/(D66+E66))</f>
        <v>-</v>
      </c>
    </row>
    <row r="67">
      <c r="A67" s="1" t="str">
        <v>Editing &amp; Updates</v>
      </c>
      <c r="B67" s="1" t="str">
        <v>Expense Claim</v>
      </c>
      <c r="C67" s="1">
        <v>4</v>
      </c>
      <c r="D67" s="1">
        <f>COUNTIFS('Test Case Register'!B5:B700,"Expense Claim",'Test Case Register'!C5:C700,"Editing &amp; Updates",'Test Case Register'!G5:G700,"Pass")</f>
        <v>0</v>
      </c>
      <c r="E67" s="1">
        <f>COUNTIFS('Test Case Register'!B5:B700,"Expense Claim",'Test Case Register'!C5:C700,"Editing &amp; Updates",'Test Case Register'!G5:G700,"Fail")</f>
        <v>0</v>
      </c>
      <c r="F67" s="1">
        <f>COUNTIFS('Test Case Register'!B5:B700,"Expense Claim",'Test Case Register'!C5:C700,"Editing &amp; Updates",'Test Case Register'!G5:G700,"Blocked")</f>
        <v>0</v>
      </c>
      <c r="G67" s="1" t="str">
        <f>IF(D67+E67=0,"-",D67/(D67+E67))</f>
        <v>-</v>
      </c>
    </row>
    <row r="68">
      <c r="A68" s="1" t="str">
        <v>Form Actions</v>
      </c>
      <c r="B68" s="1" t="str">
        <v>Expense Claim</v>
      </c>
      <c r="C68" s="1">
        <v>6</v>
      </c>
      <c r="D68" s="1">
        <f>COUNTIFS('Test Case Register'!B5:B700,"Expense Claim",'Test Case Register'!C5:C700,"Form Actions",'Test Case Register'!G5:G700,"Pass")</f>
        <v>0</v>
      </c>
      <c r="E68" s="1">
        <f>COUNTIFS('Test Case Register'!B5:B700,"Expense Claim",'Test Case Register'!C5:C700,"Form Actions",'Test Case Register'!G5:G700,"Fail")</f>
        <v>0</v>
      </c>
      <c r="F68" s="1">
        <f>COUNTIFS('Test Case Register'!B5:B700,"Expense Claim",'Test Case Register'!C5:C700,"Form Actions",'Test Case Register'!G5:G700,"Blocked")</f>
        <v>0</v>
      </c>
      <c r="G68" s="1" t="str">
        <f>IF(D68+E68=0,"-",D68/(D68+E68))</f>
        <v>-</v>
      </c>
    </row>
    <row r="69">
      <c r="A69" s="1" t="str">
        <v>Leave Application Creation &amp; Basic Details</v>
      </c>
      <c r="B69" s="1" t="str">
        <v>Leave Application</v>
      </c>
      <c r="C69" s="1">
        <v>2</v>
      </c>
      <c r="D69" s="1">
        <f>COUNTIFS('Test Case Register'!B5:B700,"Leave Application",'Test Case Register'!C5:C700,"Leave Application Creation &amp; Basic Details",'Test Case Register'!G5:G700,"Pass")</f>
        <v>0</v>
      </c>
      <c r="E69" s="1">
        <f>COUNTIFS('Test Case Register'!B5:B700,"Leave Application",'Test Case Register'!C5:C700,"Leave Application Creation &amp; Basic Details",'Test Case Register'!G5:G700,"Fail")</f>
        <v>0</v>
      </c>
      <c r="F69" s="1">
        <f>COUNTIFS('Test Case Register'!B5:B700,"Leave Application",'Test Case Register'!C5:C700,"Leave Application Creation &amp; Basic Details",'Test Case Register'!G5:G700,"Blocked")</f>
        <v>0</v>
      </c>
      <c r="G69" s="1" t="str">
        <f>IF(D69+E69=0,"-",D69/(D69+E69))</f>
        <v>-</v>
      </c>
    </row>
    <row r="70">
      <c r="A70" s="1" t="str">
        <v>Series &amp; Auto-generation</v>
      </c>
      <c r="B70" s="1" t="str">
        <v>Leave Application</v>
      </c>
      <c r="C70" s="1">
        <v>3</v>
      </c>
      <c r="D70" s="1">
        <f>COUNTIFS('Test Case Register'!B5:B700,"Leave Application",'Test Case Register'!C5:C700,"Series &amp; Auto-generation",'Test Case Register'!G5:G700,"Pass")</f>
        <v>0</v>
      </c>
      <c r="E70" s="1">
        <f>COUNTIFS('Test Case Register'!B5:B700,"Leave Application",'Test Case Register'!C5:C700,"Series &amp; Auto-generation",'Test Case Register'!G5:G700,"Fail")</f>
        <v>0</v>
      </c>
      <c r="F70" s="1">
        <f>COUNTIFS('Test Case Register'!B5:B700,"Leave Application",'Test Case Register'!C5:C700,"Series &amp; Auto-generation",'Test Case Register'!G5:G700,"Blocked")</f>
        <v>0</v>
      </c>
      <c r="G70" s="1" t="str">
        <f>IF(D70+E70=0,"-",D70/(D70+E70))</f>
        <v>-</v>
      </c>
    </row>
    <row r="71">
      <c r="A71" s="1" t="str">
        <v>Employee Selection</v>
      </c>
      <c r="B71" s="1" t="str">
        <v>Leave Application</v>
      </c>
      <c r="C71" s="1">
        <v>3</v>
      </c>
      <c r="D71" s="1">
        <f>COUNTIFS('Test Case Register'!B5:B700,"Leave Application",'Test Case Register'!C5:C700,"Employee Selection",'Test Case Register'!G5:G700,"Pass")</f>
        <v>0</v>
      </c>
      <c r="E71" s="1">
        <f>COUNTIFS('Test Case Register'!B5:B700,"Leave Application",'Test Case Register'!C5:C700,"Employee Selection",'Test Case Register'!G5:G700,"Fail")</f>
        <v>0</v>
      </c>
      <c r="F71" s="1">
        <f>COUNTIFS('Test Case Register'!B5:B700,"Leave Application",'Test Case Register'!C5:C700,"Employee Selection",'Test Case Register'!G5:G700,"Blocked")</f>
        <v>0</v>
      </c>
      <c r="G71" s="1" t="str">
        <f>IF(D71+E71=0,"-",D71/(D71+E71))</f>
        <v>-</v>
      </c>
    </row>
    <row r="72">
      <c r="A72" s="1" t="str">
        <v>Leave Type Selection</v>
      </c>
      <c r="B72" s="1" t="str">
        <v>Leave Application</v>
      </c>
      <c r="C72" s="1">
        <v>4</v>
      </c>
      <c r="D72" s="1">
        <f>COUNTIFS('Test Case Register'!B5:B700,"Leave Application",'Test Case Register'!C5:C700,"Leave Type Selection",'Test Case Register'!G5:G700,"Pass")</f>
        <v>0</v>
      </c>
      <c r="E72" s="1">
        <f>COUNTIFS('Test Case Register'!B5:B700,"Leave Application",'Test Case Register'!C5:C700,"Leave Type Selection",'Test Case Register'!G5:G700,"Fail")</f>
        <v>0</v>
      </c>
      <c r="F72" s="1">
        <f>COUNTIFS('Test Case Register'!B5:B700,"Leave Application",'Test Case Register'!C5:C700,"Leave Type Selection",'Test Case Register'!G5:G700,"Blocked")</f>
        <v>0</v>
      </c>
      <c r="G72" s="1" t="str">
        <f>IF(D72+E72=0,"-",D72/(D72+E72))</f>
        <v>-</v>
      </c>
    </row>
    <row r="73">
      <c r="A73" s="1" t="str">
        <v>Company Details</v>
      </c>
      <c r="B73" s="1" t="str">
        <v>Leave Application</v>
      </c>
      <c r="C73" s="1">
        <v>3</v>
      </c>
      <c r="D73" s="1">
        <f>COUNTIFS('Test Case Register'!B5:B700,"Leave Application",'Test Case Register'!C5:C700,"Company Details",'Test Case Register'!G5:G700,"Pass")</f>
        <v>0</v>
      </c>
      <c r="E73" s="1">
        <f>COUNTIFS('Test Case Register'!B5:B700,"Leave Application",'Test Case Register'!C5:C700,"Company Details",'Test Case Register'!G5:G700,"Fail")</f>
        <v>0</v>
      </c>
      <c r="F73" s="1">
        <f>COUNTIFS('Test Case Register'!B5:B700,"Leave Application",'Test Case Register'!C5:C700,"Company Details",'Test Case Register'!G5:G700,"Blocked")</f>
        <v>0</v>
      </c>
      <c r="G73" s="1" t="str">
        <f>IF(D73+E73=0,"-",D73/(D73+E73))</f>
        <v>-</v>
      </c>
    </row>
    <row r="74">
      <c r="A74" s="1" t="str">
        <v>Date Range</v>
      </c>
      <c r="B74" s="1" t="str">
        <v>Leave Application</v>
      </c>
      <c r="C74" s="1">
        <v>7</v>
      </c>
      <c r="D74" s="1">
        <f>COUNTIFS('Test Case Register'!B5:B700,"Leave Application",'Test Case Register'!C5:C700,"Date Range",'Test Case Register'!G5:G700,"Pass")</f>
        <v>0</v>
      </c>
      <c r="E74" s="1">
        <f>COUNTIFS('Test Case Register'!B5:B700,"Leave Application",'Test Case Register'!C5:C700,"Date Range",'Test Case Register'!G5:G700,"Fail")</f>
        <v>0</v>
      </c>
      <c r="F74" s="1">
        <f>COUNTIFS('Test Case Register'!B5:B700,"Leave Application",'Test Case Register'!C5:C700,"Date Range",'Test Case Register'!G5:G700,"Blocked")</f>
        <v>0</v>
      </c>
      <c r="G74" s="1" t="str">
        <f>IF(D74+E74=0,"-",D74/(D74+E74))</f>
        <v>-</v>
      </c>
    </row>
    <row r="75">
      <c r="A75" s="1" t="str">
        <v>Half Day Leave</v>
      </c>
      <c r="B75" s="1" t="str">
        <v>Leave Application</v>
      </c>
      <c r="C75" s="1">
        <v>6</v>
      </c>
      <c r="D75" s="1">
        <f>COUNTIFS('Test Case Register'!B5:B700,"Leave Application",'Test Case Register'!C5:C700,"Half Day Leave",'Test Case Register'!G5:G700,"Pass")</f>
        <v>0</v>
      </c>
      <c r="E75" s="1">
        <f>COUNTIFS('Test Case Register'!B5:B700,"Leave Application",'Test Case Register'!C5:C700,"Half Day Leave",'Test Case Register'!G5:G700,"Fail")</f>
        <v>0</v>
      </c>
      <c r="F75" s="1">
        <f>COUNTIFS('Test Case Register'!B5:B700,"Leave Application",'Test Case Register'!C5:C700,"Half Day Leave",'Test Case Register'!G5:G700,"Blocked")</f>
        <v>0</v>
      </c>
      <c r="G75" s="1" t="str">
        <f>IF(D75+E75=0,"-",D75/(D75+E75))</f>
        <v>-</v>
      </c>
    </row>
    <row r="76">
      <c r="A76" s="1" t="str">
        <v>Reason</v>
      </c>
      <c r="B76" s="1" t="str">
        <v>Leave Application</v>
      </c>
      <c r="C76" s="1">
        <v>3</v>
      </c>
      <c r="D76" s="1">
        <f>COUNTIFS('Test Case Register'!B5:B700,"Leave Application",'Test Case Register'!C5:C700,"Reason",'Test Case Register'!G5:G700,"Pass")</f>
        <v>0</v>
      </c>
      <c r="E76" s="1">
        <f>COUNTIFS('Test Case Register'!B5:B700,"Leave Application",'Test Case Register'!C5:C700,"Reason",'Test Case Register'!G5:G700,"Fail")</f>
        <v>0</v>
      </c>
      <c r="F76" s="1">
        <f>COUNTIFS('Test Case Register'!B5:B700,"Leave Application",'Test Case Register'!C5:C700,"Reason",'Test Case Register'!G5:G700,"Blocked")</f>
        <v>0</v>
      </c>
      <c r="G76" s="1" t="str">
        <f>IF(D76+E76=0,"-",D76/(D76+E76))</f>
        <v>-</v>
      </c>
    </row>
    <row r="77">
      <c r="A77" s="1" t="str">
        <v>Leave Approver</v>
      </c>
      <c r="B77" s="1" t="str">
        <v>Leave Application</v>
      </c>
      <c r="C77" s="1">
        <v>4</v>
      </c>
      <c r="D77" s="1">
        <f>COUNTIFS('Test Case Register'!B5:B700,"Leave Application",'Test Case Register'!C5:C700,"Leave Approver",'Test Case Register'!G5:G700,"Pass")</f>
        <v>0</v>
      </c>
      <c r="E77" s="1">
        <f>COUNTIFS('Test Case Register'!B5:B700,"Leave Application",'Test Case Register'!C5:C700,"Leave Approver",'Test Case Register'!G5:G700,"Fail")</f>
        <v>0</v>
      </c>
      <c r="F77" s="1">
        <f>COUNTIFS('Test Case Register'!B5:B700,"Leave Application",'Test Case Register'!C5:C700,"Leave Approver",'Test Case Register'!G5:G700,"Blocked")</f>
        <v>0</v>
      </c>
      <c r="G77" s="1" t="str">
        <f>IF(D77+E77=0,"-",D77/(D77+E77))</f>
        <v>-</v>
      </c>
    </row>
    <row r="78">
      <c r="A78" s="1" t="str">
        <v>Posting Date</v>
      </c>
      <c r="B78" s="1" t="str">
        <v>Leave Application</v>
      </c>
      <c r="C78" s="1">
        <v>3</v>
      </c>
      <c r="D78" s="1">
        <f>COUNTIFS('Test Case Register'!B5:B700,"Leave Application",'Test Case Register'!C5:C700,"Posting Date",'Test Case Register'!G5:G700,"Pass")</f>
        <v>0</v>
      </c>
      <c r="E78" s="1">
        <f>COUNTIFS('Test Case Register'!B5:B700,"Leave Application",'Test Case Register'!C5:C700,"Posting Date",'Test Case Register'!G5:G700,"Fail")</f>
        <v>0</v>
      </c>
      <c r="F78" s="1">
        <f>COUNTIFS('Test Case Register'!B5:B700,"Leave Application",'Test Case Register'!C5:C700,"Posting Date",'Test Case Register'!G5:G700,"Blocked")</f>
        <v>0</v>
      </c>
      <c r="G78" s="1" t="str">
        <f>IF(D78+E78=0,"-",D78/(D78+E78))</f>
        <v>-</v>
      </c>
    </row>
    <row r="79">
      <c r="A79" s="1" t="str">
        <v>Leave Balance</v>
      </c>
      <c r="B79" s="1" t="str">
        <v>Leave Application</v>
      </c>
      <c r="C79" s="1">
        <v>5</v>
      </c>
      <c r="D79" s="1">
        <f>COUNTIFS('Test Case Register'!B5:B700,"Leave Application",'Test Case Register'!C5:C700,"Leave Balance",'Test Case Register'!G5:G700,"Pass")</f>
        <v>0</v>
      </c>
      <c r="E79" s="1">
        <f>COUNTIFS('Test Case Register'!B5:B700,"Leave Application",'Test Case Register'!C5:C700,"Leave Balance",'Test Case Register'!G5:G700,"Fail")</f>
        <v>0</v>
      </c>
      <c r="F79" s="1">
        <f>COUNTIFS('Test Case Register'!B5:B700,"Leave Application",'Test Case Register'!C5:C700,"Leave Balance",'Test Case Register'!G5:G700,"Blocked")</f>
        <v>0</v>
      </c>
      <c r="G79" s="1" t="str">
        <f>IF(D79+E79=0,"-",D79/(D79+E79))</f>
        <v>-</v>
      </c>
    </row>
    <row r="80">
      <c r="A80" s="1" t="str">
        <v>Status &amp; Workflow</v>
      </c>
      <c r="B80" s="1" t="str">
        <v>Leave Application</v>
      </c>
      <c r="C80" s="1">
        <v>5</v>
      </c>
      <c r="D80" s="1">
        <f>COUNTIFS('Test Case Register'!B5:B700,"Leave Application",'Test Case Register'!C5:C700,"Status &amp; Workflow",'Test Case Register'!G5:G700,"Pass")</f>
        <v>0</v>
      </c>
      <c r="E80" s="1">
        <f>COUNTIFS('Test Case Register'!B5:B700,"Leave Application",'Test Case Register'!C5:C700,"Status &amp; Workflow",'Test Case Register'!G5:G700,"Fail")</f>
        <v>0</v>
      </c>
      <c r="F80" s="1">
        <f>COUNTIFS('Test Case Register'!B5:B700,"Leave Application",'Test Case Register'!C5:C700,"Status &amp; Workflow",'Test Case Register'!G5:G700,"Blocked")</f>
        <v>0</v>
      </c>
      <c r="G80" s="1" t="str">
        <f>IF(D80+E80=0,"-",D80/(D80+E80))</f>
        <v>-</v>
      </c>
    </row>
    <row r="81">
      <c r="A81" s="1" t="str">
        <v>Data Validation</v>
      </c>
      <c r="B81" s="1" t="str">
        <v>Leave Application</v>
      </c>
      <c r="C81" s="1">
        <v>5</v>
      </c>
      <c r="D81" s="1">
        <f>COUNTIFS('Test Case Register'!B5:B700,"Leave Application",'Test Case Register'!C5:C700,"Data Validation",'Test Case Register'!G5:G700,"Pass")</f>
        <v>0</v>
      </c>
      <c r="E81" s="1">
        <f>COUNTIFS('Test Case Register'!B5:B700,"Leave Application",'Test Case Register'!C5:C700,"Data Validation",'Test Case Register'!G5:G700,"Fail")</f>
        <v>0</v>
      </c>
      <c r="F81" s="1">
        <f>COUNTIFS('Test Case Register'!B5:B700,"Leave Application",'Test Case Register'!C5:C700,"Data Validation",'Test Case Register'!G5:G700,"Blocked")</f>
        <v>0</v>
      </c>
      <c r="G81" s="1" t="str">
        <f>IF(D81+E81=0,"-",D81/(D81+E81))</f>
        <v>-</v>
      </c>
    </row>
    <row r="82">
      <c r="A82" s="1" t="str">
        <v>Editing &amp; Updates</v>
      </c>
      <c r="B82" s="1" t="str">
        <v>Leave Application</v>
      </c>
      <c r="C82" s="1">
        <v>5</v>
      </c>
      <c r="D82" s="1">
        <f>COUNTIFS('Test Case Register'!B5:B700,"Leave Application",'Test Case Register'!C5:C700,"Editing &amp; Updates",'Test Case Register'!G5:G700,"Pass")</f>
        <v>0</v>
      </c>
      <c r="E82" s="1">
        <f>COUNTIFS('Test Case Register'!B5:B700,"Leave Application",'Test Case Register'!C5:C700,"Editing &amp; Updates",'Test Case Register'!G5:G700,"Fail")</f>
        <v>0</v>
      </c>
      <c r="F82" s="1">
        <f>COUNTIFS('Test Case Register'!B5:B700,"Leave Application",'Test Case Register'!C5:C700,"Editing &amp; Updates",'Test Case Register'!G5:G700,"Blocked")</f>
        <v>0</v>
      </c>
      <c r="G82" s="1" t="str">
        <f>IF(D82+E82=0,"-",D82/(D82+E82))</f>
        <v>-</v>
      </c>
    </row>
    <row r="83">
      <c r="A83" s="1" t="str">
        <v>Form Actions</v>
      </c>
      <c r="B83" s="1" t="str">
        <v>Leave Application</v>
      </c>
      <c r="C83" s="1">
        <v>7</v>
      </c>
      <c r="D83" s="1">
        <f>COUNTIFS('Test Case Register'!B5:B700,"Leave Application",'Test Case Register'!C5:C700,"Form Actions",'Test Case Register'!G5:G700,"Pass")</f>
        <v>0</v>
      </c>
      <c r="E83" s="1">
        <f>COUNTIFS('Test Case Register'!B5:B700,"Leave Application",'Test Case Register'!C5:C700,"Form Actions",'Test Case Register'!G5:G700,"Fail")</f>
        <v>0</v>
      </c>
      <c r="F83" s="1">
        <f>COUNTIFS('Test Case Register'!B5:B700,"Leave Application",'Test Case Register'!C5:C700,"Form Actions",'Test Case Register'!G5:G700,"Blocked")</f>
        <v>0</v>
      </c>
      <c r="G83" s="1" t="str">
        <f>IF(D83+E83=0,"-",D83/(D83+E83))</f>
        <v>-</v>
      </c>
    </row>
    <row r="84">
      <c r="A84" s="1" t="str">
        <v>Service Call Creation &amp; Basic Details</v>
      </c>
      <c r="B84" s="1" t="str">
        <v>Service Call</v>
      </c>
      <c r="C84" s="1">
        <v>5</v>
      </c>
      <c r="D84" s="1">
        <f>COUNTIFS('Test Case Register'!B5:B700,"Service Call",'Test Case Register'!C5:C700,"Service Call Creation &amp; Basic Details",'Test Case Register'!G5:G700,"Pass")</f>
        <v>0</v>
      </c>
      <c r="E84" s="1">
        <f>COUNTIFS('Test Case Register'!B5:B700,"Service Call",'Test Case Register'!C5:C700,"Service Call Creation &amp; Basic Details",'Test Case Register'!G5:G700,"Fail")</f>
        <v>0</v>
      </c>
      <c r="F84" s="1">
        <f>COUNTIFS('Test Case Register'!B5:B700,"Service Call",'Test Case Register'!C5:C700,"Service Call Creation &amp; Basic Details",'Test Case Register'!G5:G700,"Blocked")</f>
        <v>0</v>
      </c>
      <c r="G84" s="1" t="str">
        <f>IF(D84+E84=0,"-",D84/(D84+E84))</f>
        <v>-</v>
      </c>
    </row>
    <row r="85">
      <c r="A85" s="1" t="str">
        <v>Customer &amp; Location Validation</v>
      </c>
      <c r="B85" s="1" t="str">
        <v>Service Call</v>
      </c>
      <c r="C85" s="1">
        <v>4</v>
      </c>
      <c r="D85" s="1">
        <f>COUNTIFS('Test Case Register'!B5:B700,"Service Call",'Test Case Register'!C5:C700,"Customer &amp; Location Validation",'Test Case Register'!G5:G700,"Pass")</f>
        <v>0</v>
      </c>
      <c r="E85" s="1">
        <f>COUNTIFS('Test Case Register'!B5:B700,"Service Call",'Test Case Register'!C5:C700,"Customer &amp; Location Validation",'Test Case Register'!G5:G700,"Fail")</f>
        <v>0</v>
      </c>
      <c r="F85" s="1">
        <f>COUNTIFS('Test Case Register'!B5:B700,"Service Call",'Test Case Register'!C5:C700,"Customer &amp; Location Validation",'Test Case Register'!G5:G700,"Blocked")</f>
        <v>0</v>
      </c>
      <c r="G85" s="1" t="str">
        <f>IF(D85+E85=0,"-",D85/(D85+E85))</f>
        <v>-</v>
      </c>
    </row>
    <row r="86">
      <c r="A86" s="1" t="str">
        <v>Technician Assignment</v>
      </c>
      <c r="B86" s="1" t="str">
        <v>Service Call</v>
      </c>
      <c r="C86" s="1">
        <v>4</v>
      </c>
      <c r="D86" s="1">
        <f>COUNTIFS('Test Case Register'!B5:B700,"Service Call",'Test Case Register'!C5:C700,"Technician Assignment",'Test Case Register'!G5:G700,"Pass")</f>
        <v>0</v>
      </c>
      <c r="E86" s="1">
        <f>COUNTIFS('Test Case Register'!B5:B700,"Service Call",'Test Case Register'!C5:C700,"Technician Assignment",'Test Case Register'!G5:G700,"Fail")</f>
        <v>0</v>
      </c>
      <c r="F86" s="1">
        <f>COUNTIFS('Test Case Register'!B5:B700,"Service Call",'Test Case Register'!C5:C700,"Technician Assignment",'Test Case Register'!G5:G700,"Blocked")</f>
        <v>0</v>
      </c>
      <c r="G86" s="1" t="str">
        <f>IF(D86+E86=0,"-",D86/(D86+E86))</f>
        <v>-</v>
      </c>
    </row>
    <row r="87">
      <c r="A87" s="1" t="str">
        <v>Priority &amp; Status Management</v>
      </c>
      <c r="B87" s="1" t="str">
        <v>Service Call</v>
      </c>
      <c r="C87" s="1">
        <v>5</v>
      </c>
      <c r="D87" s="1">
        <f>COUNTIFS('Test Case Register'!B5:B700,"Service Call",'Test Case Register'!C5:C700,"Priority &amp; Status Management",'Test Case Register'!G5:G700,"Pass")</f>
        <v>0</v>
      </c>
      <c r="E87" s="1">
        <f>COUNTIFS('Test Case Register'!B5:B700,"Service Call",'Test Case Register'!C5:C700,"Priority &amp; Status Management",'Test Case Register'!G5:G700,"Fail")</f>
        <v>0</v>
      </c>
      <c r="F87" s="1">
        <f>COUNTIFS('Test Case Register'!B5:B700,"Service Call",'Test Case Register'!C5:C700,"Priority &amp; Status Management",'Test Case Register'!G5:G700,"Blocked")</f>
        <v>0</v>
      </c>
      <c r="G87" s="1" t="str">
        <f>IF(D87+E87=0,"-",D87/(D87+E87))</f>
        <v>-</v>
      </c>
    </row>
    <row r="88">
      <c r="A88" s="1" t="str">
        <v>Service Date &amp; Time</v>
      </c>
      <c r="B88" s="1" t="str">
        <v>Service Call</v>
      </c>
      <c r="C88" s="1">
        <v>4</v>
      </c>
      <c r="D88" s="1">
        <f>COUNTIFS('Test Case Register'!B5:B700,"Service Call",'Test Case Register'!C5:C700,"Service Date &amp; Time",'Test Case Register'!G5:G700,"Pass")</f>
        <v>0</v>
      </c>
      <c r="E88" s="1">
        <f>COUNTIFS('Test Case Register'!B5:B700,"Service Call",'Test Case Register'!C5:C700,"Service Date &amp; Time",'Test Case Register'!G5:G700,"Fail")</f>
        <v>0</v>
      </c>
      <c r="F88" s="1">
        <f>COUNTIFS('Test Case Register'!B5:B700,"Service Call",'Test Case Register'!C5:C700,"Service Date &amp; Time",'Test Case Register'!G5:G700,"Blocked")</f>
        <v>0</v>
      </c>
      <c r="G88" s="1" t="str">
        <f>IF(D88+E88=0,"-",D88/(D88+E88))</f>
        <v>-</v>
      </c>
    </row>
    <row r="89">
      <c r="A89" s="1" t="str">
        <v>Service Items &amp; Inventory</v>
      </c>
      <c r="B89" s="1" t="str">
        <v>Service Call</v>
      </c>
      <c r="C89" s="1">
        <v>5</v>
      </c>
      <c r="D89" s="1">
        <f>COUNTIFS('Test Case Register'!B5:B700,"Service Call",'Test Case Register'!C5:C700,"Service Items &amp; Inventory",'Test Case Register'!G5:G700,"Pass")</f>
        <v>0</v>
      </c>
      <c r="E89" s="1">
        <f>COUNTIFS('Test Case Register'!B5:B700,"Service Call",'Test Case Register'!C5:C700,"Service Items &amp; Inventory",'Test Case Register'!G5:G700,"Fail")</f>
        <v>0</v>
      </c>
      <c r="F89" s="1">
        <f>COUNTIFS('Test Case Register'!B5:B700,"Service Call",'Test Case Register'!C5:C700,"Service Items &amp; Inventory",'Test Case Register'!G5:G700,"Blocked")</f>
        <v>0</v>
      </c>
      <c r="G89" s="1" t="str">
        <f>IF(D89+E89=0,"-",D89/(D89+E89))</f>
        <v>-</v>
      </c>
    </row>
    <row r="90">
      <c r="A90" s="1" t="str">
        <v>Billing &amp; Cost Calculation</v>
      </c>
      <c r="B90" s="1" t="str">
        <v>Service Call</v>
      </c>
      <c r="C90" s="1">
        <v>4</v>
      </c>
      <c r="D90" s="1">
        <f>COUNTIFS('Test Case Register'!B5:B700,"Service Call",'Test Case Register'!C5:C700,"Billing &amp; Cost Calculation",'Test Case Register'!G5:G700,"Pass")</f>
        <v>0</v>
      </c>
      <c r="E90" s="1">
        <f>COUNTIFS('Test Case Register'!B5:B700,"Service Call",'Test Case Register'!C5:C700,"Billing &amp; Cost Calculation",'Test Case Register'!G5:G700,"Fail")</f>
        <v>0</v>
      </c>
      <c r="F90" s="1">
        <f>COUNTIFS('Test Case Register'!B5:B700,"Service Call",'Test Case Register'!C5:C700,"Billing &amp; Cost Calculation",'Test Case Register'!G5:G700,"Blocked")</f>
        <v>0</v>
      </c>
      <c r="G90" s="1" t="str">
        <f>IF(D90+E90=0,"-",D90/(D90+E90))</f>
        <v>-</v>
      </c>
    </row>
    <row r="91">
      <c r="A91" s="1" t="str">
        <v>SLA &amp; Warranty</v>
      </c>
      <c r="B91" s="1" t="str">
        <v>Service Call</v>
      </c>
      <c r="C91" s="1">
        <v>3</v>
      </c>
      <c r="D91" s="1">
        <f>COUNTIFS('Test Case Register'!B5:B700,"Service Call",'Test Case Register'!C5:C700,"SLA &amp; Warranty",'Test Case Register'!G5:G700,"Pass")</f>
        <v>0</v>
      </c>
      <c r="E91" s="1">
        <f>COUNTIFS('Test Case Register'!B5:B700,"Service Call",'Test Case Register'!C5:C700,"SLA &amp; Warranty",'Test Case Register'!G5:G700,"Fail")</f>
        <v>0</v>
      </c>
      <c r="F91" s="1">
        <f>COUNTIFS('Test Case Register'!B5:B700,"Service Call",'Test Case Register'!C5:C700,"SLA &amp; Warranty",'Test Case Register'!G5:G700,"Blocked")</f>
        <v>0</v>
      </c>
      <c r="G91" s="1" t="str">
        <f>IF(D91+E91=0,"-",D91/(D91+E91))</f>
        <v>-</v>
      </c>
    </row>
    <row r="92">
      <c r="A92" s="1" t="str">
        <v>Documentation</v>
      </c>
      <c r="B92" s="1" t="str">
        <v>Service Call</v>
      </c>
      <c r="C92" s="1">
        <v>4</v>
      </c>
      <c r="D92" s="1">
        <f>COUNTIFS('Test Case Register'!B5:B700,"Service Call",'Test Case Register'!C5:C700,"Documentation",'Test Case Register'!G5:G700,"Pass")</f>
        <v>0</v>
      </c>
      <c r="E92" s="1">
        <f>COUNTIFS('Test Case Register'!B5:B700,"Service Call",'Test Case Register'!C5:C700,"Documentation",'Test Case Register'!G5:G700,"Fail")</f>
        <v>0</v>
      </c>
      <c r="F92" s="1">
        <f>COUNTIFS('Test Case Register'!B5:B700,"Service Call",'Test Case Register'!C5:C700,"Documentation",'Test Case Register'!G5:G700,"Blocked")</f>
        <v>0</v>
      </c>
      <c r="G92" s="1" t="str">
        <f>IF(D92+E92=0,"-",D92/(D92+E92))</f>
        <v>-</v>
      </c>
    </row>
    <row r="93">
      <c r="A93" s="1" t="str">
        <v>Data Validation</v>
      </c>
      <c r="B93" s="1" t="str">
        <v>Service Call</v>
      </c>
      <c r="C93" s="1">
        <v>3</v>
      </c>
      <c r="D93" s="1">
        <f>COUNTIFS('Test Case Register'!B5:B700,"Service Call",'Test Case Register'!C5:C700,"Data Validation",'Test Case Register'!G5:G700,"Pass")</f>
        <v>0</v>
      </c>
      <c r="E93" s="1">
        <f>COUNTIFS('Test Case Register'!B5:B700,"Service Call",'Test Case Register'!C5:C700,"Data Validation",'Test Case Register'!G5:G700,"Fail")</f>
        <v>0</v>
      </c>
      <c r="F93" s="1">
        <f>COUNTIFS('Test Case Register'!B5:B700,"Service Call",'Test Case Register'!C5:C700,"Data Validation",'Test Case Register'!G5:G700,"Blocked")</f>
        <v>0</v>
      </c>
      <c r="G93" s="1" t="str">
        <f>IF(D93+E93=0,"-",D93/(D93+E93))</f>
        <v>-</v>
      </c>
    </row>
    <row r="94">
      <c r="A94" s="1" t="str">
        <v>Editing &amp; Updates</v>
      </c>
      <c r="B94" s="1" t="str">
        <v>Service Call</v>
      </c>
      <c r="C94" s="1">
        <v>3</v>
      </c>
      <c r="D94" s="1">
        <f>COUNTIFS('Test Case Register'!B5:B700,"Service Call",'Test Case Register'!C5:C700,"Editing &amp; Updates",'Test Case Register'!G5:G700,"Pass")</f>
        <v>0</v>
      </c>
      <c r="E94" s="1">
        <f>COUNTIFS('Test Case Register'!B5:B700,"Service Call",'Test Case Register'!C5:C700,"Editing &amp; Updates",'Test Case Register'!G5:G700,"Fail")</f>
        <v>0</v>
      </c>
      <c r="F94" s="1">
        <f>COUNTIFS('Test Case Register'!B5:B700,"Service Call",'Test Case Register'!C5:C700,"Editing &amp; Updates",'Test Case Register'!G5:G700,"Blocked")</f>
        <v>0</v>
      </c>
      <c r="G94" s="1" t="str">
        <f>IF(D94+E94=0,"-",D94/(D94+E94))</f>
        <v>-</v>
      </c>
    </row>
    <row r="95">
      <c r="A95" s="1" t="str">
        <v>Bulk Operations</v>
      </c>
      <c r="B95" s="1" t="str">
        <v>Service Call</v>
      </c>
      <c r="C95" s="1">
        <v>3</v>
      </c>
      <c r="D95" s="1">
        <f>COUNTIFS('Test Case Register'!B5:B700,"Service Call",'Test Case Register'!C5:C700,"Bulk Operations",'Test Case Register'!G5:G700,"Pass")</f>
        <v>0</v>
      </c>
      <c r="E95" s="1">
        <f>COUNTIFS('Test Case Register'!B5:B700,"Service Call",'Test Case Register'!C5:C700,"Bulk Operations",'Test Case Register'!G5:G700,"Fail")</f>
        <v>0</v>
      </c>
      <c r="F95" s="1">
        <f>COUNTIFS('Test Case Register'!B5:B700,"Service Call",'Test Case Register'!C5:C700,"Bulk Operations",'Test Case Register'!G5:G700,"Blocked")</f>
        <v>0</v>
      </c>
      <c r="G95" s="1" t="str">
        <f>IF(D95+E95=0,"-",D95/(D95+E95))</f>
        <v>-</v>
      </c>
    </row>
    <row r="96">
      <c r="A96" s="1" t="str">
        <v>Permissions &amp; Access</v>
      </c>
      <c r="B96" s="1" t="str">
        <v>Service Call</v>
      </c>
      <c r="C96" s="1">
        <v>3</v>
      </c>
      <c r="D96" s="1">
        <f>COUNTIFS('Test Case Register'!B5:B700,"Service Call",'Test Case Register'!C5:C700,"Permissions &amp; Access",'Test Case Register'!G5:G700,"Pass")</f>
        <v>0</v>
      </c>
      <c r="E96" s="1">
        <f>COUNTIFS('Test Case Register'!B5:B700,"Service Call",'Test Case Register'!C5:C700,"Permissions &amp; Access",'Test Case Register'!G5:G700,"Fail")</f>
        <v>0</v>
      </c>
      <c r="F96" s="1">
        <f>COUNTIFS('Test Case Register'!B5:B700,"Service Call",'Test Case Register'!C5:C700,"Permissions &amp; Access",'Test Case Register'!G5:G700,"Blocked")</f>
        <v>0</v>
      </c>
      <c r="G96" s="1" t="str">
        <f>IF(D96+E96=0,"-",D96/(D96+E96))</f>
        <v>-</v>
      </c>
    </row>
  </sheetData>
  <mergeCells count="64">
    <mergeCell ref="A1:L1"/>
    <mergeCell ref="A2:L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L7"/>
    <mergeCell ref="A8:B8"/>
    <mergeCell ref="C8:D8"/>
    <mergeCell ref="E8:F8"/>
    <mergeCell ref="G8:H8"/>
    <mergeCell ref="I8:J8"/>
    <mergeCell ref="K8:L8"/>
    <mergeCell ref="A9:B9"/>
    <mergeCell ref="C9:D9"/>
    <mergeCell ref="E9:F9"/>
    <mergeCell ref="G9:H9"/>
    <mergeCell ref="I9:J9"/>
    <mergeCell ref="K9:L9"/>
    <mergeCell ref="A10:B10"/>
    <mergeCell ref="C10:D10"/>
    <mergeCell ref="E10:F10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A12:B12"/>
    <mergeCell ref="C12:D12"/>
    <mergeCell ref="E12:F12"/>
    <mergeCell ref="G12:H12"/>
    <mergeCell ref="I12:J12"/>
    <mergeCell ref="K12:L12"/>
    <mergeCell ref="A13:B13"/>
    <mergeCell ref="C13:D13"/>
    <mergeCell ref="E13:F13"/>
    <mergeCell ref="G13:H13"/>
    <mergeCell ref="I13:J13"/>
    <mergeCell ref="K13:L13"/>
    <mergeCell ref="A14:B14"/>
    <mergeCell ref="C14:D14"/>
    <mergeCell ref="E14:F14"/>
    <mergeCell ref="G14:H14"/>
    <mergeCell ref="I14:J14"/>
    <mergeCell ref="K14:L14"/>
    <mergeCell ref="A15:B15"/>
    <mergeCell ref="C15:D15"/>
    <mergeCell ref="E15:F15"/>
    <mergeCell ref="G15:H15"/>
    <mergeCell ref="I15:J15"/>
    <mergeCell ref="K15:L15"/>
    <mergeCell ref="A18:L18"/>
  </mergeCells>
  <pageMargins left="0.75" right="0.75" top="1" bottom="1" header="0.511811023622047" footer="0.511811023622047"/>
  <ignoredErrors>
    <ignoredError numberStoredAsText="1" sqref="A1:L9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331"/>
  <sheetViews>
    <sheetView workbookViewId="0" rightToLeft="0"/>
  </sheetViews>
  <sheetData>
    <row r="1">
      <c r="A1" s="1" t="str">
        <v>AMC Core — Master Priority &amp; Coverage Analysis</v>
      </c>
    </row>
    <row r="2">
      <c r="A2" s="1" t="str">
        <v>All 320 test cases sorted by priority. Execute Critical first across all DocTypes.</v>
      </c>
    </row>
    <row r="4">
      <c r="A4" s="1" t="str">
        <v>Priority</v>
      </c>
      <c r="B4" s="1" t="str">
        <v>Test ID</v>
      </c>
      <c r="C4" s="1" t="str">
        <v>DocType</v>
      </c>
      <c r="D4" s="1" t="str">
        <v>Module</v>
      </c>
      <c r="E4" s="1" t="str">
        <v>Test Case Title</v>
      </c>
      <c r="F4" s="1" t="str">
        <v>Business Rule</v>
      </c>
    </row>
    <row r="5">
      <c r="A5" s="1" t="str">
        <v>Critical</v>
      </c>
      <c r="B5" s="1" t="str">
        <v>CUST-001</v>
      </c>
      <c r="C5" s="1" t="str">
        <v>AMC Customers</v>
      </c>
      <c r="D5" s="1" t="str">
        <v>Customer Creation &amp; Basic Details</v>
      </c>
      <c r="E5" s="1" t="str">
        <v>Create customer with Customer Name only (minimum required)</v>
      </c>
      <c r="F5" s="1" t="str">
        <v>BR-CUST-01</v>
      </c>
    </row>
    <row r="6">
      <c r="A6" s="1" t="str">
        <v>Critical</v>
      </c>
      <c r="B6" s="1" t="str">
        <v>CUST-002</v>
      </c>
      <c r="C6" s="1" t="str">
        <v>AMC Customers</v>
      </c>
      <c r="D6" s="1" t="str">
        <v>Customer Creation &amp; Basic Details</v>
      </c>
      <c r="E6" s="1" t="str">
        <v>Create Company customer with all basic fields (Name, Type, GST, PAN)</v>
      </c>
      <c r="F6" s="1" t="str">
        <v>BR-CUST-01, BR-CUST-02</v>
      </c>
    </row>
    <row r="7">
      <c r="A7" s="1" t="str">
        <v>Critical</v>
      </c>
      <c r="B7" s="1" t="str">
        <v>CUST-005</v>
      </c>
      <c r="C7" s="1" t="str">
        <v>AMC Customers</v>
      </c>
      <c r="D7" s="1" t="str">
        <v>GST Validation</v>
      </c>
      <c r="E7" s="1" t="str">
        <v>Valid 15-character GSTIN is accepted</v>
      </c>
      <c r="F7" s="1" t="str">
        <v>BR-CUST-03</v>
      </c>
    </row>
    <row r="8">
      <c r="A8" s="1" t="str">
        <v>Critical</v>
      </c>
      <c r="B8" s="1" t="str">
        <v>CUST-006</v>
      </c>
      <c r="C8" s="1" t="str">
        <v>AMC Customers</v>
      </c>
      <c r="D8" s="1" t="str">
        <v>GST Validation</v>
      </c>
      <c r="E8" s="1" t="str">
        <v>Invalid GST format is rejected with specific error message</v>
      </c>
      <c r="F8" s="1" t="str">
        <v>BR-CUST-03</v>
      </c>
    </row>
    <row r="9">
      <c r="A9" s="1" t="str">
        <v>Critical</v>
      </c>
      <c r="B9" s="1" t="str">
        <v>CUST-007</v>
      </c>
      <c r="C9" s="1" t="str">
        <v>AMC Customers</v>
      </c>
      <c r="D9" s="1" t="str">
        <v>GST Validation</v>
      </c>
      <c r="E9" s="1" t="str">
        <v>Duplicate GSTIN across two customers is blocked</v>
      </c>
      <c r="F9" s="1" t="str">
        <v>BR-CUST-04</v>
      </c>
    </row>
    <row r="10">
      <c r="A10" s="1" t="str">
        <v>Critical</v>
      </c>
      <c r="B10" s="1" t="str">
        <v>CUST-010</v>
      </c>
      <c r="C10" s="1" t="str">
        <v>AMC Customers</v>
      </c>
      <c r="D10" s="1" t="str">
        <v>Branch Locations</v>
      </c>
      <c r="E10" s="1" t="str">
        <v>Add single branch location to customer</v>
      </c>
      <c r="F10" s="1" t="str">
        <v>BR-CUST-06</v>
      </c>
    </row>
    <row r="11">
      <c r="A11" s="1" t="str">
        <v>Critical</v>
      </c>
      <c r="B11" s="1" t="str">
        <v>CUST-014</v>
      </c>
      <c r="C11" s="1" t="str">
        <v>AMC Customers</v>
      </c>
      <c r="D11" s="1" t="str">
        <v>Contact Details</v>
      </c>
      <c r="E11" s="1" t="str">
        <v>Add primary contact to customer</v>
      </c>
      <c r="F11" s="1" t="str">
        <v>BR-CUST-07</v>
      </c>
    </row>
    <row r="12">
      <c r="A12" s="1" t="str">
        <v>Critical</v>
      </c>
      <c r="B12" s="1" t="str">
        <v>CUST-020</v>
      </c>
      <c r="C12" s="1" t="str">
        <v>AMC Customers</v>
      </c>
      <c r="D12" s="1" t="str">
        <v>Permissions</v>
      </c>
      <c r="E12" s="1" t="str">
        <v>Technician role can only READ AMC Customers</v>
      </c>
      <c r="F12" s="1" t="str">
        <v>BR-CUST-11</v>
      </c>
    </row>
    <row r="13">
      <c r="A13" s="1" t="str">
        <v>Critical</v>
      </c>
      <c r="B13" s="1" t="str">
        <v>CON-001</v>
      </c>
      <c r="C13" s="1" t="str">
        <v>AMC Contract</v>
      </c>
      <c r="D13" s="1" t="str">
        <v>Contract Creation</v>
      </c>
      <c r="E13" s="1" t="str">
        <v>Create AMC Contract with all mandatory fields</v>
      </c>
      <c r="F13" s="1" t="str">
        <v>BR-CON-01</v>
      </c>
    </row>
    <row r="14">
      <c r="A14" s="1" t="str">
        <v>Critical</v>
      </c>
      <c r="B14" s="1" t="str">
        <v>CON-002</v>
      </c>
      <c r="C14" s="1" t="str">
        <v>AMC Contract</v>
      </c>
      <c r="D14" s="1" t="str">
        <v>Contract Creation</v>
      </c>
      <c r="E14" s="1" t="str">
        <v>Start Date is mandatory — save fails without it</v>
      </c>
      <c r="F14" s="1" t="str">
        <v>BR-CON-01</v>
      </c>
    </row>
    <row r="15">
      <c r="A15" s="1" t="str">
        <v>Critical</v>
      </c>
      <c r="B15" s="1" t="str">
        <v>CON-003</v>
      </c>
      <c r="C15" s="1" t="str">
        <v>AMC Contract</v>
      </c>
      <c r="D15" s="1" t="str">
        <v>Contract Creation</v>
      </c>
      <c r="E15" s="1" t="str">
        <v>End Date is mandatory — save fails without it</v>
      </c>
      <c r="F15" s="1" t="str">
        <v>BR-CON-01</v>
      </c>
    </row>
    <row r="16">
      <c r="A16" s="1" t="str">
        <v>Critical</v>
      </c>
      <c r="B16" s="1" t="str">
        <v>CON-004</v>
      </c>
      <c r="C16" s="1" t="str">
        <v>AMC Contract</v>
      </c>
      <c r="D16" s="1" t="str">
        <v>Contract Creation</v>
      </c>
      <c r="E16" s="1" t="str">
        <v>No of Services is mandatory — save fails without it</v>
      </c>
      <c r="F16" s="1" t="str">
        <v>BR-CON-01</v>
      </c>
    </row>
    <row r="17">
      <c r="A17" s="1" t="str">
        <v>Critical</v>
      </c>
      <c r="B17" s="1" t="str">
        <v>CON-006</v>
      </c>
      <c r="C17" s="1" t="str">
        <v>AMC Contract</v>
      </c>
      <c r="D17" s="1" t="str">
        <v>Contract Date Logic</v>
      </c>
      <c r="E17" s="1" t="str">
        <v>End Date before Start Date is rejected</v>
      </c>
      <c r="F17" s="1" t="str">
        <v>BR-CON-03</v>
      </c>
    </row>
    <row r="18">
      <c r="A18" s="1" t="str">
        <v>Critical</v>
      </c>
      <c r="B18" s="1" t="str">
        <v>CON-009</v>
      </c>
      <c r="C18" s="1" t="str">
        <v>AMC Contract</v>
      </c>
      <c r="D18" s="1" t="str">
        <v>Service Count &amp; Schedule</v>
      </c>
      <c r="E18" s="1" t="str">
        <v>4 services Jan-Dec creates exactly 4 Maintenance Schedule rows</v>
      </c>
      <c r="F18" s="1" t="str">
        <v>BR-CON-04</v>
      </c>
    </row>
    <row r="19">
      <c r="A19" s="1" t="str">
        <v>Critical</v>
      </c>
      <c r="B19" s="1" t="str">
        <v>CON-010</v>
      </c>
      <c r="C19" s="1" t="str">
        <v>AMC Contract</v>
      </c>
      <c r="D19" s="1" t="str">
        <v>Service Count &amp; Schedule</v>
      </c>
      <c r="E19" s="1" t="str">
        <v>12 services creates 12 monthly Maintenance Schedule rows</v>
      </c>
      <c r="F19" s="1" t="str">
        <v>BR-CON-04</v>
      </c>
    </row>
    <row r="20">
      <c r="A20" s="1" t="str">
        <v>Critical</v>
      </c>
      <c r="B20" s="1" t="str">
        <v>CON-011</v>
      </c>
      <c r="C20" s="1" t="str">
        <v>AMC Contract</v>
      </c>
      <c r="D20" s="1" t="str">
        <v>Service Count &amp; Schedule</v>
      </c>
      <c r="E20" s="1" t="str">
        <v>1 service creates exactly 1 Maintenance Schedule row</v>
      </c>
      <c r="F20" s="1" t="str">
        <v>BR-CON-04</v>
      </c>
    </row>
    <row r="21">
      <c r="A21" s="1" t="str">
        <v>Critical</v>
      </c>
      <c r="B21" s="1" t="str">
        <v>CON-012</v>
      </c>
      <c r="C21" s="1" t="str">
        <v>AMC Contract</v>
      </c>
      <c r="D21" s="1" t="str">
        <v>Service Count &amp; Schedule</v>
      </c>
      <c r="E21" s="1" t="str">
        <v>All schedule dates fall within contract Start-End range</v>
      </c>
      <c r="F21" s="1" t="str">
        <v>BR-CON-05</v>
      </c>
    </row>
    <row r="22">
      <c r="A22" s="1" t="str">
        <v>Critical</v>
      </c>
      <c r="B22" s="1" t="str">
        <v>CON-015</v>
      </c>
      <c r="C22" s="1" t="str">
        <v>AMC Contract</v>
      </c>
      <c r="D22" s="1" t="str">
        <v>Customer &amp; Branch Linkage</v>
      </c>
      <c r="E22" s="1" t="str">
        <v>Contract cannot reference non-existent AMC Customer</v>
      </c>
      <c r="F22" s="1" t="str">
        <v>BR-CON-06</v>
      </c>
    </row>
    <row r="23">
      <c r="A23" s="1" t="str">
        <v>Critical</v>
      </c>
      <c r="B23" s="1" t="str">
        <v>CON-022</v>
      </c>
      <c r="C23" s="1" t="str">
        <v>AMC Contract</v>
      </c>
      <c r="D23" s="1" t="str">
        <v>Submit &amp; Amend Workflow</v>
      </c>
      <c r="E23" s="1" t="str">
        <v>Draft contract can be submitted</v>
      </c>
      <c r="F23" s="1" t="str">
        <v>BR-CON-10</v>
      </c>
    </row>
    <row r="24">
      <c r="A24" s="1" t="str">
        <v>Critical</v>
      </c>
      <c r="B24" s="1" t="str">
        <v>CON-023</v>
      </c>
      <c r="C24" s="1" t="str">
        <v>AMC Contract</v>
      </c>
      <c r="D24" s="1" t="str">
        <v>Submit &amp; Amend Workflow</v>
      </c>
      <c r="E24" s="1" t="str">
        <v>Submitted contract fields are read-only</v>
      </c>
      <c r="F24" s="1" t="str">
        <v>BR-CON-10</v>
      </c>
    </row>
    <row r="25">
      <c r="A25" s="1" t="str">
        <v>Critical</v>
      </c>
      <c r="B25" s="1" t="str">
        <v>CON-024</v>
      </c>
      <c r="C25" s="1" t="str">
        <v>AMC Contract</v>
      </c>
      <c r="D25" s="1" t="str">
        <v>Submit &amp; Amend Workflow</v>
      </c>
      <c r="E25" s="1" t="str">
        <v>Submitted contract can be amended to create new draft</v>
      </c>
      <c r="F25" s="1" t="str">
        <v>BR-CON-11</v>
      </c>
    </row>
    <row r="26">
      <c r="A26" s="1" t="str">
        <v>Critical</v>
      </c>
      <c r="B26" s="1" t="str">
        <v>CON-027</v>
      </c>
      <c r="C26" s="1" t="str">
        <v>AMC Contract</v>
      </c>
      <c r="D26" s="1" t="str">
        <v>Service Calls Tab</v>
      </c>
      <c r="E26" s="1" t="str">
        <v>Service Calls tab shows generated calls after submission</v>
      </c>
      <c r="F26" s="1" t="str">
        <v>BR-CON-12</v>
      </c>
    </row>
    <row r="27">
      <c r="A27" s="1" t="str">
        <v>Critical</v>
      </c>
      <c r="B27" s="1" t="str">
        <v>CON-029</v>
      </c>
      <c r="C27" s="1" t="str">
        <v>AMC Contract</v>
      </c>
      <c r="D27" s="1" t="str">
        <v>Service Calls Tab</v>
      </c>
      <c r="E27" s="1" t="str">
        <v>Service Call count equals No of Services on contract</v>
      </c>
      <c r="F27" s="1" t="str">
        <v>BR-CON-04, BR-CON-12</v>
      </c>
    </row>
    <row r="28">
      <c r="A28" s="1" t="str">
        <v>Critical</v>
      </c>
      <c r="B28" s="1" t="str">
        <v>CON-030</v>
      </c>
      <c r="C28" s="1" t="str">
        <v>AMC Contract</v>
      </c>
      <c r="D28" s="1" t="str">
        <v>Cross-DocType Integration</v>
      </c>
      <c r="E28" s="1" t="str">
        <v>One customer can have contracts for multiple branches</v>
      </c>
      <c r="F28" s="1" t="str">
        <v>BR-CON-13</v>
      </c>
    </row>
    <row r="29">
      <c r="A29" s="1" t="str">
        <v>Critical</v>
      </c>
      <c r="B29" s="1" t="str">
        <v>CON-032</v>
      </c>
      <c r="C29" s="1" t="str">
        <v>AMC Contract</v>
      </c>
      <c r="D29" s="1" t="str">
        <v>Cross-DocType Integration</v>
      </c>
      <c r="E29" s="1" t="str">
        <v>Technician cannot cancel or delete AMC Contract</v>
      </c>
      <c r="F29" s="1" t="str">
        <v>BR-CON-14</v>
      </c>
    </row>
    <row r="30">
      <c r="A30" s="1" t="str">
        <v>Critical</v>
      </c>
      <c r="B30" s="1" t="str">
        <v>VEN-001</v>
      </c>
      <c r="C30" s="1" t="str">
        <v>Vendor</v>
      </c>
      <c r="D30" s="1" t="str">
        <v>Vendor Creation &amp; Basic Details</v>
      </c>
      <c r="E30" s="1" t="str">
        <v>Create Vendor with Vendor Name only (mandatory field)</v>
      </c>
      <c r="F30" s="1" t="str">
        <v>BR-VEN-01</v>
      </c>
    </row>
    <row r="31">
      <c r="A31" s="1" t="str">
        <v>Critical</v>
      </c>
      <c r="B31" s="1" t="str">
        <v>VEN-002</v>
      </c>
      <c r="C31" s="1" t="str">
        <v>Vendor</v>
      </c>
      <c r="D31" s="1" t="str">
        <v>Vendor Creation &amp; Basic Details</v>
      </c>
      <c r="E31" s="1" t="str">
        <v>Create Vendor with all basic fields (Name, Type, PAN)</v>
      </c>
      <c r="F31" s="1" t="str">
        <v>BR-VEN-01, BR-VEN-02</v>
      </c>
    </row>
    <row r="32">
      <c r="A32" s="1" t="str">
        <v>Critical</v>
      </c>
      <c r="B32" s="1" t="str">
        <v>VEN-005</v>
      </c>
      <c r="C32" s="1" t="str">
        <v>Vendor</v>
      </c>
      <c r="D32" s="1" t="str">
        <v>Primary Contact Details</v>
      </c>
      <c r="E32" s="1" t="str">
        <v>Add Primary Contact Person</v>
      </c>
      <c r="F32" s="1" t="str">
        <v>BR-VEN-03</v>
      </c>
    </row>
    <row r="33">
      <c r="A33" s="1" t="str">
        <v>Critical</v>
      </c>
      <c r="B33" s="1" t="str">
        <v>VEN-007</v>
      </c>
      <c r="C33" s="1" t="str">
        <v>Vendor</v>
      </c>
      <c r="D33" s="1" t="str">
        <v>Primary Contact Details</v>
      </c>
      <c r="E33" s="1" t="str">
        <v>Invalid phone number format is rejected</v>
      </c>
      <c r="F33" s="1" t="str">
        <v>BR-VEN-03</v>
      </c>
    </row>
    <row r="34">
      <c r="A34" s="1" t="str">
        <v>Critical</v>
      </c>
      <c r="B34" s="1" t="str">
        <v>VEN-009</v>
      </c>
      <c r="C34" s="1" t="str">
        <v>Vendor</v>
      </c>
      <c r="D34" s="1" t="str">
        <v>Primary Contact Details</v>
      </c>
      <c r="E34" s="1" t="str">
        <v>Invalid email format is rejected with error message</v>
      </c>
      <c r="F34" s="1" t="str">
        <v>BR-VEN-03</v>
      </c>
    </row>
    <row r="35">
      <c r="A35" s="1" t="str">
        <v>Critical</v>
      </c>
      <c r="B35" s="1" t="str">
        <v>VEN-010</v>
      </c>
      <c r="C35" s="1" t="str">
        <v>Vendor</v>
      </c>
      <c r="D35" s="1" t="str">
        <v>Tax Identification</v>
      </c>
      <c r="E35" s="1" t="str">
        <v>Valid PAN number format is accepted</v>
      </c>
      <c r="F35" s="1" t="str">
        <v>BR-VEN-04</v>
      </c>
    </row>
    <row r="36">
      <c r="A36" s="1" t="str">
        <v>Critical</v>
      </c>
      <c r="B36" s="1" t="str">
        <v>VEN-011</v>
      </c>
      <c r="C36" s="1" t="str">
        <v>Vendor</v>
      </c>
      <c r="D36" s="1" t="str">
        <v>Tax Identification</v>
      </c>
      <c r="E36" s="1" t="str">
        <v>Invalid PAN format is rejected</v>
      </c>
      <c r="F36" s="1" t="str">
        <v>BR-VEN-04</v>
      </c>
    </row>
    <row r="37">
      <c r="A37" s="1" t="str">
        <v>Critical</v>
      </c>
      <c r="B37" s="1" t="str">
        <v>VEN-012</v>
      </c>
      <c r="C37" s="1" t="str">
        <v>Vendor</v>
      </c>
      <c r="D37" s="1" t="str">
        <v>Tax Identification</v>
      </c>
      <c r="E37" s="1" t="str">
        <v>Duplicate PAN across two vendors is blocked</v>
      </c>
      <c r="F37" s="1" t="str">
        <v>BR-VEN-05</v>
      </c>
    </row>
    <row r="38">
      <c r="A38" s="1" t="str">
        <v>Critical</v>
      </c>
      <c r="B38" s="1" t="str">
        <v>VEN-017</v>
      </c>
      <c r="C38" s="1" t="str">
        <v>Vendor</v>
      </c>
      <c r="D38" s="1" t="str">
        <v>Address Table</v>
      </c>
      <c r="E38" s="1" t="str">
        <v>Add single address row to Vendor</v>
      </c>
      <c r="F38" s="1" t="str">
        <v>BR-VEN-07</v>
      </c>
    </row>
    <row r="39">
      <c r="A39" s="1" t="str">
        <v>Critical</v>
      </c>
      <c r="B39" s="1" t="str">
        <v>VEN-023</v>
      </c>
      <c r="C39" s="1" t="str">
        <v>Vendor</v>
      </c>
      <c r="D39" s="1" t="str">
        <v>Address Table</v>
      </c>
      <c r="E39" s="1" t="str">
        <v>Address row GST No is validated and accepted</v>
      </c>
      <c r="F39" s="1" t="str">
        <v>BR-VEN-08</v>
      </c>
    </row>
    <row r="40">
      <c r="A40" s="1" t="str">
        <v>Critical</v>
      </c>
      <c r="B40" s="1" t="str">
        <v>VEN-024</v>
      </c>
      <c r="C40" s="1" t="str">
        <v>Vendor</v>
      </c>
      <c r="D40" s="1" t="str">
        <v>Address Table</v>
      </c>
      <c r="E40" s="1" t="str">
        <v>Invalid GST No in address row is rejected</v>
      </c>
      <c r="F40" s="1" t="str">
        <v>BR-VEN-08</v>
      </c>
    </row>
    <row r="41">
      <c r="A41" s="1" t="str">
        <v>Critical</v>
      </c>
      <c r="B41" s="1" t="str">
        <v>VEN-026</v>
      </c>
      <c r="C41" s="1" t="str">
        <v>Vendor</v>
      </c>
      <c r="D41" s="1" t="str">
        <v>Address Table</v>
      </c>
      <c r="E41" s="1" t="str">
        <v>Duplicate GST No across address rows is blocked</v>
      </c>
      <c r="F41" s="1" t="str">
        <v>BR-VEN-09</v>
      </c>
    </row>
    <row r="42">
      <c r="A42" s="1" t="str">
        <v>Critical</v>
      </c>
      <c r="B42" s="1" t="str">
        <v>VEN-027</v>
      </c>
      <c r="C42" s="1" t="str">
        <v>Vendor</v>
      </c>
      <c r="D42" s="1" t="str">
        <v>Data Validation</v>
      </c>
      <c r="E42" s="1" t="str">
        <v>Vendor cannot be saved without Vendor Name</v>
      </c>
      <c r="F42" s="1" t="str">
        <v>BR-VEN-01</v>
      </c>
    </row>
    <row r="43">
      <c r="A43" s="1" t="str">
        <v>Critical</v>
      </c>
      <c r="B43" s="1" t="str">
        <v>VEN-036</v>
      </c>
      <c r="C43" s="1" t="str">
        <v>Vendor</v>
      </c>
      <c r="D43" s="1" t="str">
        <v>Form Actions</v>
      </c>
      <c r="E43" s="1" t="str">
        <v>Save Vendor successfully</v>
      </c>
      <c r="F43" s="1" t="str">
        <v>BR-VEN-01</v>
      </c>
    </row>
    <row r="44">
      <c r="A44" s="1" t="str">
        <v>Critical</v>
      </c>
      <c r="B44" s="1" t="str">
        <v>ATT-001</v>
      </c>
      <c r="C44" s="1" t="str">
        <v>Attendance</v>
      </c>
      <c r="D44" s="1" t="str">
        <v>Attendance Creation &amp; Basic Details</v>
      </c>
      <c r="E44" s="1" t="str">
        <v>Create Attendance with mandatory fields only (Employee, Status, Attendance Date)</v>
      </c>
      <c r="F44" s="1" t="str">
        <v>BR-ATT-01</v>
      </c>
    </row>
    <row r="45">
      <c r="A45" s="1" t="str">
        <v>Critical</v>
      </c>
      <c r="B45" s="1" t="str">
        <v>ATT-002</v>
      </c>
      <c r="C45" s="1" t="str">
        <v>Attendance</v>
      </c>
      <c r="D45" s="1" t="str">
        <v>Attendance Creation &amp; Basic Details</v>
      </c>
      <c r="E45" s="1" t="str">
        <v>Create Attendance with all basic fields (Employee, Status, Date, Company, Shift)</v>
      </c>
      <c r="F45" s="1" t="str">
        <v>BR-ATT-01, BR-ATT-02</v>
      </c>
    </row>
    <row r="46">
      <c r="A46" s="1" t="str">
        <v>Critical</v>
      </c>
      <c r="B46" s="1" t="str">
        <v>ATT-003</v>
      </c>
      <c r="C46" s="1" t="str">
        <v>Attendance</v>
      </c>
      <c r="D46" s="1" t="str">
        <v>Attendance Creation &amp; Basic Details</v>
      </c>
      <c r="E46" s="1" t="str">
        <v>Create Attendance with Status as Present</v>
      </c>
      <c r="F46" s="1" t="str">
        <v>BR-ATT-03</v>
      </c>
    </row>
    <row r="47">
      <c r="A47" s="1" t="str">
        <v>Critical</v>
      </c>
      <c r="B47" s="1" t="str">
        <v>ATT-004</v>
      </c>
      <c r="C47" s="1" t="str">
        <v>Attendance</v>
      </c>
      <c r="D47" s="1" t="str">
        <v>Attendance Creation &amp; Basic Details</v>
      </c>
      <c r="E47" s="1" t="str">
        <v>Create Attendance with Status as Absent</v>
      </c>
      <c r="F47" s="1" t="str">
        <v>BR-ATT-03</v>
      </c>
    </row>
    <row r="48">
      <c r="A48" s="1" t="str">
        <v>Critical</v>
      </c>
      <c r="B48" s="1" t="str">
        <v>ATT-007</v>
      </c>
      <c r="C48" s="1" t="str">
        <v>Attendance</v>
      </c>
      <c r="D48" s="1" t="str">
        <v>Series &amp; Auto-generation</v>
      </c>
      <c r="E48" s="1" t="str">
        <v>Series field is auto-generated in format HR-ATT-.YYYY.-</v>
      </c>
      <c r="F48" s="1" t="str">
        <v>BR-ATT-04</v>
      </c>
    </row>
    <row r="49">
      <c r="A49" s="1" t="str">
        <v>Critical</v>
      </c>
      <c r="B49" s="1" t="str">
        <v>ATT-009</v>
      </c>
      <c r="C49" s="1" t="str">
        <v>Attendance</v>
      </c>
      <c r="D49" s="1" t="str">
        <v>Series &amp; Auto-generation</v>
      </c>
      <c r="E49" s="1" t="str">
        <v>Unique Series is generated for each attendance record</v>
      </c>
      <c r="F49" s="1" t="str">
        <v>BR-ATT-04</v>
      </c>
    </row>
    <row r="50">
      <c r="A50" s="1" t="str">
        <v>Critical</v>
      </c>
      <c r="B50" s="1" t="str">
        <v>ATT-010</v>
      </c>
      <c r="C50" s="1" t="str">
        <v>Attendance</v>
      </c>
      <c r="D50" s="1" t="str">
        <v>Employee Selection</v>
      </c>
      <c r="E50" s="1" t="str">
        <v>Valid employee can be selected from dropdown</v>
      </c>
      <c r="F50" s="1" t="str">
        <v>BR-ATT-05</v>
      </c>
    </row>
    <row r="51">
      <c r="A51" s="1" t="str">
        <v>Critical</v>
      </c>
      <c r="B51" s="1" t="str">
        <v>ATT-011</v>
      </c>
      <c r="C51" s="1" t="str">
        <v>Attendance</v>
      </c>
      <c r="D51" s="1" t="str">
        <v>Employee Selection</v>
      </c>
      <c r="E51" s="1" t="str">
        <v>Invalid/non-existent employee is rejected</v>
      </c>
      <c r="F51" s="1" t="str">
        <v>BR-ATT-05</v>
      </c>
    </row>
    <row r="52">
      <c r="A52" s="1" t="str">
        <v>Critical</v>
      </c>
      <c r="B52" s="1" t="str">
        <v>ATT-012</v>
      </c>
      <c r="C52" s="1" t="str">
        <v>Attendance</v>
      </c>
      <c r="D52" s="1" t="str">
        <v>Employee Selection</v>
      </c>
      <c r="E52" s="1" t="str">
        <v>Employee field is mandatory and cannot be left blank</v>
      </c>
      <c r="F52" s="1" t="str">
        <v>BR-ATT-05</v>
      </c>
    </row>
    <row r="53">
      <c r="A53" s="1" t="str">
        <v>Critical</v>
      </c>
      <c r="B53" s="1" t="str">
        <v>ATT-013</v>
      </c>
      <c r="C53" s="1" t="str">
        <v>Attendance</v>
      </c>
      <c r="D53" s="1" t="str">
        <v>Employee Selection</v>
      </c>
      <c r="E53" s="1" t="str">
        <v>Duplicate attendance for same employee on same date is blocked</v>
      </c>
      <c r="F53" s="1" t="str">
        <v>BR-ATT-06</v>
      </c>
    </row>
    <row r="54">
      <c r="A54" s="1" t="str">
        <v>Critical</v>
      </c>
      <c r="B54" s="1" t="str">
        <v>ATT-014</v>
      </c>
      <c r="C54" s="1" t="str">
        <v>Attendance</v>
      </c>
      <c r="D54" s="1" t="str">
        <v>Attendance Date</v>
      </c>
      <c r="E54" s="1" t="str">
        <v>Valid attendance date is accepted</v>
      </c>
      <c r="F54" s="1" t="str">
        <v>BR-ATT-07</v>
      </c>
    </row>
    <row r="55">
      <c r="A55" s="1" t="str">
        <v>Critical</v>
      </c>
      <c r="B55" s="1" t="str">
        <v>ATT-015</v>
      </c>
      <c r="C55" s="1" t="str">
        <v>Attendance</v>
      </c>
      <c r="D55" s="1" t="str">
        <v>Attendance Date</v>
      </c>
      <c r="E55" s="1" t="str">
        <v>Attendance Date cannot be left blank (mandatory)</v>
      </c>
      <c r="F55" s="1" t="str">
        <v>BR-ATT-07</v>
      </c>
    </row>
    <row r="56">
      <c r="A56" s="1" t="str">
        <v>Critical</v>
      </c>
      <c r="B56" s="1" t="str">
        <v>ATT-018</v>
      </c>
      <c r="C56" s="1" t="str">
        <v>Attendance</v>
      </c>
      <c r="D56" s="1" t="str">
        <v>Attendance Date</v>
      </c>
      <c r="E56" s="1" t="str">
        <v>Invalid date format is rejected</v>
      </c>
      <c r="F56" s="1" t="str">
        <v>BR-ATT-07</v>
      </c>
    </row>
    <row r="57">
      <c r="A57" s="1" t="str">
        <v>Critical</v>
      </c>
      <c r="B57" s="1" t="str">
        <v>ATT-020</v>
      </c>
      <c r="C57" s="1" t="str">
        <v>Attendance</v>
      </c>
      <c r="D57" s="1" t="str">
        <v>Status Management</v>
      </c>
      <c r="E57" s="1" t="str">
        <v>Status cannot be left blank (mandatory)</v>
      </c>
      <c r="F57" s="1" t="str">
        <v>BR-ATT-03</v>
      </c>
    </row>
    <row r="58">
      <c r="A58" s="1" t="str">
        <v>Critical</v>
      </c>
      <c r="B58" s="1" t="str">
        <v>ATT-031</v>
      </c>
      <c r="C58" s="1" t="str">
        <v>Attendance</v>
      </c>
      <c r="D58" s="1" t="str">
        <v>Late Entry Tracking</v>
      </c>
      <c r="E58" s="1" t="str">
        <v>Late Entry with Present status is valid</v>
      </c>
      <c r="F58" s="1" t="str">
        <v>BR-ATT-10</v>
      </c>
    </row>
    <row r="59">
      <c r="A59" s="1" t="str">
        <v>Critical</v>
      </c>
      <c r="B59" s="1" t="str">
        <v>ATT-032</v>
      </c>
      <c r="C59" s="1" t="str">
        <v>Attendance</v>
      </c>
      <c r="D59" s="1" t="str">
        <v>Late Entry Tracking</v>
      </c>
      <c r="E59" s="1" t="str">
        <v>Late Entry with Absent status is invalid</v>
      </c>
      <c r="F59" s="1" t="str">
        <v>BR-ATT-10</v>
      </c>
    </row>
    <row r="60">
      <c r="A60" s="1" t="str">
        <v>Critical</v>
      </c>
      <c r="B60" s="1" t="str">
        <v>ATT-036</v>
      </c>
      <c r="C60" s="1" t="str">
        <v>Attendance</v>
      </c>
      <c r="D60" s="1" t="str">
        <v>Early Exit Tracking</v>
      </c>
      <c r="E60" s="1" t="str">
        <v>Early Exit with Present status is valid</v>
      </c>
      <c r="F60" s="1" t="str">
        <v>BR-ATT-11</v>
      </c>
    </row>
    <row r="61">
      <c r="A61" s="1" t="str">
        <v>Critical</v>
      </c>
      <c r="B61" s="1" t="str">
        <v>ATT-037</v>
      </c>
      <c r="C61" s="1" t="str">
        <v>Attendance</v>
      </c>
      <c r="D61" s="1" t="str">
        <v>Early Exit Tracking</v>
      </c>
      <c r="E61" s="1" t="str">
        <v>Early Exit with Absent status is invalid</v>
      </c>
      <c r="F61" s="1" t="str">
        <v>BR-ATT-11</v>
      </c>
    </row>
    <row r="62">
      <c r="A62" s="1" t="str">
        <v>Critical</v>
      </c>
      <c r="B62" s="1" t="str">
        <v>ATT-040</v>
      </c>
      <c r="C62" s="1" t="str">
        <v>Attendance</v>
      </c>
      <c r="D62" s="1" t="str">
        <v>Late Entry &amp; Early Exit Combination</v>
      </c>
      <c r="E62" s="1" t="str">
        <v>Both Late Entry and Early Exit cannot be checked with Absent status</v>
      </c>
      <c r="F62" s="1" t="str">
        <v>BR-ATT-12</v>
      </c>
    </row>
    <row r="63">
      <c r="A63" s="1" t="str">
        <v>Critical</v>
      </c>
      <c r="B63" s="1" t="str">
        <v>ATT-041</v>
      </c>
      <c r="C63" s="1" t="str">
        <v>Attendance</v>
      </c>
      <c r="D63" s="1" t="str">
        <v>Data Validation</v>
      </c>
      <c r="E63" s="1" t="str">
        <v>Attendance cannot be saved without Employee</v>
      </c>
      <c r="F63" s="1" t="str">
        <v>BR-ATT-05</v>
      </c>
    </row>
    <row r="64">
      <c r="A64" s="1" t="str">
        <v>Critical</v>
      </c>
      <c r="B64" s="1" t="str">
        <v>ATT-042</v>
      </c>
      <c r="C64" s="1" t="str">
        <v>Attendance</v>
      </c>
      <c r="D64" s="1" t="str">
        <v>Data Validation</v>
      </c>
      <c r="E64" s="1" t="str">
        <v>Attendance cannot be saved without Status</v>
      </c>
      <c r="F64" s="1" t="str">
        <v>BR-ATT-03</v>
      </c>
    </row>
    <row r="65">
      <c r="A65" s="1" t="str">
        <v>Critical</v>
      </c>
      <c r="B65" s="1" t="str">
        <v>ATT-043</v>
      </c>
      <c r="C65" s="1" t="str">
        <v>Attendance</v>
      </c>
      <c r="D65" s="1" t="str">
        <v>Data Validation</v>
      </c>
      <c r="E65" s="1" t="str">
        <v>Attendance cannot be saved without Attendance Date</v>
      </c>
      <c r="F65" s="1" t="str">
        <v>BR-ATT-07</v>
      </c>
    </row>
    <row r="66">
      <c r="A66" s="1" t="str">
        <v>Critical</v>
      </c>
      <c r="B66" s="1" t="str">
        <v>ATT-050</v>
      </c>
      <c r="C66" s="1" t="str">
        <v>Attendance</v>
      </c>
      <c r="D66" s="1" t="str">
        <v>Form Actions</v>
      </c>
      <c r="E66" s="1" t="str">
        <v>Save Attendance successfully</v>
      </c>
      <c r="F66" s="1" t="str">
        <v>BR-ATT-01</v>
      </c>
    </row>
    <row r="67">
      <c r="A67" s="1" t="str">
        <v>Critical</v>
      </c>
      <c r="B67" s="1" t="str">
        <v>EXP-001</v>
      </c>
      <c r="C67" s="1" t="str">
        <v>Expense Claim</v>
      </c>
      <c r="D67" s="1" t="str">
        <v>Expense Claim Creation &amp; Basic Details</v>
      </c>
      <c r="E67" s="1" t="str">
        <v>Create Expense Claim with mandatory fields only (From Employee, Expense Approver)</v>
      </c>
      <c r="F67" s="1" t="str">
        <v>BR-EXP-01</v>
      </c>
    </row>
    <row r="68">
      <c r="A68" s="1" t="str">
        <v>Critical</v>
      </c>
      <c r="B68" s="1" t="str">
        <v>EXP-002</v>
      </c>
      <c r="C68" s="1" t="str">
        <v>Expense Claim</v>
      </c>
      <c r="D68" s="1" t="str">
        <v>Expense Claim Creation &amp; Basic Details</v>
      </c>
      <c r="E68" s="1" t="str">
        <v>Create Expense Claim with all basic fields (Employee, Department, Company, Approver)</v>
      </c>
      <c r="F68" s="1" t="str">
        <v>BR-EXP-01, BR-EXP-02</v>
      </c>
    </row>
    <row r="69">
      <c r="A69" s="1" t="str">
        <v>Critical</v>
      </c>
      <c r="B69" s="1" t="str">
        <v>EXP-003</v>
      </c>
      <c r="C69" s="1" t="str">
        <v>Expense Claim</v>
      </c>
      <c r="D69" s="1" t="str">
        <v>Series &amp; Auto-generation</v>
      </c>
      <c r="E69" s="1" t="str">
        <v>Series field is auto-generated in format HR-EXP-.YYYY.-</v>
      </c>
      <c r="F69" s="1" t="str">
        <v>BR-EXP-03</v>
      </c>
    </row>
    <row r="70">
      <c r="A70" s="1" t="str">
        <v>Critical</v>
      </c>
      <c r="B70" s="1" t="str">
        <v>EXP-005</v>
      </c>
      <c r="C70" s="1" t="str">
        <v>Expense Claim</v>
      </c>
      <c r="D70" s="1" t="str">
        <v>Series &amp; Auto-generation</v>
      </c>
      <c r="E70" s="1" t="str">
        <v>Unique Series is generated for each expense claim record</v>
      </c>
      <c r="F70" s="1" t="str">
        <v>BR-EXP-03</v>
      </c>
    </row>
    <row r="71">
      <c r="A71" s="1" t="str">
        <v>Critical</v>
      </c>
      <c r="B71" s="1" t="str">
        <v>EXP-006</v>
      </c>
      <c r="C71" s="1" t="str">
        <v>Expense Claim</v>
      </c>
      <c r="D71" s="1" t="str">
        <v>Employee Selection</v>
      </c>
      <c r="E71" s="1" t="str">
        <v>Valid employee can be selected in From Employee field</v>
      </c>
      <c r="F71" s="1" t="str">
        <v>BR-EXP-04</v>
      </c>
    </row>
    <row r="72">
      <c r="A72" s="1" t="str">
        <v>Critical</v>
      </c>
      <c r="B72" s="1" t="str">
        <v>EXP-007</v>
      </c>
      <c r="C72" s="1" t="str">
        <v>Expense Claim</v>
      </c>
      <c r="D72" s="1" t="str">
        <v>Employee Selection</v>
      </c>
      <c r="E72" s="1" t="str">
        <v>Invalid/non-existent employee is rejected</v>
      </c>
      <c r="F72" s="1" t="str">
        <v>BR-EXP-04</v>
      </c>
    </row>
    <row r="73">
      <c r="A73" s="1" t="str">
        <v>Critical</v>
      </c>
      <c r="B73" s="1" t="str">
        <v>EXP-008</v>
      </c>
      <c r="C73" s="1" t="str">
        <v>Expense Claim</v>
      </c>
      <c r="D73" s="1" t="str">
        <v>Employee Selection</v>
      </c>
      <c r="E73" s="1" t="str">
        <v>From Employee field is mandatory and cannot be left blank</v>
      </c>
      <c r="F73" s="1" t="str">
        <v>BR-EXP-04</v>
      </c>
    </row>
    <row r="74">
      <c r="A74" s="1" t="str">
        <v>Critical</v>
      </c>
      <c r="B74" s="1" t="str">
        <v>EXP-010</v>
      </c>
      <c r="C74" s="1" t="str">
        <v>Expense Claim</v>
      </c>
      <c r="D74" s="1" t="str">
        <v>Company Details</v>
      </c>
      <c r="E74" s="1" t="str">
        <v>Valid company is selected and displayed</v>
      </c>
      <c r="F74" s="1" t="str">
        <v>BR-EXP-05</v>
      </c>
    </row>
    <row r="75">
      <c r="A75" s="1" t="str">
        <v>Critical</v>
      </c>
      <c r="B75" s="1" t="str">
        <v>EXP-011</v>
      </c>
      <c r="C75" s="1" t="str">
        <v>Expense Claim</v>
      </c>
      <c r="D75" s="1" t="str">
        <v>Company Details</v>
      </c>
      <c r="E75" s="1" t="str">
        <v>Company field is mandatory</v>
      </c>
      <c r="F75" s="1" t="str">
        <v>BR-EXP-05</v>
      </c>
    </row>
    <row r="76">
      <c r="A76" s="1" t="str">
        <v>Critical</v>
      </c>
      <c r="B76" s="1" t="str">
        <v>EXP-014</v>
      </c>
      <c r="C76" s="1" t="str">
        <v>Expense Claim</v>
      </c>
      <c r="D76" s="1" t="str">
        <v>Expense Approver</v>
      </c>
      <c r="E76" s="1" t="str">
        <v>Valid expense approver can be selected</v>
      </c>
      <c r="F76" s="1" t="str">
        <v>BR-EXP-06</v>
      </c>
    </row>
    <row r="77">
      <c r="A77" s="1" t="str">
        <v>Critical</v>
      </c>
      <c r="B77" s="1" t="str">
        <v>EXP-015</v>
      </c>
      <c r="C77" s="1" t="str">
        <v>Expense Claim</v>
      </c>
      <c r="D77" s="1" t="str">
        <v>Expense Approver</v>
      </c>
      <c r="E77" s="1" t="str">
        <v>Invalid approver is rejected</v>
      </c>
      <c r="F77" s="1" t="str">
        <v>BR-EXP-06</v>
      </c>
    </row>
    <row r="78">
      <c r="A78" s="1" t="str">
        <v>Critical</v>
      </c>
      <c r="B78" s="1" t="str">
        <v>EXP-016</v>
      </c>
      <c r="C78" s="1" t="str">
        <v>Expense Claim</v>
      </c>
      <c r="D78" s="1" t="str">
        <v>Expense Approver</v>
      </c>
      <c r="E78" s="1" t="str">
        <v>Expense Approver field is mandatory</v>
      </c>
      <c r="F78" s="1" t="str">
        <v>BR-EXP-06</v>
      </c>
    </row>
    <row r="79">
      <c r="A79" s="1" t="str">
        <v>Critical</v>
      </c>
      <c r="B79" s="1" t="str">
        <v>EXP-017</v>
      </c>
      <c r="C79" s="1" t="str">
        <v>Expense Claim</v>
      </c>
      <c r="D79" s="1" t="str">
        <v>Approval Status</v>
      </c>
      <c r="E79" s="1" t="str">
        <v>Approval Status defaults to Draft on creation</v>
      </c>
      <c r="F79" s="1" t="str">
        <v>BR-EXP-07</v>
      </c>
    </row>
    <row r="80">
      <c r="A80" s="1" t="str">
        <v>Critical</v>
      </c>
      <c r="B80" s="1" t="str">
        <v>EXP-018</v>
      </c>
      <c r="C80" s="1" t="str">
        <v>Expense Claim</v>
      </c>
      <c r="D80" s="1" t="str">
        <v>Approval Status</v>
      </c>
      <c r="E80" s="1" t="str">
        <v>Approval Status can be changed to Approved</v>
      </c>
      <c r="F80" s="1" t="str">
        <v>BR-EXP-07</v>
      </c>
    </row>
    <row r="81">
      <c r="A81" s="1" t="str">
        <v>Critical</v>
      </c>
      <c r="B81" s="1" t="str">
        <v>EXP-019</v>
      </c>
      <c r="C81" s="1" t="str">
        <v>Expense Claim</v>
      </c>
      <c r="D81" s="1" t="str">
        <v>Approval Status</v>
      </c>
      <c r="E81" s="1" t="str">
        <v>Approval Status can be changed to Rejected</v>
      </c>
      <c r="F81" s="1" t="str">
        <v>BR-EXP-07</v>
      </c>
    </row>
    <row r="82">
      <c r="A82" s="1" t="str">
        <v>Critical</v>
      </c>
      <c r="B82" s="1" t="str">
        <v>EXP-021</v>
      </c>
      <c r="C82" s="1" t="str">
        <v>Expense Claim</v>
      </c>
      <c r="D82" s="1" t="str">
        <v>Expenses Table</v>
      </c>
      <c r="E82" s="1" t="str">
        <v>Add single expense row to claim</v>
      </c>
      <c r="F82" s="1" t="str">
        <v>BR-EXP-08</v>
      </c>
    </row>
    <row r="83">
      <c r="A83" s="1" t="str">
        <v>Critical</v>
      </c>
      <c r="B83" s="1" t="str">
        <v>EXP-024</v>
      </c>
      <c r="C83" s="1" t="str">
        <v>Expense Claim</v>
      </c>
      <c r="D83" s="1" t="str">
        <v>Expenses Table</v>
      </c>
      <c r="E83" s="1" t="str">
        <v>Expense Date is populated and validated</v>
      </c>
      <c r="F83" s="1" t="str">
        <v>BR-EXP-08</v>
      </c>
    </row>
    <row r="84">
      <c r="A84" s="1" t="str">
        <v>Critical</v>
      </c>
      <c r="B84" s="1" t="str">
        <v>EXP-026</v>
      </c>
      <c r="C84" s="1" t="str">
        <v>Expense Claim</v>
      </c>
      <c r="D84" s="1" t="str">
        <v>Expenses Table</v>
      </c>
      <c r="E84" s="1" t="str">
        <v>Expense Claim Type field is mandatory</v>
      </c>
      <c r="F84" s="1" t="str">
        <v>BR-EXP-09</v>
      </c>
    </row>
    <row r="85">
      <c r="A85" s="1" t="str">
        <v>Critical</v>
      </c>
      <c r="B85" s="1" t="str">
        <v>EXP-028</v>
      </c>
      <c r="C85" s="1" t="str">
        <v>Expense Claim</v>
      </c>
      <c r="D85" s="1" t="str">
        <v>Expenses Table</v>
      </c>
      <c r="E85" s="1" t="str">
        <v>Amount field is mandatory</v>
      </c>
      <c r="F85" s="1" t="str">
        <v>BR-EXP-08</v>
      </c>
    </row>
    <row r="86">
      <c r="A86" s="1" t="str">
        <v>Critical</v>
      </c>
      <c r="B86" s="1" t="str">
        <v>EXP-030</v>
      </c>
      <c r="C86" s="1" t="str">
        <v>Expense Claim</v>
      </c>
      <c r="D86" s="1" t="str">
        <v>Expenses Table</v>
      </c>
      <c r="E86" s="1" t="str">
        <v>Negative amount is rejected</v>
      </c>
      <c r="F86" s="1" t="str">
        <v>BR-EXP-08</v>
      </c>
    </row>
    <row r="87">
      <c r="A87" s="1" t="str">
        <v>Critical</v>
      </c>
      <c r="B87" s="1" t="str">
        <v>EXP-032</v>
      </c>
      <c r="C87" s="1" t="str">
        <v>Expense Claim</v>
      </c>
      <c r="D87" s="1" t="str">
        <v>Expenses Table</v>
      </c>
      <c r="E87" s="1" t="str">
        <v>Sanctioned Amount cannot exceed Amount</v>
      </c>
      <c r="F87" s="1" t="str">
        <v>BR-EXP-10</v>
      </c>
    </row>
    <row r="88">
      <c r="A88" s="1" t="str">
        <v>Critical</v>
      </c>
      <c r="B88" s="1" t="str">
        <v>EXP-033</v>
      </c>
      <c r="C88" s="1" t="str">
        <v>Expense Claim</v>
      </c>
      <c r="D88" s="1" t="str">
        <v>Expenses Table</v>
      </c>
      <c r="E88" s="1" t="str">
        <v>Total claim amount is calculated from all expense rows</v>
      </c>
      <c r="F88" s="1" t="str">
        <v>BR-EXP-11</v>
      </c>
    </row>
    <row r="89">
      <c r="A89" s="1" t="str">
        <v>Critical</v>
      </c>
      <c r="B89" s="1" t="str">
        <v>EXP-037</v>
      </c>
      <c r="C89" s="1" t="str">
        <v>Expense Claim</v>
      </c>
      <c r="D89" s="1" t="str">
        <v>Taxes &amp; Charges</v>
      </c>
      <c r="E89" s="1" t="str">
        <v>Tax Account Head is mandatory in tax row</v>
      </c>
      <c r="F89" s="1" t="str">
        <v>BR-EXP-12</v>
      </c>
    </row>
    <row r="90">
      <c r="A90" s="1" t="str">
        <v>Critical</v>
      </c>
      <c r="B90" s="1" t="str">
        <v>EXP-038</v>
      </c>
      <c r="C90" s="1" t="str">
        <v>Expense Claim</v>
      </c>
      <c r="D90" s="1" t="str">
        <v>Taxes &amp; Charges</v>
      </c>
      <c r="E90" s="1" t="str">
        <v>Tax Amount is mandatory in tax row</v>
      </c>
      <c r="F90" s="1" t="str">
        <v>BR-EXP-12</v>
      </c>
    </row>
    <row r="91">
      <c r="A91" s="1" t="str">
        <v>Critical</v>
      </c>
      <c r="B91" s="1" t="str">
        <v>EXP-039</v>
      </c>
      <c r="C91" s="1" t="str">
        <v>Expense Claim</v>
      </c>
      <c r="D91" s="1" t="str">
        <v>Taxes &amp; Charges</v>
      </c>
      <c r="E91" s="1" t="str">
        <v>Total taxes calculated correctly from all tax rows</v>
      </c>
      <c r="F91" s="1" t="str">
        <v>BR-EXP-12</v>
      </c>
    </row>
    <row r="92">
      <c r="A92" s="1" t="str">
        <v>Critical</v>
      </c>
      <c r="B92" s="1" t="str">
        <v>EXP-040</v>
      </c>
      <c r="C92" s="1" t="str">
        <v>Expense Claim</v>
      </c>
      <c r="D92" s="1" t="str">
        <v>Taxes &amp; Charges</v>
      </c>
      <c r="E92" s="1" t="str">
        <v>Grand Total includes taxes and sanctioned amount</v>
      </c>
      <c r="F92" s="1" t="str">
        <v>BR-EXP-11, BR-EXP-12</v>
      </c>
    </row>
    <row r="93">
      <c r="A93" s="1" t="str">
        <v>Critical</v>
      </c>
      <c r="B93" s="1" t="str">
        <v>EXP-043</v>
      </c>
      <c r="C93" s="1" t="str">
        <v>Expense Claim</v>
      </c>
      <c r="D93" s="1" t="str">
        <v>Accounting Details</v>
      </c>
      <c r="E93" s="1" t="str">
        <v>Payable Account is auto-populated</v>
      </c>
      <c r="F93" s="1" t="str">
        <v>BR-EXP-13</v>
      </c>
    </row>
    <row r="94">
      <c r="A94" s="1" t="str">
        <v>Critical</v>
      </c>
      <c r="B94" s="1" t="str">
        <v>EXP-047</v>
      </c>
      <c r="C94" s="1" t="str">
        <v>Expense Claim</v>
      </c>
      <c r="D94" s="1" t="str">
        <v>Data Validation</v>
      </c>
      <c r="E94" s="1" t="str">
        <v>Expense Claim cannot be saved without From Employee</v>
      </c>
      <c r="F94" s="1" t="str">
        <v>BR-EXP-04</v>
      </c>
    </row>
    <row r="95">
      <c r="A95" s="1" t="str">
        <v>Critical</v>
      </c>
      <c r="B95" s="1" t="str">
        <v>EXP-048</v>
      </c>
      <c r="C95" s="1" t="str">
        <v>Expense Claim</v>
      </c>
      <c r="D95" s="1" t="str">
        <v>Data Validation</v>
      </c>
      <c r="E95" s="1" t="str">
        <v>Expense Claim cannot be saved without Company</v>
      </c>
      <c r="F95" s="1" t="str">
        <v>BR-EXP-05</v>
      </c>
    </row>
    <row r="96">
      <c r="A96" s="1" t="str">
        <v>Critical</v>
      </c>
      <c r="B96" s="1" t="str">
        <v>EXP-049</v>
      </c>
      <c r="C96" s="1" t="str">
        <v>Expense Claim</v>
      </c>
      <c r="D96" s="1" t="str">
        <v>Data Validation</v>
      </c>
      <c r="E96" s="1" t="str">
        <v>Expense Claim cannot be saved without Expense Approver</v>
      </c>
      <c r="F96" s="1" t="str">
        <v>BR-EXP-06</v>
      </c>
    </row>
    <row r="97">
      <c r="A97" s="1" t="str">
        <v>Critical</v>
      </c>
      <c r="B97" s="1" t="str">
        <v>EXP-050</v>
      </c>
      <c r="C97" s="1" t="str">
        <v>Expense Claim</v>
      </c>
      <c r="D97" s="1" t="str">
        <v>Data Validation</v>
      </c>
      <c r="E97" s="1" t="str">
        <v>Expense Claim cannot be submitted without expense rows</v>
      </c>
      <c r="F97" s="1" t="str">
        <v>BR-EXP-08</v>
      </c>
    </row>
    <row r="98">
      <c r="A98" s="1" t="str">
        <v>Critical</v>
      </c>
      <c r="B98" s="1" t="str">
        <v>EXP-054</v>
      </c>
      <c r="C98" s="1" t="str">
        <v>Expense Claim</v>
      </c>
      <c r="D98" s="1" t="str">
        <v>Editing &amp; Updates</v>
      </c>
      <c r="E98" s="1" t="str">
        <v>Edit is restricted after Approval Status is Approved</v>
      </c>
      <c r="F98" s="1" t="str">
        <v>BR-EXP-07</v>
      </c>
    </row>
    <row r="99">
      <c r="A99" s="1" t="str">
        <v>Critical</v>
      </c>
      <c r="B99" s="1" t="str">
        <v>EXP-055</v>
      </c>
      <c r="C99" s="1" t="str">
        <v>Expense Claim</v>
      </c>
      <c r="D99" s="1" t="str">
        <v>Form Actions</v>
      </c>
      <c r="E99" s="1" t="str">
        <v>Save Expense Claim successfully</v>
      </c>
      <c r="F99" s="1" t="str">
        <v>BR-EXP-01</v>
      </c>
    </row>
    <row r="100">
      <c r="A100" s="1" t="str">
        <v>Critical</v>
      </c>
      <c r="B100" s="1" t="str">
        <v>EXP-056</v>
      </c>
      <c r="C100" s="1" t="str">
        <v>Expense Claim</v>
      </c>
      <c r="D100" s="1" t="str">
        <v>Form Actions</v>
      </c>
      <c r="E100" s="1" t="str">
        <v>Submit Expense Claim successfully</v>
      </c>
      <c r="F100" s="1" t="str">
        <v>BR-EXP-16</v>
      </c>
    </row>
    <row r="101">
      <c r="A101" s="1" t="str">
        <v>Critical</v>
      </c>
      <c r="B101" s="1" t="str">
        <v>EXP-060</v>
      </c>
      <c r="C101" s="1" t="str">
        <v>Expense Claim</v>
      </c>
      <c r="D101" s="1" t="str">
        <v>Form Actions</v>
      </c>
      <c r="E101" s="1" t="str">
        <v>Cancel submitted Expense Claim</v>
      </c>
      <c r="F101" s="1" t="str">
        <v>BR-EXP-16</v>
      </c>
    </row>
    <row r="102">
      <c r="A102" s="1" t="str">
        <v>Critical</v>
      </c>
      <c r="B102" s="1" t="str">
        <v>LEA-001</v>
      </c>
      <c r="C102" s="1" t="str">
        <v>Leave Application</v>
      </c>
      <c r="D102" s="1" t="str">
        <v>Leave Application Creation &amp; Basic Details</v>
      </c>
      <c r="E102" s="1" t="str">
        <v>Create Leave Application with mandatory fields only (Employee, Leave Type, From Date, To Date)</v>
      </c>
      <c r="F102" s="1" t="str">
        <v>BR-LEA-01</v>
      </c>
    </row>
    <row r="103">
      <c r="A103" s="1" t="str">
        <v>Critical</v>
      </c>
      <c r="B103" s="1" t="str">
        <v>LEA-002</v>
      </c>
      <c r="C103" s="1" t="str">
        <v>Leave Application</v>
      </c>
      <c r="D103" s="1" t="str">
        <v>Leave Application Creation &amp; Basic Details</v>
      </c>
      <c r="E103" s="1" t="str">
        <v>Create Leave Application with all basic fields (Employee, Leave Type, Dates, Company, Approver)</v>
      </c>
      <c r="F103" s="1" t="str">
        <v>BR-LEA-01, BR-LEA-02</v>
      </c>
    </row>
    <row r="104">
      <c r="A104" s="1" t="str">
        <v>Critical</v>
      </c>
      <c r="B104" s="1" t="str">
        <v>LEA-003</v>
      </c>
      <c r="C104" s="1" t="str">
        <v>Leave Application</v>
      </c>
      <c r="D104" s="1" t="str">
        <v>Series &amp; Auto-generation</v>
      </c>
      <c r="E104" s="1" t="str">
        <v>Series field is auto-generated in format HR-LAP-.YYYY.-</v>
      </c>
      <c r="F104" s="1" t="str">
        <v>BR-LEA-03</v>
      </c>
    </row>
    <row r="105">
      <c r="A105" s="1" t="str">
        <v>Critical</v>
      </c>
      <c r="B105" s="1" t="str">
        <v>LEA-005</v>
      </c>
      <c r="C105" s="1" t="str">
        <v>Leave Application</v>
      </c>
      <c r="D105" s="1" t="str">
        <v>Series &amp; Auto-generation</v>
      </c>
      <c r="E105" s="1" t="str">
        <v>Unique Series is generated for each leave application</v>
      </c>
      <c r="F105" s="1" t="str">
        <v>BR-LEA-03</v>
      </c>
    </row>
    <row r="106">
      <c r="A106" s="1" t="str">
        <v>Critical</v>
      </c>
      <c r="B106" s="1" t="str">
        <v>LEA-006</v>
      </c>
      <c r="C106" s="1" t="str">
        <v>Leave Application</v>
      </c>
      <c r="D106" s="1" t="str">
        <v>Employee Selection</v>
      </c>
      <c r="E106" s="1" t="str">
        <v>Valid employee can be selected in Employee field</v>
      </c>
      <c r="F106" s="1" t="str">
        <v>BR-LEA-04</v>
      </c>
    </row>
    <row r="107">
      <c r="A107" s="1" t="str">
        <v>Critical</v>
      </c>
      <c r="B107" s="1" t="str">
        <v>LEA-007</v>
      </c>
      <c r="C107" s="1" t="str">
        <v>Leave Application</v>
      </c>
      <c r="D107" s="1" t="str">
        <v>Employee Selection</v>
      </c>
      <c r="E107" s="1" t="str">
        <v>Invalid/non-existent employee is rejected</v>
      </c>
      <c r="F107" s="1" t="str">
        <v>BR-LEA-04</v>
      </c>
    </row>
    <row r="108">
      <c r="A108" s="1" t="str">
        <v>Critical</v>
      </c>
      <c r="B108" s="1" t="str">
        <v>LEA-008</v>
      </c>
      <c r="C108" s="1" t="str">
        <v>Leave Application</v>
      </c>
      <c r="D108" s="1" t="str">
        <v>Employee Selection</v>
      </c>
      <c r="E108" s="1" t="str">
        <v>Employee field is mandatory and cannot be left blank</v>
      </c>
      <c r="F108" s="1" t="str">
        <v>BR-LEA-04</v>
      </c>
    </row>
    <row r="109">
      <c r="A109" s="1" t="str">
        <v>Critical</v>
      </c>
      <c r="B109" s="1" t="str">
        <v>LEA-009</v>
      </c>
      <c r="C109" s="1" t="str">
        <v>Leave Application</v>
      </c>
      <c r="D109" s="1" t="str">
        <v>Leave Type Selection</v>
      </c>
      <c r="E109" s="1" t="str">
        <v>Valid leave type can be selected from dropdown</v>
      </c>
      <c r="F109" s="1" t="str">
        <v>BR-LEA-05</v>
      </c>
    </row>
    <row r="110">
      <c r="A110" s="1" t="str">
        <v>Critical</v>
      </c>
      <c r="B110" s="1" t="str">
        <v>LEA-010</v>
      </c>
      <c r="C110" s="1" t="str">
        <v>Leave Application</v>
      </c>
      <c r="D110" s="1" t="str">
        <v>Leave Type Selection</v>
      </c>
      <c r="E110" s="1" t="str">
        <v>Leave Type field is mandatory and cannot be left blank</v>
      </c>
      <c r="F110" s="1" t="str">
        <v>BR-LEA-05</v>
      </c>
    </row>
    <row r="111">
      <c r="A111" s="1" t="str">
        <v>Critical</v>
      </c>
      <c r="B111" s="1" t="str">
        <v>LEA-012</v>
      </c>
      <c r="C111" s="1" t="str">
        <v>Leave Application</v>
      </c>
      <c r="D111" s="1" t="str">
        <v>Leave Type Selection</v>
      </c>
      <c r="E111" s="1" t="str">
        <v>Employee's leave balance is checked for selected leave type</v>
      </c>
      <c r="F111" s="1" t="str">
        <v>BR-LEA-06</v>
      </c>
    </row>
    <row r="112">
      <c r="A112" s="1" t="str">
        <v>Critical</v>
      </c>
      <c r="B112" s="1" t="str">
        <v>LEA-013</v>
      </c>
      <c r="C112" s="1" t="str">
        <v>Leave Application</v>
      </c>
      <c r="D112" s="1" t="str">
        <v>Company Details</v>
      </c>
      <c r="E112" s="1" t="str">
        <v>Valid company is selected and displayed</v>
      </c>
      <c r="F112" s="1" t="str">
        <v>BR-LEA-07</v>
      </c>
    </row>
    <row r="113">
      <c r="A113" s="1" t="str">
        <v>Critical</v>
      </c>
      <c r="B113" s="1" t="str">
        <v>LEA-014</v>
      </c>
      <c r="C113" s="1" t="str">
        <v>Leave Application</v>
      </c>
      <c r="D113" s="1" t="str">
        <v>Company Details</v>
      </c>
      <c r="E113" s="1" t="str">
        <v>Company field is mandatory</v>
      </c>
      <c r="F113" s="1" t="str">
        <v>BR-LEA-07</v>
      </c>
    </row>
    <row r="114">
      <c r="A114" s="1" t="str">
        <v>Critical</v>
      </c>
      <c r="B114" s="1" t="str">
        <v>LEA-016</v>
      </c>
      <c r="C114" s="1" t="str">
        <v>Leave Application</v>
      </c>
      <c r="D114" s="1" t="str">
        <v>Date Range</v>
      </c>
      <c r="E114" s="1" t="str">
        <v>From Date is mandatory and cannot be left blank</v>
      </c>
      <c r="F114" s="1" t="str">
        <v>BR-LEA-08</v>
      </c>
    </row>
    <row r="115">
      <c r="A115" s="1" t="str">
        <v>Critical</v>
      </c>
      <c r="B115" s="1" t="str">
        <v>LEA-017</v>
      </c>
      <c r="C115" s="1" t="str">
        <v>Leave Application</v>
      </c>
      <c r="D115" s="1" t="str">
        <v>Date Range</v>
      </c>
      <c r="E115" s="1" t="str">
        <v>To Date is mandatory and cannot be left blank</v>
      </c>
      <c r="F115" s="1" t="str">
        <v>BR-LEA-08</v>
      </c>
    </row>
    <row r="116">
      <c r="A116" s="1" t="str">
        <v>Critical</v>
      </c>
      <c r="B116" s="1" t="str">
        <v>LEA-018</v>
      </c>
      <c r="C116" s="1" t="str">
        <v>Leave Application</v>
      </c>
      <c r="D116" s="1" t="str">
        <v>Date Range</v>
      </c>
      <c r="E116" s="1" t="str">
        <v>From Date cannot be after To Date</v>
      </c>
      <c r="F116" s="1" t="str">
        <v>BR-LEA-08</v>
      </c>
    </row>
    <row r="117">
      <c r="A117" s="1" t="str">
        <v>Critical</v>
      </c>
      <c r="B117" s="1" t="str">
        <v>LEA-020</v>
      </c>
      <c r="C117" s="1" t="str">
        <v>Leave Application</v>
      </c>
      <c r="D117" s="1" t="str">
        <v>Date Range</v>
      </c>
      <c r="E117" s="1" t="str">
        <v>To Date cannot be before From Date</v>
      </c>
      <c r="F117" s="1" t="str">
        <v>BR-LEA-08</v>
      </c>
    </row>
    <row r="118">
      <c r="A118" s="1" t="str">
        <v>Critical</v>
      </c>
      <c r="B118" s="1" t="str">
        <v>LEA-021</v>
      </c>
      <c r="C118" s="1" t="str">
        <v>Leave Application</v>
      </c>
      <c r="D118" s="1" t="str">
        <v>Date Range</v>
      </c>
      <c r="E118" s="1" t="str">
        <v>Invalid date format is rejected</v>
      </c>
      <c r="F118" s="1" t="str">
        <v>BR-LEA-08</v>
      </c>
    </row>
    <row r="119">
      <c r="A119" s="1" t="str">
        <v>Critical</v>
      </c>
      <c r="B119" s="1" t="str">
        <v>LEA-022</v>
      </c>
      <c r="C119" s="1" t="str">
        <v>Leave Application</v>
      </c>
      <c r="D119" s="1" t="str">
        <v>Date Range</v>
      </c>
      <c r="E119" s="1" t="str">
        <v>Leave duration is calculated correctly (From Date to To Date)</v>
      </c>
      <c r="F119" s="1" t="str">
        <v>BR-LEA-09</v>
      </c>
    </row>
    <row r="120">
      <c r="A120" s="1" t="str">
        <v>Critical</v>
      </c>
      <c r="B120" s="1" t="str">
        <v>LEA-025</v>
      </c>
      <c r="C120" s="1" t="str">
        <v>Leave Application</v>
      </c>
      <c r="D120" s="1" t="str">
        <v>Half Day Leave</v>
      </c>
      <c r="E120" s="1" t="str">
        <v>Half Day with single date (From Date = To Date) is valid</v>
      </c>
      <c r="F120" s="1" t="str">
        <v>BR-LEA-10</v>
      </c>
    </row>
    <row r="121">
      <c r="A121" s="1" t="str">
        <v>Critical</v>
      </c>
      <c r="B121" s="1" t="str">
        <v>LEA-026</v>
      </c>
      <c r="C121" s="1" t="str">
        <v>Leave Application</v>
      </c>
      <c r="D121" s="1" t="str">
        <v>Half Day Leave</v>
      </c>
      <c r="E121" s="1" t="str">
        <v>Half Day with date range is rejected</v>
      </c>
      <c r="F121" s="1" t="str">
        <v>BR-LEA-10</v>
      </c>
    </row>
    <row r="122">
      <c r="A122" s="1" t="str">
        <v>Critical</v>
      </c>
      <c r="B122" s="1" t="str">
        <v>LEA-027</v>
      </c>
      <c r="C122" s="1" t="str">
        <v>Leave Application</v>
      </c>
      <c r="D122" s="1" t="str">
        <v>Half Day Leave</v>
      </c>
      <c r="E122" s="1" t="str">
        <v>Half Day reduces leave balance by 0.5 days</v>
      </c>
      <c r="F122" s="1" t="str">
        <v>BR-LEA-10</v>
      </c>
    </row>
    <row r="123">
      <c r="A123" s="1" t="str">
        <v>Critical</v>
      </c>
      <c r="B123" s="1" t="str">
        <v>LEA-028</v>
      </c>
      <c r="C123" s="1" t="str">
        <v>Leave Application</v>
      </c>
      <c r="D123" s="1" t="str">
        <v>Half Day Leave</v>
      </c>
      <c r="E123" s="1" t="str">
        <v>Full day reduces leave balance by 1 day</v>
      </c>
      <c r="F123" s="1" t="str">
        <v>BR-LEA-09</v>
      </c>
    </row>
    <row r="124">
      <c r="A124" s="1" t="str">
        <v>Critical</v>
      </c>
      <c r="B124" s="1" t="str">
        <v>LEA-032</v>
      </c>
      <c r="C124" s="1" t="str">
        <v>Leave Application</v>
      </c>
      <c r="D124" s="1" t="str">
        <v>Leave Approver</v>
      </c>
      <c r="E124" s="1" t="str">
        <v>Valid leave approver can be selected</v>
      </c>
      <c r="F124" s="1" t="str">
        <v>BR-LEA-12</v>
      </c>
    </row>
    <row r="125">
      <c r="A125" s="1" t="str">
        <v>Critical</v>
      </c>
      <c r="B125" s="1" t="str">
        <v>LEA-033</v>
      </c>
      <c r="C125" s="1" t="str">
        <v>Leave Application</v>
      </c>
      <c r="D125" s="1" t="str">
        <v>Leave Approver</v>
      </c>
      <c r="E125" s="1" t="str">
        <v>Invalid approver is rejected</v>
      </c>
      <c r="F125" s="1" t="str">
        <v>BR-LEA-12</v>
      </c>
    </row>
    <row r="126">
      <c r="A126" s="1" t="str">
        <v>Critical</v>
      </c>
      <c r="B126" s="1" t="str">
        <v>LEA-034</v>
      </c>
      <c r="C126" s="1" t="str">
        <v>Leave Application</v>
      </c>
      <c r="D126" s="1" t="str">
        <v>Leave Approver</v>
      </c>
      <c r="E126" s="1" t="str">
        <v>Leave Approver field is mandatory and cannot be left blank</v>
      </c>
      <c r="F126" s="1" t="str">
        <v>BR-LEA-12</v>
      </c>
    </row>
    <row r="127">
      <c r="A127" s="1" t="str">
        <v>Critical</v>
      </c>
      <c r="B127" s="1" t="str">
        <v>LEA-035</v>
      </c>
      <c r="C127" s="1" t="str">
        <v>Leave Application</v>
      </c>
      <c r="D127" s="1" t="str">
        <v>Leave Approver</v>
      </c>
      <c r="E127" s="1" t="str">
        <v>Leave Approver must have approval authority for the employee</v>
      </c>
      <c r="F127" s="1" t="str">
        <v>BR-LEA-12</v>
      </c>
    </row>
    <row r="128">
      <c r="A128" s="1" t="str">
        <v>Critical</v>
      </c>
      <c r="B128" s="1" t="str">
        <v>LEA-039</v>
      </c>
      <c r="C128" s="1" t="str">
        <v>Leave Application</v>
      </c>
      <c r="D128" s="1" t="str">
        <v>Leave Balance</v>
      </c>
      <c r="E128" s="1" t="str">
        <v>Leave balance is displayed for selected leave type</v>
      </c>
      <c r="F128" s="1" t="str">
        <v>BR-LEA-06</v>
      </c>
    </row>
    <row r="129">
      <c r="A129" s="1" t="str">
        <v>Critical</v>
      </c>
      <c r="B129" s="1" t="str">
        <v>LEA-040</v>
      </c>
      <c r="C129" s="1" t="str">
        <v>Leave Application</v>
      </c>
      <c r="D129" s="1" t="str">
        <v>Leave Balance</v>
      </c>
      <c r="E129" s="1" t="str">
        <v>Leave balance decreases after leave application is approved</v>
      </c>
      <c r="F129" s="1" t="str">
        <v>BR-LEA-06</v>
      </c>
    </row>
    <row r="130">
      <c r="A130" s="1" t="str">
        <v>Critical</v>
      </c>
      <c r="B130" s="1" t="str">
        <v>LEA-041</v>
      </c>
      <c r="C130" s="1" t="str">
        <v>Leave Application</v>
      </c>
      <c r="D130" s="1" t="str">
        <v>Leave Balance</v>
      </c>
      <c r="E130" s="1" t="str">
        <v>Leave balance is restored after leave is cancelled</v>
      </c>
      <c r="F130" s="1" t="str">
        <v>BR-LEA-06</v>
      </c>
    </row>
    <row r="131">
      <c r="A131" s="1" t="str">
        <v>Critical</v>
      </c>
      <c r="B131" s="1" t="str">
        <v>LEA-042</v>
      </c>
      <c r="C131" s="1" t="str">
        <v>Leave Application</v>
      </c>
      <c r="D131" s="1" t="str">
        <v>Leave Balance</v>
      </c>
      <c r="E131" s="1" t="str">
        <v>Leave application is rejected if balance is insufficient</v>
      </c>
      <c r="F131" s="1" t="str">
        <v>BR-LEA-06</v>
      </c>
    </row>
    <row r="132">
      <c r="A132" s="1" t="str">
        <v>Critical</v>
      </c>
      <c r="B132" s="1" t="str">
        <v>LEA-044</v>
      </c>
      <c r="C132" s="1" t="str">
        <v>Leave Application</v>
      </c>
      <c r="D132" s="1" t="str">
        <v>Status &amp; Workflow</v>
      </c>
      <c r="E132" s="1" t="str">
        <v>Status defaults to Open on creation</v>
      </c>
      <c r="F132" s="1" t="str">
        <v>BR-LEA-14</v>
      </c>
    </row>
    <row r="133">
      <c r="A133" s="1" t="str">
        <v>Critical</v>
      </c>
      <c r="B133" s="1" t="str">
        <v>LEA-045</v>
      </c>
      <c r="C133" s="1" t="str">
        <v>Leave Application</v>
      </c>
      <c r="D133" s="1" t="str">
        <v>Status &amp; Workflow</v>
      </c>
      <c r="E133" s="1" t="str">
        <v>Status changes to Approved after approval</v>
      </c>
      <c r="F133" s="1" t="str">
        <v>BR-LEA-14</v>
      </c>
    </row>
    <row r="134">
      <c r="A134" s="1" t="str">
        <v>Critical</v>
      </c>
      <c r="B134" s="1" t="str">
        <v>LEA-046</v>
      </c>
      <c r="C134" s="1" t="str">
        <v>Leave Application</v>
      </c>
      <c r="D134" s="1" t="str">
        <v>Status &amp; Workflow</v>
      </c>
      <c r="E134" s="1" t="str">
        <v>Status changes to Rejected after rejection</v>
      </c>
      <c r="F134" s="1" t="str">
        <v>BR-LEA-14</v>
      </c>
    </row>
    <row r="135">
      <c r="A135" s="1" t="str">
        <v>Critical</v>
      </c>
      <c r="B135" s="1" t="str">
        <v>LEA-047</v>
      </c>
      <c r="C135" s="1" t="str">
        <v>Leave Application</v>
      </c>
      <c r="D135" s="1" t="str">
        <v>Status &amp; Workflow</v>
      </c>
      <c r="E135" s="1" t="str">
        <v>Cancelled leave application shows Cancelled status</v>
      </c>
      <c r="F135" s="1" t="str">
        <v>BR-LEA-14</v>
      </c>
    </row>
    <row r="136">
      <c r="A136" s="1" t="str">
        <v>Critical</v>
      </c>
      <c r="B136" s="1" t="str">
        <v>LEA-048</v>
      </c>
      <c r="C136" s="1" t="str">
        <v>Leave Application</v>
      </c>
      <c r="D136" s="1" t="str">
        <v>Status &amp; Workflow</v>
      </c>
      <c r="E136" s="1" t="str">
        <v>Only authorised user can approve leave application</v>
      </c>
      <c r="F136" s="1" t="str">
        <v>BR-LEA-12</v>
      </c>
    </row>
    <row r="137">
      <c r="A137" s="1" t="str">
        <v>Critical</v>
      </c>
      <c r="B137" s="1" t="str">
        <v>LEA-049</v>
      </c>
      <c r="C137" s="1" t="str">
        <v>Leave Application</v>
      </c>
      <c r="D137" s="1" t="str">
        <v>Data Validation</v>
      </c>
      <c r="E137" s="1" t="str">
        <v>Leave Application cannot be saved without Employee</v>
      </c>
      <c r="F137" s="1" t="str">
        <v>BR-LEA-04</v>
      </c>
    </row>
    <row r="138">
      <c r="A138" s="1" t="str">
        <v>Critical</v>
      </c>
      <c r="B138" s="1" t="str">
        <v>LEA-050</v>
      </c>
      <c r="C138" s="1" t="str">
        <v>Leave Application</v>
      </c>
      <c r="D138" s="1" t="str">
        <v>Data Validation</v>
      </c>
      <c r="E138" s="1" t="str">
        <v>Leave Application cannot be saved without Leave Type</v>
      </c>
      <c r="F138" s="1" t="str">
        <v>BR-LEA-05</v>
      </c>
    </row>
    <row r="139">
      <c r="A139" s="1" t="str">
        <v>Critical</v>
      </c>
      <c r="B139" s="1" t="str">
        <v>LEA-051</v>
      </c>
      <c r="C139" s="1" t="str">
        <v>Leave Application</v>
      </c>
      <c r="D139" s="1" t="str">
        <v>Data Validation</v>
      </c>
      <c r="E139" s="1" t="str">
        <v>Leave Application cannot be saved without From Date</v>
      </c>
      <c r="F139" s="1" t="str">
        <v>BR-LEA-08</v>
      </c>
    </row>
    <row r="140">
      <c r="A140" s="1" t="str">
        <v>Critical</v>
      </c>
      <c r="B140" s="1" t="str">
        <v>LEA-052</v>
      </c>
      <c r="C140" s="1" t="str">
        <v>Leave Application</v>
      </c>
      <c r="D140" s="1" t="str">
        <v>Data Validation</v>
      </c>
      <c r="E140" s="1" t="str">
        <v>Leave Application cannot be saved without To Date</v>
      </c>
      <c r="F140" s="1" t="str">
        <v>BR-LEA-08</v>
      </c>
    </row>
    <row r="141">
      <c r="A141" s="1" t="str">
        <v>Critical</v>
      </c>
      <c r="B141" s="1" t="str">
        <v>LEA-053</v>
      </c>
      <c r="C141" s="1" t="str">
        <v>Leave Application</v>
      </c>
      <c r="D141" s="1" t="str">
        <v>Data Validation</v>
      </c>
      <c r="E141" s="1" t="str">
        <v>Leave Application cannot be submitted with From Date after To Date</v>
      </c>
      <c r="F141" s="1" t="str">
        <v>BR-LEA-08</v>
      </c>
    </row>
    <row r="142">
      <c r="A142" s="1" t="str">
        <v>Critical</v>
      </c>
      <c r="B142" s="1" t="str">
        <v>LEA-058</v>
      </c>
      <c r="C142" s="1" t="str">
        <v>Leave Application</v>
      </c>
      <c r="D142" s="1" t="str">
        <v>Editing &amp; Updates</v>
      </c>
      <c r="E142" s="1" t="str">
        <v>Edit is restricted after leave is approved</v>
      </c>
      <c r="F142" s="1" t="str">
        <v>BR-LEA-14</v>
      </c>
    </row>
    <row r="143">
      <c r="A143" s="1" t="str">
        <v>Critical</v>
      </c>
      <c r="B143" s="1" t="str">
        <v>LEA-059</v>
      </c>
      <c r="C143" s="1" t="str">
        <v>Leave Application</v>
      </c>
      <c r="D143" s="1" t="str">
        <v>Form Actions</v>
      </c>
      <c r="E143" s="1" t="str">
        <v>Save Leave Application successfully</v>
      </c>
      <c r="F143" s="1" t="str">
        <v>BR-LEA-01</v>
      </c>
    </row>
    <row r="144">
      <c r="A144" s="1" t="str">
        <v>Critical</v>
      </c>
      <c r="B144" s="1" t="str">
        <v>LEA-060</v>
      </c>
      <c r="C144" s="1" t="str">
        <v>Leave Application</v>
      </c>
      <c r="D144" s="1" t="str">
        <v>Form Actions</v>
      </c>
      <c r="E144" s="1" t="str">
        <v>Submit Leave Application successfully</v>
      </c>
      <c r="F144" s="1" t="str">
        <v>BR-LEA-16</v>
      </c>
    </row>
    <row r="145">
      <c r="A145" s="1" t="str">
        <v>Critical</v>
      </c>
      <c r="B145" s="1" t="str">
        <v>LEA-064</v>
      </c>
      <c r="C145" s="1" t="str">
        <v>Leave Application</v>
      </c>
      <c r="D145" s="1" t="str">
        <v>Form Actions</v>
      </c>
      <c r="E145" s="1" t="str">
        <v>Cancel submitted Leave Application</v>
      </c>
      <c r="F145" s="1" t="str">
        <v>BR-LEA-16</v>
      </c>
    </row>
    <row r="146">
      <c r="A146" s="1" t="str">
        <v>Critical</v>
      </c>
      <c r="B146" s="1" t="str">
        <v>SC-001</v>
      </c>
      <c r="C146" s="1" t="str">
        <v>Service Call</v>
      </c>
      <c r="D146" s="1" t="str">
        <v>Service Call Creation &amp; Basic Details</v>
      </c>
      <c r="E146" s="1" t="str">
        <v>Create Service Call with mandatory fields only (Customer, Service Type)</v>
      </c>
      <c r="F146" s="1" t="str">
        <v>BR-SC-01</v>
      </c>
    </row>
    <row r="147">
      <c r="A147" s="1" t="str">
        <v>Critical</v>
      </c>
      <c r="B147" s="1" t="str">
        <v>SC-002</v>
      </c>
      <c r="C147" s="1" t="str">
        <v>Service Call</v>
      </c>
      <c r="D147" s="1" t="str">
        <v>Service Call Creation &amp; Basic Details</v>
      </c>
      <c r="E147" s="1" t="str">
        <v>Create Service Call with all basic fields (Customer, Title, Description, Priority)</v>
      </c>
      <c r="F147" s="1" t="str">
        <v>BR-SC-01, BR-SC-02</v>
      </c>
    </row>
    <row r="148">
      <c r="A148" s="1" t="str">
        <v>Critical</v>
      </c>
      <c r="B148" s="1" t="str">
        <v>SC-006</v>
      </c>
      <c r="C148" s="1" t="str">
        <v>Service Call</v>
      </c>
      <c r="D148" s="1" t="str">
        <v>Customer &amp; Location Validation</v>
      </c>
      <c r="E148" s="1" t="str">
        <v>Valid customer selection populates branch locations</v>
      </c>
      <c r="F148" s="1" t="str">
        <v>BR-SC-03</v>
      </c>
    </row>
    <row r="149">
      <c r="A149" s="1" t="str">
        <v>Critical</v>
      </c>
      <c r="B149" s="1" t="str">
        <v>SC-007</v>
      </c>
      <c r="C149" s="1" t="str">
        <v>Service Call</v>
      </c>
      <c r="D149" s="1" t="str">
        <v>Customer &amp; Location Validation</v>
      </c>
      <c r="E149" s="1" t="str">
        <v>Invalid/non-existent customer is rejected</v>
      </c>
      <c r="F149" s="1" t="str">
        <v>BR-SC-03</v>
      </c>
    </row>
    <row r="150">
      <c r="A150" s="1" t="str">
        <v>Critical</v>
      </c>
      <c r="B150" s="1" t="str">
        <v>SC-010</v>
      </c>
      <c r="C150" s="1" t="str">
        <v>Service Call</v>
      </c>
      <c r="D150" s="1" t="str">
        <v>Technician Assignment</v>
      </c>
      <c r="E150" s="1" t="str">
        <v>Assign available technician to Service Call</v>
      </c>
      <c r="F150" s="1" t="str">
        <v>BR-SC-05</v>
      </c>
    </row>
    <row r="151">
      <c r="A151" s="1" t="str">
        <v>Critical</v>
      </c>
      <c r="B151" s="1" t="str">
        <v>SC-013</v>
      </c>
      <c r="C151" s="1" t="str">
        <v>Service Call</v>
      </c>
      <c r="D151" s="1" t="str">
        <v>Technician Assignment</v>
      </c>
      <c r="E151" s="1" t="str">
        <v>Duplicate technician assignment is blocked</v>
      </c>
      <c r="F151" s="1" t="str">
        <v>BR-SC-05</v>
      </c>
    </row>
    <row r="152">
      <c r="A152" s="1" t="str">
        <v>Critical</v>
      </c>
      <c r="B152" s="1" t="str">
        <v>SC-016</v>
      </c>
      <c r="C152" s="1" t="str">
        <v>Service Call</v>
      </c>
      <c r="D152" s="1" t="str">
        <v>Priority &amp; Status Management</v>
      </c>
      <c r="E152" s="1" t="str">
        <v>Status transitions from Draft to Assigned to In Progress</v>
      </c>
      <c r="F152" s="1" t="str">
        <v>BR-SC-07</v>
      </c>
    </row>
    <row r="153">
      <c r="A153" s="1" t="str">
        <v>Critical</v>
      </c>
      <c r="B153" s="1" t="str">
        <v>SC-017</v>
      </c>
      <c r="C153" s="1" t="str">
        <v>Service Call</v>
      </c>
      <c r="D153" s="1" t="str">
        <v>Priority &amp; Status Management</v>
      </c>
      <c r="E153" s="1" t="str">
        <v>Status transitions from In Progress to Completed</v>
      </c>
      <c r="F153" s="1" t="str">
        <v>BR-SC-07</v>
      </c>
    </row>
    <row r="154">
      <c r="A154" s="1" t="str">
        <v>Critical</v>
      </c>
      <c r="B154" s="1" t="str">
        <v>SC-018</v>
      </c>
      <c r="C154" s="1" t="str">
        <v>Service Call</v>
      </c>
      <c r="D154" s="1" t="str">
        <v>Priority &amp; Status Management</v>
      </c>
      <c r="E154" s="1" t="str">
        <v>Invalid status transition is rejected with error message</v>
      </c>
      <c r="F154" s="1" t="str">
        <v>BR-SC-07</v>
      </c>
    </row>
    <row r="155">
      <c r="A155" s="1" t="str">
        <v>Critical</v>
      </c>
      <c r="B155" s="1" t="str">
        <v>SC-019</v>
      </c>
      <c r="C155" s="1" t="str">
        <v>Service Call</v>
      </c>
      <c r="D155" s="1" t="str">
        <v>Service Date &amp; Time</v>
      </c>
      <c r="E155" s="1" t="str">
        <v>Schedule Service Call with valid date &amp; time</v>
      </c>
      <c r="F155" s="1" t="str">
        <v>BR-SC-09</v>
      </c>
    </row>
    <row r="156">
      <c r="A156" s="1" t="str">
        <v>Critical</v>
      </c>
      <c r="B156" s="1" t="str">
        <v>SC-020</v>
      </c>
      <c r="C156" s="1" t="str">
        <v>Service Call</v>
      </c>
      <c r="D156" s="1" t="str">
        <v>Service Date &amp; Time</v>
      </c>
      <c r="E156" s="1" t="str">
        <v>Service date in past is rejected</v>
      </c>
      <c r="F156" s="1" t="str">
        <v>BR-SC-09</v>
      </c>
    </row>
    <row r="157">
      <c r="A157" s="1" t="str">
        <v>Critical</v>
      </c>
      <c r="B157" s="1" t="str">
        <v>SC-021</v>
      </c>
      <c r="C157" s="1" t="str">
        <v>Service Call</v>
      </c>
      <c r="D157" s="1" t="str">
        <v>Service Date &amp; Time</v>
      </c>
      <c r="E157" s="1" t="str">
        <v>Service date cannot be left blank</v>
      </c>
      <c r="F157" s="1" t="str">
        <v>BR-SC-09</v>
      </c>
    </row>
    <row r="158">
      <c r="A158" s="1" t="str">
        <v>Critical</v>
      </c>
      <c r="B158" s="1" t="str">
        <v>SC-023</v>
      </c>
      <c r="C158" s="1" t="str">
        <v>Service Call</v>
      </c>
      <c r="D158" s="1" t="str">
        <v>Service Items &amp; Inventory</v>
      </c>
      <c r="E158" s="1" t="str">
        <v>Add single Service Item to Service Call</v>
      </c>
      <c r="F158" s="1" t="str">
        <v>BR-SC-08</v>
      </c>
    </row>
    <row r="159">
      <c r="A159" s="1" t="str">
        <v>Critical</v>
      </c>
      <c r="B159" s="1" t="str">
        <v>SC-027</v>
      </c>
      <c r="C159" s="1" t="str">
        <v>Service Call</v>
      </c>
      <c r="D159" s="1" t="str">
        <v>Service Items &amp; Inventory</v>
      </c>
      <c r="E159" s="1" t="str">
        <v>Out-of-stock Service Item is flagged with warning</v>
      </c>
      <c r="F159" s="1" t="str">
        <v>BR-SC-08</v>
      </c>
    </row>
    <row r="160">
      <c r="A160" s="1" t="str">
        <v>Critical</v>
      </c>
      <c r="B160" s="1" t="str">
        <v>SC-028</v>
      </c>
      <c r="C160" s="1" t="str">
        <v>Service Call</v>
      </c>
      <c r="D160" s="1" t="str">
        <v>Billing &amp; Cost Calculation</v>
      </c>
      <c r="E160" s="1" t="str">
        <v>Service Call total cost is calculated correctly</v>
      </c>
      <c r="F160" s="1" t="str">
        <v>BR-SC-10</v>
      </c>
    </row>
    <row r="161">
      <c r="A161" s="1" t="str">
        <v>Critical</v>
      </c>
      <c r="B161" s="1" t="str">
        <v>SC-031</v>
      </c>
      <c r="C161" s="1" t="str">
        <v>Service Call</v>
      </c>
      <c r="D161" s="1" t="str">
        <v>Billing &amp; Cost Calculation</v>
      </c>
      <c r="E161" s="1" t="str">
        <v>Billable flag determines invoice eligibility</v>
      </c>
      <c r="F161" s="1" t="str">
        <v>BR-SC-10</v>
      </c>
    </row>
    <row r="162">
      <c r="A162" s="1" t="str">
        <v>Critical</v>
      </c>
      <c r="B162" s="1" t="str">
        <v>SC-032</v>
      </c>
      <c r="C162" s="1" t="str">
        <v>Service Call</v>
      </c>
      <c r="D162" s="1" t="str">
        <v>SLA &amp; Warranty</v>
      </c>
      <c r="E162" s="1" t="str">
        <v>Service Call within warranty period is marked correctly</v>
      </c>
      <c r="F162" s="1" t="str">
        <v>BR-SC-11</v>
      </c>
    </row>
    <row r="163">
      <c r="A163" s="1" t="str">
        <v>Critical</v>
      </c>
      <c r="B163" s="1" t="str">
        <v>SC-033</v>
      </c>
      <c r="C163" s="1" t="str">
        <v>Service Call</v>
      </c>
      <c r="D163" s="1" t="str">
        <v>SLA &amp; Warranty</v>
      </c>
      <c r="E163" s="1" t="str">
        <v>Service Call outside warranty period is marked correctly</v>
      </c>
      <c r="F163" s="1" t="str">
        <v>BR-SC-11</v>
      </c>
    </row>
    <row r="164">
      <c r="A164" s="1" t="str">
        <v>Critical</v>
      </c>
      <c r="B164" s="1" t="str">
        <v>SC-034</v>
      </c>
      <c r="C164" s="1" t="str">
        <v>Service Call</v>
      </c>
      <c r="D164" s="1" t="str">
        <v>SLA &amp; Warranty</v>
      </c>
      <c r="E164" s="1" t="str">
        <v>SLA response time is tracked and validated</v>
      </c>
      <c r="F164" s="1" t="str">
        <v>BR-SC-11</v>
      </c>
    </row>
    <row r="165">
      <c r="A165" s="1" t="str">
        <v>Critical</v>
      </c>
      <c r="B165" s="1" t="str">
        <v>SC-039</v>
      </c>
      <c r="C165" s="1" t="str">
        <v>Service Call</v>
      </c>
      <c r="D165" s="1" t="str">
        <v>Data Validation</v>
      </c>
      <c r="E165" s="1" t="str">
        <v>Service Call with missing mandatory fields cannot be saved</v>
      </c>
      <c r="F165" s="1" t="str">
        <v>BR-SC-01</v>
      </c>
    </row>
    <row r="166">
      <c r="A166" s="1" t="str">
        <v>Critical</v>
      </c>
      <c r="B166" s="1" t="str">
        <v>SC-040</v>
      </c>
      <c r="C166" s="1" t="str">
        <v>Service Call</v>
      </c>
      <c r="D166" s="1" t="str">
        <v>Data Validation</v>
      </c>
      <c r="E166" s="1" t="str">
        <v>Invalid email format in contact field is rejected</v>
      </c>
      <c r="F166" s="1" t="str">
        <v>BR-SC-13</v>
      </c>
    </row>
    <row r="167">
      <c r="A167" s="1" t="str">
        <v>Critical</v>
      </c>
      <c r="B167" s="1" t="str">
        <v>SC-041</v>
      </c>
      <c r="C167" s="1" t="str">
        <v>Service Call</v>
      </c>
      <c r="D167" s="1" t="str">
        <v>Data Validation</v>
      </c>
      <c r="E167" s="1" t="str">
        <v>Invalid phone number format is rejected</v>
      </c>
      <c r="F167" s="1" t="str">
        <v>BR-SC-13</v>
      </c>
    </row>
    <row r="168">
      <c r="A168" s="1" t="str">
        <v>Critical</v>
      </c>
      <c r="B168" s="1" t="str">
        <v>SC-043</v>
      </c>
      <c r="C168" s="1" t="str">
        <v>Service Call</v>
      </c>
      <c r="D168" s="1" t="str">
        <v>Editing &amp; Updates</v>
      </c>
      <c r="E168" s="1" t="str">
        <v>Edit Service Call after status change is restricted</v>
      </c>
      <c r="F168" s="1" t="str">
        <v>BR-SC-14</v>
      </c>
    </row>
    <row r="169">
      <c r="A169" s="1" t="str">
        <v>Critical</v>
      </c>
      <c r="B169" s="1" t="str">
        <v>SC-046</v>
      </c>
      <c r="C169" s="1" t="str">
        <v>Service Call</v>
      </c>
      <c r="D169" s="1" t="str">
        <v>Bulk Operations</v>
      </c>
      <c r="E169" s="1" t="str">
        <v>Delete Service Call (permitted status only)</v>
      </c>
      <c r="F169" s="1" t="str">
        <v>BR-SC-15</v>
      </c>
    </row>
    <row r="170">
      <c r="A170" s="1" t="str">
        <v>Critical</v>
      </c>
      <c r="B170" s="1" t="str">
        <v>SC-048</v>
      </c>
      <c r="C170" s="1" t="str">
        <v>Service Call</v>
      </c>
      <c r="D170" s="1" t="str">
        <v>Permissions &amp; Access</v>
      </c>
      <c r="E170" s="1" t="str">
        <v>Technician views only assigned Service Calls</v>
      </c>
      <c r="F170" s="1" t="str">
        <v>BR-SC-16</v>
      </c>
    </row>
    <row r="171">
      <c r="A171" s="1" t="str">
        <v>Critical</v>
      </c>
      <c r="B171" s="1" t="str">
        <v>SC-049</v>
      </c>
      <c r="C171" s="1" t="str">
        <v>Service Call</v>
      </c>
      <c r="D171" s="1" t="str">
        <v>Permissions &amp; Access</v>
      </c>
      <c r="E171" s="1" t="str">
        <v>Customer views only their own Service Calls</v>
      </c>
      <c r="F171" s="1" t="str">
        <v>BR-SC-16</v>
      </c>
    </row>
    <row r="172">
      <c r="A172" s="1" t="str">
        <v>Critical</v>
      </c>
      <c r="B172" s="1" t="str">
        <v>SC-050</v>
      </c>
      <c r="C172" s="1" t="str">
        <v>Service Call</v>
      </c>
      <c r="D172" s="1" t="str">
        <v>Permissions &amp; Access</v>
      </c>
      <c r="E172" s="1" t="str">
        <v>Manager can approve/reject Service Calls</v>
      </c>
      <c r="F172" s="1" t="str">
        <v>BR-SC-16</v>
      </c>
    </row>
    <row r="173">
      <c r="A173" s="1" t="str">
        <v>High</v>
      </c>
      <c r="B173" s="1" t="str">
        <v>CUST-003</v>
      </c>
      <c r="C173" s="1" t="str">
        <v>AMC Customers</v>
      </c>
      <c r="D173" s="1" t="str">
        <v>Customer Creation &amp; Basic Details</v>
      </c>
      <c r="E173" s="1" t="str">
        <v>Create Individual customer type</v>
      </c>
      <c r="F173" s="1" t="str">
        <v>BR-CUST-02</v>
      </c>
    </row>
    <row r="174">
      <c r="A174" s="1" t="str">
        <v>High</v>
      </c>
      <c r="B174" s="1" t="str">
        <v>CUST-004</v>
      </c>
      <c r="C174" s="1" t="str">
        <v>AMC Customers</v>
      </c>
      <c r="D174" s="1" t="str">
        <v>Customer Creation &amp; Basic Details</v>
      </c>
      <c r="E174" s="1" t="str">
        <v>Create Partnership customer type</v>
      </c>
      <c r="F174" s="1" t="str">
        <v>BR-CUST-02</v>
      </c>
    </row>
    <row r="175">
      <c r="A175" s="1" t="str">
        <v>High</v>
      </c>
      <c r="B175" s="1" t="str">
        <v>CUST-008</v>
      </c>
      <c r="C175" s="1" t="str">
        <v>AMC Customers</v>
      </c>
      <c r="D175" s="1" t="str">
        <v>GST Validation</v>
      </c>
      <c r="E175" s="1" t="str">
        <v>GST field can be left blank (optional for Individual)</v>
      </c>
      <c r="F175" s="1" t="str">
        <v>BR-CUST-03</v>
      </c>
    </row>
    <row r="176">
      <c r="A176" s="1" t="str">
        <v>High</v>
      </c>
      <c r="B176" s="1" t="str">
        <v>CUST-009</v>
      </c>
      <c r="C176" s="1" t="str">
        <v>AMC Customers</v>
      </c>
      <c r="D176" s="1" t="str">
        <v>GST Validation</v>
      </c>
      <c r="E176" s="1" t="str">
        <v>Duplicate PAN across two customers is blocked</v>
      </c>
      <c r="F176" s="1" t="str">
        <v>BR-CUST-05</v>
      </c>
    </row>
    <row r="177">
      <c r="A177" s="1" t="str">
        <v>High</v>
      </c>
      <c r="B177" s="1" t="str">
        <v>CUST-011</v>
      </c>
      <c r="C177" s="1" t="str">
        <v>AMC Customers</v>
      </c>
      <c r="D177" s="1" t="str">
        <v>Branch Locations</v>
      </c>
      <c r="E177" s="1" t="str">
        <v>Add multiple branch locations to same customer</v>
      </c>
      <c r="F177" s="1" t="str">
        <v>BR-CUST-06</v>
      </c>
    </row>
    <row r="178">
      <c r="A178" s="1" t="str">
        <v>High</v>
      </c>
      <c r="B178" s="1" t="str">
        <v>CUST-013</v>
      </c>
      <c r="C178" s="1" t="str">
        <v>AMC Customers</v>
      </c>
      <c r="D178" s="1" t="str">
        <v>Branch Locations</v>
      </c>
      <c r="E178" s="1" t="str">
        <v>Branch on AMC Contract is filtered by selected customer</v>
      </c>
      <c r="F178" s="1" t="str">
        <v>BR-CUST-06, BR-CON-06</v>
      </c>
    </row>
    <row r="179">
      <c r="A179" s="1" t="str">
        <v>High</v>
      </c>
      <c r="B179" s="1" t="str">
        <v>CUST-015</v>
      </c>
      <c r="C179" s="1" t="str">
        <v>AMC Customers</v>
      </c>
      <c r="D179" s="1" t="str">
        <v>Contact Details</v>
      </c>
      <c r="E179" s="1" t="str">
        <v>Only one contact marked as Is Primary per customer</v>
      </c>
      <c r="F179" s="1" t="str">
        <v>BR-CUST-08</v>
      </c>
    </row>
    <row r="180">
      <c r="A180" s="1" t="str">
        <v>High</v>
      </c>
      <c r="B180" s="1" t="str">
        <v>CUST-016</v>
      </c>
      <c r="C180" s="1" t="str">
        <v>AMC Customers</v>
      </c>
      <c r="D180" s="1" t="str">
        <v>Contact Details</v>
      </c>
      <c r="E180" s="1" t="str">
        <v>Contact Person on AMC Contract filtered by selected Branch</v>
      </c>
      <c r="F180" s="1" t="str">
        <v>BR-CUST-07, BR-CON-07</v>
      </c>
    </row>
    <row r="181">
      <c r="A181" s="1" t="str">
        <v>High</v>
      </c>
      <c r="B181" s="1" t="str">
        <v>CUST-018</v>
      </c>
      <c r="C181" s="1" t="str">
        <v>AMC Customers</v>
      </c>
      <c r="D181" s="1" t="str">
        <v>Connections Tab</v>
      </c>
      <c r="E181" s="1" t="str">
        <v>Connections tab shows linked AMC Contracts for customer</v>
      </c>
      <c r="F181" s="1" t="str">
        <v>BR-CUST-09</v>
      </c>
    </row>
    <row r="182">
      <c r="A182" s="1" t="str">
        <v>High</v>
      </c>
      <c r="B182" s="1" t="str">
        <v>CUST-021</v>
      </c>
      <c r="C182" s="1" t="str">
        <v>AMC Customers</v>
      </c>
      <c r="D182" s="1" t="str">
        <v>Data Integrity</v>
      </c>
      <c r="E182" s="1" t="str">
        <v>Deleting customer with active contracts is blocked</v>
      </c>
      <c r="F182" s="1" t="str">
        <v>BR-CUST-10</v>
      </c>
    </row>
    <row r="183">
      <c r="A183" s="1" t="str">
        <v>High</v>
      </c>
      <c r="B183" s="1" t="str">
        <v>CON-005</v>
      </c>
      <c r="C183" s="1" t="str">
        <v>AMC Contract</v>
      </c>
      <c r="D183" s="1" t="str">
        <v>Contract Creation</v>
      </c>
      <c r="E183" s="1" t="str">
        <v>Auto-naming follows AMC-.YY.MM.-.#### series</v>
      </c>
      <c r="F183" s="1" t="str">
        <v>BR-CON-02</v>
      </c>
    </row>
    <row r="184">
      <c r="A184" s="1" t="str">
        <v>High</v>
      </c>
      <c r="B184" s="1" t="str">
        <v>CON-007</v>
      </c>
      <c r="C184" s="1" t="str">
        <v>AMC Contract</v>
      </c>
      <c r="D184" s="1" t="str">
        <v>Contract Date Logic</v>
      </c>
      <c r="E184" s="1" t="str">
        <v>Same Start and End Date is valid (single-day contract)</v>
      </c>
      <c r="F184" s="1" t="str">
        <v>BR-CON-03</v>
      </c>
    </row>
    <row r="185">
      <c r="A185" s="1" t="str">
        <v>High</v>
      </c>
      <c r="B185" s="1" t="str">
        <v>CON-008</v>
      </c>
      <c r="C185" s="1" t="str">
        <v>AMC Contract</v>
      </c>
      <c r="D185" s="1" t="str">
        <v>Contract Date Logic</v>
      </c>
      <c r="E185" s="1" t="str">
        <v>Multi-year contract is valid (e.g., 2 years)</v>
      </c>
      <c r="F185" s="1" t="str">
        <v>BR-CON-03</v>
      </c>
    </row>
    <row r="186">
      <c r="A186" s="1" t="str">
        <v>High</v>
      </c>
      <c r="B186" s="1" t="str">
        <v>CON-013</v>
      </c>
      <c r="C186" s="1" t="str">
        <v>AMC Contract</v>
      </c>
      <c r="D186" s="1" t="str">
        <v>Service Count &amp; Schedule</v>
      </c>
      <c r="E186" s="1" t="str">
        <v>Changing No of Services from 4 to 6 regenerates 6 rows</v>
      </c>
      <c r="F186" s="1" t="str">
        <v>BR-CON-04</v>
      </c>
    </row>
    <row r="187">
      <c r="A187" s="1" t="str">
        <v>High</v>
      </c>
      <c r="B187" s="1" t="str">
        <v>CON-014</v>
      </c>
      <c r="C187" s="1" t="str">
        <v>AMC Contract</v>
      </c>
      <c r="D187" s="1" t="str">
        <v>Service Count &amp; Schedule</v>
      </c>
      <c r="E187" s="1" t="str">
        <v>Maintenance Schedule Equipment column filled per row</v>
      </c>
      <c r="F187" s="1" t="str">
        <v>BR-CON-08</v>
      </c>
    </row>
    <row r="188">
      <c r="A188" s="1" t="str">
        <v>High</v>
      </c>
      <c r="B188" s="1" t="str">
        <v>CON-016</v>
      </c>
      <c r="C188" s="1" t="str">
        <v>AMC Contract</v>
      </c>
      <c r="D188" s="1" t="str">
        <v>Customer &amp; Branch Linkage</v>
      </c>
      <c r="E188" s="1" t="str">
        <v>Branch dropdown is empty until Customer is selected</v>
      </c>
      <c r="F188" s="1" t="str">
        <v>BR-CON-06</v>
      </c>
    </row>
    <row r="189">
      <c r="A189" s="1" t="str">
        <v>High</v>
      </c>
      <c r="B189" s="1" t="str">
        <v>CON-017</v>
      </c>
      <c r="C189" s="1" t="str">
        <v>AMC Contract</v>
      </c>
      <c r="D189" s="1" t="str">
        <v>Customer &amp; Branch Linkage</v>
      </c>
      <c r="E189" s="1" t="str">
        <v>Changing Customer clears Branch and Contact Person</v>
      </c>
      <c r="F189" s="1" t="str">
        <v>BR-CON-06</v>
      </c>
    </row>
    <row r="190">
      <c r="A190" s="1" t="str">
        <v>High</v>
      </c>
      <c r="B190" s="1" t="str">
        <v>CON-018</v>
      </c>
      <c r="C190" s="1" t="str">
        <v>AMC Contract</v>
      </c>
      <c r="D190" s="1" t="str">
        <v>Customer &amp; Branch Linkage</v>
      </c>
      <c r="E190" s="1" t="str">
        <v>Contact Person dropdown filtered by selected Branch</v>
      </c>
      <c r="F190" s="1" t="str">
        <v>BR-CON-07</v>
      </c>
    </row>
    <row r="191">
      <c r="A191" s="1" t="str">
        <v>High</v>
      </c>
      <c r="B191" s="1" t="str">
        <v>CON-019</v>
      </c>
      <c r="C191" s="1" t="str">
        <v>AMC Contract</v>
      </c>
      <c r="D191" s="1" t="str">
        <v>Contract Status</v>
      </c>
      <c r="E191" s="1" t="str">
        <v>Status field accepts Active value</v>
      </c>
      <c r="F191" s="1" t="str">
        <v>BR-CON-09</v>
      </c>
    </row>
    <row r="192">
      <c r="A192" s="1" t="str">
        <v>High</v>
      </c>
      <c r="B192" s="1" t="str">
        <v>CON-020</v>
      </c>
      <c r="C192" s="1" t="str">
        <v>AMC Contract</v>
      </c>
      <c r="D192" s="1" t="str">
        <v>Contract Status</v>
      </c>
      <c r="E192" s="1" t="str">
        <v>Status field accepts Inactive value</v>
      </c>
      <c r="F192" s="1" t="str">
        <v>BR-CON-09</v>
      </c>
    </row>
    <row r="193">
      <c r="A193" s="1" t="str">
        <v>High</v>
      </c>
      <c r="B193" s="1" t="str">
        <v>CON-025</v>
      </c>
      <c r="C193" s="1" t="str">
        <v>AMC Contract</v>
      </c>
      <c r="D193" s="1" t="str">
        <v>Submit &amp; Amend Workflow</v>
      </c>
      <c r="E193" s="1" t="str">
        <v>Submitted contract can be cancelled</v>
      </c>
      <c r="F193" s="1" t="str">
        <v>BR-CON-10</v>
      </c>
    </row>
    <row r="194">
      <c r="A194" s="1" t="str">
        <v>High</v>
      </c>
      <c r="B194" s="1" t="str">
        <v>CON-026</v>
      </c>
      <c r="C194" s="1" t="str">
        <v>AMC Contract</v>
      </c>
      <c r="D194" s="1" t="str">
        <v>Company Branch</v>
      </c>
      <c r="E194" s="1" t="str">
        <v>Company Branch saved independently of Customer Branch</v>
      </c>
      <c r="F194" s="1" t="str">
        <v>BR-CON-08</v>
      </c>
    </row>
    <row r="195">
      <c r="A195" s="1" t="str">
        <v>High</v>
      </c>
      <c r="B195" s="1" t="str">
        <v>CON-028</v>
      </c>
      <c r="C195" s="1" t="str">
        <v>AMC Contract</v>
      </c>
      <c r="D195" s="1" t="str">
        <v>Service Calls Tab</v>
      </c>
      <c r="E195" s="1" t="str">
        <v>Service Calls tab is empty for unsaved draft contract</v>
      </c>
      <c r="F195" s="1" t="str">
        <v>BR-CON-12</v>
      </c>
    </row>
    <row r="196">
      <c r="A196" s="1" t="str">
        <v>High</v>
      </c>
      <c r="B196" s="1" t="str">
        <v>CON-031</v>
      </c>
      <c r="C196" s="1" t="str">
        <v>AMC Contract</v>
      </c>
      <c r="D196" s="1" t="str">
        <v>Cross-DocType Integration</v>
      </c>
      <c r="E196" s="1" t="str">
        <v>Deleting customer with active contracts is blocked</v>
      </c>
      <c r="F196" s="1" t="str">
        <v>BR-CUST-10</v>
      </c>
    </row>
    <row r="197">
      <c r="A197" s="1" t="str">
        <v>High</v>
      </c>
      <c r="B197" s="1" t="str">
        <v>VEN-003</v>
      </c>
      <c r="C197" s="1" t="str">
        <v>Vendor</v>
      </c>
      <c r="D197" s="1" t="str">
        <v>Vendor Creation &amp; Basic Details</v>
      </c>
      <c r="E197" s="1" t="str">
        <v>Create Vendor with Type as Company</v>
      </c>
      <c r="F197" s="1" t="str">
        <v>BR-VEN-02</v>
      </c>
    </row>
    <row r="198">
      <c r="A198" s="1" t="str">
        <v>High</v>
      </c>
      <c r="B198" s="1" t="str">
        <v>VEN-004</v>
      </c>
      <c r="C198" s="1" t="str">
        <v>Vendor</v>
      </c>
      <c r="D198" s="1" t="str">
        <v>Vendor Creation &amp; Basic Details</v>
      </c>
      <c r="E198" s="1" t="str">
        <v>Create Vendor with Type as Individual</v>
      </c>
      <c r="F198" s="1" t="str">
        <v>BR-VEN-02</v>
      </c>
    </row>
    <row r="199">
      <c r="A199" s="1" t="str">
        <v>High</v>
      </c>
      <c r="B199" s="1" t="str">
        <v>VEN-006</v>
      </c>
      <c r="C199" s="1" t="str">
        <v>Vendor</v>
      </c>
      <c r="D199" s="1" t="str">
        <v>Primary Contact Details</v>
      </c>
      <c r="E199" s="1" t="str">
        <v>Valid phone number format in Mobile No field</v>
      </c>
      <c r="F199" s="1" t="str">
        <v>BR-VEN-03</v>
      </c>
    </row>
    <row r="200">
      <c r="A200" s="1" t="str">
        <v>High</v>
      </c>
      <c r="B200" s="1" t="str">
        <v>VEN-008</v>
      </c>
      <c r="C200" s="1" t="str">
        <v>Vendor</v>
      </c>
      <c r="D200" s="1" t="str">
        <v>Primary Contact Details</v>
      </c>
      <c r="E200" s="1" t="str">
        <v>Valid email format is accepted</v>
      </c>
      <c r="F200" s="1" t="str">
        <v>BR-VEN-03</v>
      </c>
    </row>
    <row r="201">
      <c r="A201" s="1" t="str">
        <v>High</v>
      </c>
      <c r="B201" s="1" t="str">
        <v>VEN-013</v>
      </c>
      <c r="C201" s="1" t="str">
        <v>Vendor</v>
      </c>
      <c r="D201" s="1" t="str">
        <v>Tax Identification</v>
      </c>
      <c r="E201" s="1" t="str">
        <v>PAN field can be left blank (optional)</v>
      </c>
      <c r="F201" s="1" t="str">
        <v>BR-VEN-04</v>
      </c>
    </row>
    <row r="202">
      <c r="A202" s="1" t="str">
        <v>High</v>
      </c>
      <c r="B202" s="1" t="str">
        <v>VEN-014</v>
      </c>
      <c r="C202" s="1" t="str">
        <v>Vendor</v>
      </c>
      <c r="D202" s="1" t="str">
        <v>Registered Address</v>
      </c>
      <c r="E202" s="1" t="str">
        <v>Add Registered Address to Vendor</v>
      </c>
      <c r="F202" s="1" t="str">
        <v>BR-VEN-06</v>
      </c>
    </row>
    <row r="203">
      <c r="A203" s="1" t="str">
        <v>High</v>
      </c>
      <c r="B203" s="1" t="str">
        <v>VEN-015</v>
      </c>
      <c r="C203" s="1" t="str">
        <v>Vendor</v>
      </c>
      <c r="D203" s="1" t="str">
        <v>Registered Address</v>
      </c>
      <c r="E203" s="1" t="str">
        <v>Registered Address text is saved correctly</v>
      </c>
      <c r="F203" s="1" t="str">
        <v>BR-VEN-06</v>
      </c>
    </row>
    <row r="204">
      <c r="A204" s="1" t="str">
        <v>High</v>
      </c>
      <c r="B204" s="1" t="str">
        <v>VEN-018</v>
      </c>
      <c r="C204" s="1" t="str">
        <v>Vendor</v>
      </c>
      <c r="D204" s="1" t="str">
        <v>Address Table</v>
      </c>
      <c r="E204" s="1" t="str">
        <v>Add multiple address rows to same Vendor</v>
      </c>
      <c r="F204" s="1" t="str">
        <v>BR-VEN-07</v>
      </c>
    </row>
    <row r="205">
      <c r="A205" s="1" t="str">
        <v>High</v>
      </c>
      <c r="B205" s="1" t="str">
        <v>VEN-020</v>
      </c>
      <c r="C205" s="1" t="str">
        <v>Vendor</v>
      </c>
      <c r="D205" s="1" t="str">
        <v>Address Table</v>
      </c>
      <c r="E205" s="1" t="str">
        <v>Address row Name field is populated correctly</v>
      </c>
      <c r="F205" s="1" t="str">
        <v>BR-VEN-07</v>
      </c>
    </row>
    <row r="206">
      <c r="A206" s="1" t="str">
        <v>High</v>
      </c>
      <c r="B206" s="1" t="str">
        <v>VEN-021</v>
      </c>
      <c r="C206" s="1" t="str">
        <v>Vendor</v>
      </c>
      <c r="D206" s="1" t="str">
        <v>Address Table</v>
      </c>
      <c r="E206" s="1" t="str">
        <v>Address row City field is populated correctly</v>
      </c>
      <c r="F206" s="1" t="str">
        <v>BR-VEN-07</v>
      </c>
    </row>
    <row r="207">
      <c r="A207" s="1" t="str">
        <v>High</v>
      </c>
      <c r="B207" s="1" t="str">
        <v>VEN-022</v>
      </c>
      <c r="C207" s="1" t="str">
        <v>Vendor</v>
      </c>
      <c r="D207" s="1" t="str">
        <v>Address Table</v>
      </c>
      <c r="E207" s="1" t="str">
        <v>Address row State field is populated correctly</v>
      </c>
      <c r="F207" s="1" t="str">
        <v>BR-VEN-07</v>
      </c>
    </row>
    <row r="208">
      <c r="A208" s="1" t="str">
        <v>High</v>
      </c>
      <c r="B208" s="1" t="str">
        <v>VEN-025</v>
      </c>
      <c r="C208" s="1" t="str">
        <v>Vendor</v>
      </c>
      <c r="D208" s="1" t="str">
        <v>Address Table</v>
      </c>
      <c r="E208" s="1" t="str">
        <v>Address row Mobile No field validation</v>
      </c>
      <c r="F208" s="1" t="str">
        <v>BR-VEN-07</v>
      </c>
    </row>
    <row r="209">
      <c r="A209" s="1" t="str">
        <v>High</v>
      </c>
      <c r="B209" s="1" t="str">
        <v>VEN-030</v>
      </c>
      <c r="C209" s="1" t="str">
        <v>Vendor</v>
      </c>
      <c r="D209" s="1" t="str">
        <v>Data Validation</v>
      </c>
      <c r="E209" s="1" t="str">
        <v>Empty Type field defaults to Company</v>
      </c>
      <c r="F209" s="1" t="str">
        <v>BR-VEN-02</v>
      </c>
    </row>
    <row r="210">
      <c r="A210" s="1" t="str">
        <v>High</v>
      </c>
      <c r="B210" s="1" t="str">
        <v>VEN-031</v>
      </c>
      <c r="C210" s="1" t="str">
        <v>Vendor</v>
      </c>
      <c r="D210" s="1" t="str">
        <v>Editing &amp; Updates</v>
      </c>
      <c r="E210" s="1" t="str">
        <v>Edit existing Vendor Name</v>
      </c>
      <c r="F210" s="1" t="str">
        <v>BR-VEN-10</v>
      </c>
    </row>
    <row r="211">
      <c r="A211" s="1" t="str">
        <v>High</v>
      </c>
      <c r="B211" s="1" t="str">
        <v>VEN-032</v>
      </c>
      <c r="C211" s="1" t="str">
        <v>Vendor</v>
      </c>
      <c r="D211" s="1" t="str">
        <v>Editing &amp; Updates</v>
      </c>
      <c r="E211" s="1" t="str">
        <v>Edit Primary Contact Person details</v>
      </c>
      <c r="F211" s="1" t="str">
        <v>BR-VEN-10</v>
      </c>
    </row>
    <row r="212">
      <c r="A212" s="1" t="str">
        <v>High</v>
      </c>
      <c r="B212" s="1" t="str">
        <v>VEN-033</v>
      </c>
      <c r="C212" s="1" t="str">
        <v>Vendor</v>
      </c>
      <c r="D212" s="1" t="str">
        <v>Editing &amp; Updates</v>
      </c>
      <c r="E212" s="1" t="str">
        <v>Edit PAN number</v>
      </c>
      <c r="F212" s="1" t="str">
        <v>BR-VEN-10</v>
      </c>
    </row>
    <row r="213">
      <c r="A213" s="1" t="str">
        <v>High</v>
      </c>
      <c r="B213" s="1" t="str">
        <v>VEN-039</v>
      </c>
      <c r="C213" s="1" t="str">
        <v>Vendor</v>
      </c>
      <c r="D213" s="1" t="str">
        <v>Form Actions</v>
      </c>
      <c r="E213" s="1" t="str">
        <v>Duplicate existing Vendor</v>
      </c>
      <c r="F213" s="1" t="str">
        <v>BR-VEN-11</v>
      </c>
    </row>
    <row r="214">
      <c r="A214" s="1" t="str">
        <v>High</v>
      </c>
      <c r="B214" s="1" t="str">
        <v>VEN-040</v>
      </c>
      <c r="C214" s="1" t="str">
        <v>Vendor</v>
      </c>
      <c r="D214" s="1" t="str">
        <v>Form Actions</v>
      </c>
      <c r="E214" s="1" t="str">
        <v>Delete Vendor (if permitted)</v>
      </c>
      <c r="F214" s="1" t="str">
        <v>BR-VEN-11</v>
      </c>
    </row>
    <row r="215">
      <c r="A215" s="1" t="str">
        <v>High</v>
      </c>
      <c r="B215" s="1" t="str">
        <v>ATT-005</v>
      </c>
      <c r="C215" s="1" t="str">
        <v>Attendance</v>
      </c>
      <c r="D215" s="1" t="str">
        <v>Attendance Creation &amp; Basic Details</v>
      </c>
      <c r="E215" s="1" t="str">
        <v>Create Attendance with Status as Leave</v>
      </c>
      <c r="F215" s="1" t="str">
        <v>BR-ATT-03</v>
      </c>
    </row>
    <row r="216">
      <c r="A216" s="1" t="str">
        <v>High</v>
      </c>
      <c r="B216" s="1" t="str">
        <v>ATT-006</v>
      </c>
      <c r="C216" s="1" t="str">
        <v>Attendance</v>
      </c>
      <c r="D216" s="1" t="str">
        <v>Attendance Creation &amp; Basic Details</v>
      </c>
      <c r="E216" s="1" t="str">
        <v>Create Attendance with Status as Half Day</v>
      </c>
      <c r="F216" s="1" t="str">
        <v>BR-ATT-03</v>
      </c>
    </row>
    <row r="217">
      <c r="A217" s="1" t="str">
        <v>High</v>
      </c>
      <c r="B217" s="1" t="str">
        <v>ATT-008</v>
      </c>
      <c r="C217" s="1" t="str">
        <v>Attendance</v>
      </c>
      <c r="D217" s="1" t="str">
        <v>Series &amp; Auto-generation</v>
      </c>
      <c r="E217" s="1" t="str">
        <v>Series field cannot be manually edited</v>
      </c>
      <c r="F217" s="1" t="str">
        <v>BR-ATT-04</v>
      </c>
    </row>
    <row r="218">
      <c r="A218" s="1" t="str">
        <v>High</v>
      </c>
      <c r="B218" s="1" t="str">
        <v>ATT-017</v>
      </c>
      <c r="C218" s="1" t="str">
        <v>Attendance</v>
      </c>
      <c r="D218" s="1" t="str">
        <v>Attendance Date</v>
      </c>
      <c r="E218" s="1" t="str">
        <v>Past attendance date is accepted</v>
      </c>
      <c r="F218" s="1" t="str">
        <v>BR-ATT-07</v>
      </c>
    </row>
    <row r="219">
      <c r="A219" s="1" t="str">
        <v>High</v>
      </c>
      <c r="B219" s="1" t="str">
        <v>ATT-019</v>
      </c>
      <c r="C219" s="1" t="str">
        <v>Attendance</v>
      </c>
      <c r="D219" s="1" t="str">
        <v>Status Management</v>
      </c>
      <c r="E219" s="1" t="str">
        <v>Status dropdown shows all available options (Present, Absent, Leave, Half Day)</v>
      </c>
      <c r="F219" s="1" t="str">
        <v>BR-ATT-03</v>
      </c>
    </row>
    <row r="220">
      <c r="A220" s="1" t="str">
        <v>High</v>
      </c>
      <c r="B220" s="1" t="str">
        <v>ATT-021</v>
      </c>
      <c r="C220" s="1" t="str">
        <v>Attendance</v>
      </c>
      <c r="D220" s="1" t="str">
        <v>Status Management</v>
      </c>
      <c r="E220" s="1" t="str">
        <v>Status can be changed after creation</v>
      </c>
      <c r="F220" s="1" t="str">
        <v>BR-ATT-03</v>
      </c>
    </row>
    <row r="221">
      <c r="A221" s="1" t="str">
        <v>High</v>
      </c>
      <c r="B221" s="1" t="str">
        <v>ATT-022</v>
      </c>
      <c r="C221" s="1" t="str">
        <v>Attendance</v>
      </c>
      <c r="D221" s="1" t="str">
        <v>Company Assignment</v>
      </c>
      <c r="E221" s="1" t="str">
        <v>Valid company is selected and displayed</v>
      </c>
      <c r="F221" s="1" t="str">
        <v>BR-ATT-08</v>
      </c>
    </row>
    <row r="222">
      <c r="A222" s="1" t="str">
        <v>High</v>
      </c>
      <c r="B222" s="1" t="str">
        <v>ATT-023</v>
      </c>
      <c r="C222" s="1" t="str">
        <v>Attendance</v>
      </c>
      <c r="D222" s="1" t="str">
        <v>Company Assignment</v>
      </c>
      <c r="E222" s="1" t="str">
        <v>Company field is auto-populated based on employee</v>
      </c>
      <c r="F222" s="1" t="str">
        <v>BR-ATT-08</v>
      </c>
    </row>
    <row r="223">
      <c r="A223" s="1" t="str">
        <v>High</v>
      </c>
      <c r="B223" s="1" t="str">
        <v>ATT-025</v>
      </c>
      <c r="C223" s="1" t="str">
        <v>Attendance</v>
      </c>
      <c r="D223" s="1" t="str">
        <v>Shift Details</v>
      </c>
      <c r="E223" s="1" t="str">
        <v>Valid shift can be selected from dropdown</v>
      </c>
      <c r="F223" s="1" t="str">
        <v>BR-ATT-09</v>
      </c>
    </row>
    <row r="224">
      <c r="A224" s="1" t="str">
        <v>High</v>
      </c>
      <c r="B224" s="1" t="str">
        <v>ATT-027</v>
      </c>
      <c r="C224" s="1" t="str">
        <v>Attendance</v>
      </c>
      <c r="D224" s="1" t="str">
        <v>Shift Details</v>
      </c>
      <c r="E224" s="1" t="str">
        <v>Shift auto-populates based on employee's assigned shift</v>
      </c>
      <c r="F224" s="1" t="str">
        <v>BR-ATT-09</v>
      </c>
    </row>
    <row r="225">
      <c r="A225" s="1" t="str">
        <v>High</v>
      </c>
      <c r="B225" s="1" t="str">
        <v>ATT-029</v>
      </c>
      <c r="C225" s="1" t="str">
        <v>Attendance</v>
      </c>
      <c r="D225" s="1" t="str">
        <v>Late Entry Tracking</v>
      </c>
      <c r="E225" s="1" t="str">
        <v>Late Entry checkbox can be marked</v>
      </c>
      <c r="F225" s="1" t="str">
        <v>BR-ATT-10</v>
      </c>
    </row>
    <row r="226">
      <c r="A226" s="1" t="str">
        <v>High</v>
      </c>
      <c r="B226" s="1" t="str">
        <v>ATT-030</v>
      </c>
      <c r="C226" s="1" t="str">
        <v>Attendance</v>
      </c>
      <c r="D226" s="1" t="str">
        <v>Late Entry Tracking</v>
      </c>
      <c r="E226" s="1" t="str">
        <v>Late Entry is checked when employee arrives after scheduled time</v>
      </c>
      <c r="F226" s="1" t="str">
        <v>BR-ATT-10</v>
      </c>
    </row>
    <row r="227">
      <c r="A227" s="1" t="str">
        <v>High</v>
      </c>
      <c r="B227" s="1" t="str">
        <v>ATT-034</v>
      </c>
      <c r="C227" s="1" t="str">
        <v>Attendance</v>
      </c>
      <c r="D227" s="1" t="str">
        <v>Early Exit Tracking</v>
      </c>
      <c r="E227" s="1" t="str">
        <v>Early Exit checkbox can be marked</v>
      </c>
      <c r="F227" s="1" t="str">
        <v>BR-ATT-11</v>
      </c>
    </row>
    <row r="228">
      <c r="A228" s="1" t="str">
        <v>High</v>
      </c>
      <c r="B228" s="1" t="str">
        <v>ATT-035</v>
      </c>
      <c r="C228" s="1" t="str">
        <v>Attendance</v>
      </c>
      <c r="D228" s="1" t="str">
        <v>Early Exit Tracking</v>
      </c>
      <c r="E228" s="1" t="str">
        <v>Early Exit is checked when employee leaves before scheduled time</v>
      </c>
      <c r="F228" s="1" t="str">
        <v>BR-ATT-11</v>
      </c>
    </row>
    <row r="229">
      <c r="A229" s="1" t="str">
        <v>High</v>
      </c>
      <c r="B229" s="1" t="str">
        <v>ATT-039</v>
      </c>
      <c r="C229" s="1" t="str">
        <v>Attendance</v>
      </c>
      <c r="D229" s="1" t="str">
        <v>Late Entry &amp; Early Exit Combination</v>
      </c>
      <c r="E229" s="1" t="str">
        <v>Both Late Entry and Early Exit can be checked together</v>
      </c>
      <c r="F229" s="1" t="str">
        <v>BR-ATT-12</v>
      </c>
    </row>
    <row r="230">
      <c r="A230" s="1" t="str">
        <v>High</v>
      </c>
      <c r="B230" s="1" t="str">
        <v>ATT-044</v>
      </c>
      <c r="C230" s="1" t="str">
        <v>Attendance</v>
      </c>
      <c r="D230" s="1" t="str">
        <v>Editing &amp; Updates</v>
      </c>
      <c r="E230" s="1" t="str">
        <v>Edit existing Attendance Status</v>
      </c>
      <c r="F230" s="1" t="str">
        <v>BR-ATT-13</v>
      </c>
    </row>
    <row r="231">
      <c r="A231" s="1" t="str">
        <v>High</v>
      </c>
      <c r="B231" s="1" t="str">
        <v>ATT-045</v>
      </c>
      <c r="C231" s="1" t="str">
        <v>Attendance</v>
      </c>
      <c r="D231" s="1" t="str">
        <v>Editing &amp; Updates</v>
      </c>
      <c r="E231" s="1" t="str">
        <v>Edit Employee in existing Attendance</v>
      </c>
      <c r="F231" s="1" t="str">
        <v>BR-ATT-13</v>
      </c>
    </row>
    <row r="232">
      <c r="A232" s="1" t="str">
        <v>High</v>
      </c>
      <c r="B232" s="1" t="str">
        <v>ATT-046</v>
      </c>
      <c r="C232" s="1" t="str">
        <v>Attendance</v>
      </c>
      <c r="D232" s="1" t="str">
        <v>Editing &amp; Updates</v>
      </c>
      <c r="E232" s="1" t="str">
        <v>Edit Attendance Date</v>
      </c>
      <c r="F232" s="1" t="str">
        <v>BR-ATT-13</v>
      </c>
    </row>
    <row r="233">
      <c r="A233" s="1" t="str">
        <v>High</v>
      </c>
      <c r="B233" s="1" t="str">
        <v>EXP-004</v>
      </c>
      <c r="C233" s="1" t="str">
        <v>Expense Claim</v>
      </c>
      <c r="D233" s="1" t="str">
        <v>Series &amp; Auto-generation</v>
      </c>
      <c r="E233" s="1" t="str">
        <v>Series field cannot be manually edited</v>
      </c>
      <c r="F233" s="1" t="str">
        <v>BR-EXP-03</v>
      </c>
    </row>
    <row r="234">
      <c r="A234" s="1" t="str">
        <v>High</v>
      </c>
      <c r="B234" s="1" t="str">
        <v>EXP-009</v>
      </c>
      <c r="C234" s="1" t="str">
        <v>Expense Claim</v>
      </c>
      <c r="D234" s="1" t="str">
        <v>Employee Selection</v>
      </c>
      <c r="E234" s="1" t="str">
        <v>Department auto-populates based on selected employee</v>
      </c>
      <c r="F234" s="1" t="str">
        <v>BR-EXP-04</v>
      </c>
    </row>
    <row r="235">
      <c r="A235" s="1" t="str">
        <v>High</v>
      </c>
      <c r="B235" s="1" t="str">
        <v>EXP-012</v>
      </c>
      <c r="C235" s="1" t="str">
        <v>Expense Claim</v>
      </c>
      <c r="D235" s="1" t="str">
        <v>Company Details</v>
      </c>
      <c r="E235" s="1" t="str">
        <v>Company GSTIN is auto-populated based on selected company</v>
      </c>
      <c r="F235" s="1" t="str">
        <v>BR-EXP-05</v>
      </c>
    </row>
    <row r="236">
      <c r="A236" s="1" t="str">
        <v>High</v>
      </c>
      <c r="B236" s="1" t="str">
        <v>EXP-013</v>
      </c>
      <c r="C236" s="1" t="str">
        <v>Expense Claim</v>
      </c>
      <c r="D236" s="1" t="str">
        <v>Company Details</v>
      </c>
      <c r="E236" s="1" t="str">
        <v>Company GSTIN field is read-only</v>
      </c>
      <c r="F236" s="1" t="str">
        <v>BR-EXP-05</v>
      </c>
    </row>
    <row r="237">
      <c r="A237" s="1" t="str">
        <v>High</v>
      </c>
      <c r="B237" s="1" t="str">
        <v>EXP-020</v>
      </c>
      <c r="C237" s="1" t="str">
        <v>Expense Claim</v>
      </c>
      <c r="D237" s="1" t="str">
        <v>Approval Status</v>
      </c>
      <c r="E237" s="1" t="str">
        <v>Approval Status can be changed to Returned</v>
      </c>
      <c r="F237" s="1" t="str">
        <v>BR-EXP-07</v>
      </c>
    </row>
    <row r="238">
      <c r="A238" s="1" t="str">
        <v>High</v>
      </c>
      <c r="B238" s="1" t="str">
        <v>EXP-022</v>
      </c>
      <c r="C238" s="1" t="str">
        <v>Expense Claim</v>
      </c>
      <c r="D238" s="1" t="str">
        <v>Expenses Table</v>
      </c>
      <c r="E238" s="1" t="str">
        <v>Add multiple expense rows to same claim</v>
      </c>
      <c r="F238" s="1" t="str">
        <v>BR-EXP-08</v>
      </c>
    </row>
    <row r="239">
      <c r="A239" s="1" t="str">
        <v>High</v>
      </c>
      <c r="B239" s="1" t="str">
        <v>EXP-025</v>
      </c>
      <c r="C239" s="1" t="str">
        <v>Expense Claim</v>
      </c>
      <c r="D239" s="1" t="str">
        <v>Expenses Table</v>
      </c>
      <c r="E239" s="1" t="str">
        <v>Expense Claim Type dropdown shows valid options</v>
      </c>
      <c r="F239" s="1" t="str">
        <v>BR-EXP-09</v>
      </c>
    </row>
    <row r="240">
      <c r="A240" s="1" t="str">
        <v>High</v>
      </c>
      <c r="B240" s="1" t="str">
        <v>EXP-029</v>
      </c>
      <c r="C240" s="1" t="str">
        <v>Expense Claim</v>
      </c>
      <c r="D240" s="1" t="str">
        <v>Expenses Table</v>
      </c>
      <c r="E240" s="1" t="str">
        <v>Amount field accepts decimal values</v>
      </c>
      <c r="F240" s="1" t="str">
        <v>BR-EXP-08</v>
      </c>
    </row>
    <row r="241">
      <c r="A241" s="1" t="str">
        <v>High</v>
      </c>
      <c r="B241" s="1" t="str">
        <v>EXP-031</v>
      </c>
      <c r="C241" s="1" t="str">
        <v>Expense Claim</v>
      </c>
      <c r="D241" s="1" t="str">
        <v>Expenses Table</v>
      </c>
      <c r="E241" s="1" t="str">
        <v>Sanctioned Amount is auto-populated or manually entered</v>
      </c>
      <c r="F241" s="1" t="str">
        <v>BR-EXP-10</v>
      </c>
    </row>
    <row r="242">
      <c r="A242" s="1" t="str">
        <v>High</v>
      </c>
      <c r="B242" s="1" t="str">
        <v>EXP-034</v>
      </c>
      <c r="C242" s="1" t="str">
        <v>Expense Claim</v>
      </c>
      <c r="D242" s="1" t="str">
        <v>Taxes &amp; Charges</v>
      </c>
      <c r="E242" s="1" t="str">
        <v>Add single tax row to expense claim</v>
      </c>
      <c r="F242" s="1" t="str">
        <v>BR-EXP-12</v>
      </c>
    </row>
    <row r="243">
      <c r="A243" s="1" t="str">
        <v>High</v>
      </c>
      <c r="B243" s="1" t="str">
        <v>EXP-035</v>
      </c>
      <c r="C243" s="1" t="str">
        <v>Expense Claim</v>
      </c>
      <c r="D243" s="1" t="str">
        <v>Taxes &amp; Charges</v>
      </c>
      <c r="E243" s="1" t="str">
        <v>Add multiple tax rows to expense claim</v>
      </c>
      <c r="F243" s="1" t="str">
        <v>BR-EXP-12</v>
      </c>
    </row>
    <row r="244">
      <c r="A244" s="1" t="str">
        <v>High</v>
      </c>
      <c r="B244" s="1" t="str">
        <v>EXP-041</v>
      </c>
      <c r="C244" s="1" t="str">
        <v>Expense Claim</v>
      </c>
      <c r="D244" s="1" t="str">
        <v>Accounting Details</v>
      </c>
      <c r="E244" s="1" t="str">
        <v>Cost Center field can be selected</v>
      </c>
      <c r="F244" s="1" t="str">
        <v>BR-EXP-13</v>
      </c>
    </row>
    <row r="245">
      <c r="A245" s="1" t="str">
        <v>High</v>
      </c>
      <c r="B245" s="1" t="str">
        <v>EXP-044</v>
      </c>
      <c r="C245" s="1" t="str">
        <v>Expense Claim</v>
      </c>
      <c r="D245" s="1" t="str">
        <v>Accounting Details</v>
      </c>
      <c r="E245" s="1" t="str">
        <v>Payable Account can be manually changed</v>
      </c>
      <c r="F245" s="1" t="str">
        <v>BR-EXP-13</v>
      </c>
    </row>
    <row r="246">
      <c r="A246" s="1" t="str">
        <v>High</v>
      </c>
      <c r="B246" s="1" t="str">
        <v>EXP-045</v>
      </c>
      <c r="C246" s="1" t="str">
        <v>Expense Claim</v>
      </c>
      <c r="D246" s="1" t="str">
        <v>Accounting Details</v>
      </c>
      <c r="E246" s="1" t="str">
        <v>Mode of Payment can be selected</v>
      </c>
      <c r="F246" s="1" t="str">
        <v>BR-EXP-13</v>
      </c>
    </row>
    <row r="247">
      <c r="A247" s="1" t="str">
        <v>High</v>
      </c>
      <c r="B247" s="1" t="str">
        <v>EXP-046</v>
      </c>
      <c r="C247" s="1" t="str">
        <v>Expense Claim</v>
      </c>
      <c r="D247" s="1" t="str">
        <v>Accounting Details</v>
      </c>
      <c r="E247" s="1" t="str">
        <v>Total Advance Amount is displayed if advance exists</v>
      </c>
      <c r="F247" s="1" t="str">
        <v>BR-EXP-14</v>
      </c>
    </row>
    <row r="248">
      <c r="A248" s="1" t="str">
        <v>High</v>
      </c>
      <c r="B248" s="1" t="str">
        <v>EXP-051</v>
      </c>
      <c r="C248" s="1" t="str">
        <v>Expense Claim</v>
      </c>
      <c r="D248" s="1" t="str">
        <v>Editing &amp; Updates</v>
      </c>
      <c r="E248" s="1" t="str">
        <v>Edit expense row amount on existing claim</v>
      </c>
      <c r="F248" s="1" t="str">
        <v>BR-EXP-15</v>
      </c>
    </row>
    <row r="249">
      <c r="A249" s="1" t="str">
        <v>High</v>
      </c>
      <c r="B249" s="1" t="str">
        <v>EXP-052</v>
      </c>
      <c r="C249" s="1" t="str">
        <v>Expense Claim</v>
      </c>
      <c r="D249" s="1" t="str">
        <v>Editing &amp; Updates</v>
      </c>
      <c r="E249" s="1" t="str">
        <v>Edit expense claim type on existing row</v>
      </c>
      <c r="F249" s="1" t="str">
        <v>BR-EXP-15</v>
      </c>
    </row>
    <row r="250">
      <c r="A250" s="1" t="str">
        <v>High</v>
      </c>
      <c r="B250" s="1" t="str">
        <v>EXP-053</v>
      </c>
      <c r="C250" s="1" t="str">
        <v>Expense Claim</v>
      </c>
      <c r="D250" s="1" t="str">
        <v>Editing &amp; Updates</v>
      </c>
      <c r="E250" s="1" t="str">
        <v>Edit expense approver before submission</v>
      </c>
      <c r="F250" s="1" t="str">
        <v>BR-EXP-15</v>
      </c>
    </row>
    <row r="251">
      <c r="A251" s="1" t="str">
        <v>High</v>
      </c>
      <c r="B251" s="1" t="str">
        <v>EXP-059</v>
      </c>
      <c r="C251" s="1" t="str">
        <v>Expense Claim</v>
      </c>
      <c r="D251" s="1" t="str">
        <v>Form Actions</v>
      </c>
      <c r="E251" s="1" t="str">
        <v>Duplicate existing Expense Claim</v>
      </c>
      <c r="F251" s="1" t="str">
        <v>BR-EXP-16</v>
      </c>
    </row>
    <row r="252">
      <c r="A252" s="1" t="str">
        <v>High</v>
      </c>
      <c r="B252" s="1" t="str">
        <v>LEA-004</v>
      </c>
      <c r="C252" s="1" t="str">
        <v>Leave Application</v>
      </c>
      <c r="D252" s="1" t="str">
        <v>Series &amp; Auto-generation</v>
      </c>
      <c r="E252" s="1" t="str">
        <v>Series field cannot be manually edited</v>
      </c>
      <c r="F252" s="1" t="str">
        <v>BR-LEA-03</v>
      </c>
    </row>
    <row r="253">
      <c r="A253" s="1" t="str">
        <v>High</v>
      </c>
      <c r="B253" s="1" t="str">
        <v>LEA-011</v>
      </c>
      <c r="C253" s="1" t="str">
        <v>Leave Application</v>
      </c>
      <c r="D253" s="1" t="str">
        <v>Leave Type Selection</v>
      </c>
      <c r="E253" s="1" t="str">
        <v>Leave Type displays all available options (Annual, Sick, Personal, etc.)</v>
      </c>
      <c r="F253" s="1" t="str">
        <v>BR-LEA-05</v>
      </c>
    </row>
    <row r="254">
      <c r="A254" s="1" t="str">
        <v>High</v>
      </c>
      <c r="B254" s="1" t="str">
        <v>LEA-015</v>
      </c>
      <c r="C254" s="1" t="str">
        <v>Leave Application</v>
      </c>
      <c r="D254" s="1" t="str">
        <v>Company Details</v>
      </c>
      <c r="E254" s="1" t="str">
        <v>Company auto-populates based on employee's assigned company</v>
      </c>
      <c r="F254" s="1" t="str">
        <v>BR-LEA-07</v>
      </c>
    </row>
    <row r="255">
      <c r="A255" s="1" t="str">
        <v>High</v>
      </c>
      <c r="B255" s="1" t="str">
        <v>LEA-019</v>
      </c>
      <c r="C255" s="1" t="str">
        <v>Leave Application</v>
      </c>
      <c r="D255" s="1" t="str">
        <v>Date Range</v>
      </c>
      <c r="E255" s="1" t="str">
        <v>From Date cannot be in the past</v>
      </c>
      <c r="F255" s="1" t="str">
        <v>BR-LEA-08</v>
      </c>
    </row>
    <row r="256">
      <c r="A256" s="1" t="str">
        <v>High</v>
      </c>
      <c r="B256" s="1" t="str">
        <v>LEA-023</v>
      </c>
      <c r="C256" s="1" t="str">
        <v>Leave Application</v>
      </c>
      <c r="D256" s="1" t="str">
        <v>Half Day Leave</v>
      </c>
      <c r="E256" s="1" t="str">
        <v>Half Day checkbox can be checked</v>
      </c>
      <c r="F256" s="1" t="str">
        <v>BR-LEA-10</v>
      </c>
    </row>
    <row r="257">
      <c r="A257" s="1" t="str">
        <v>High</v>
      </c>
      <c r="B257" s="1" t="str">
        <v>LEA-024</v>
      </c>
      <c r="C257" s="1" t="str">
        <v>Leave Application</v>
      </c>
      <c r="D257" s="1" t="str">
        <v>Half Day Leave</v>
      </c>
      <c r="E257" s="1" t="str">
        <v>Half Day checkbox can be unchecked</v>
      </c>
      <c r="F257" s="1" t="str">
        <v>BR-LEA-10</v>
      </c>
    </row>
    <row r="258">
      <c r="A258" s="1" t="str">
        <v>High</v>
      </c>
      <c r="B258" s="1" t="str">
        <v>LEA-036</v>
      </c>
      <c r="C258" s="1" t="str">
        <v>Leave Application</v>
      </c>
      <c r="D258" s="1" t="str">
        <v>Posting Date</v>
      </c>
      <c r="E258" s="1" t="str">
        <v>Posting Date is auto-populated with current date</v>
      </c>
      <c r="F258" s="1" t="str">
        <v>BR-LEA-13</v>
      </c>
    </row>
    <row r="259">
      <c r="A259" s="1" t="str">
        <v>High</v>
      </c>
      <c r="B259" s="1" t="str">
        <v>LEA-037</v>
      </c>
      <c r="C259" s="1" t="str">
        <v>Leave Application</v>
      </c>
      <c r="D259" s="1" t="str">
        <v>Posting Date</v>
      </c>
      <c r="E259" s="1" t="str">
        <v>Posting Date cannot be manually changed</v>
      </c>
      <c r="F259" s="1" t="str">
        <v>BR-LEA-13</v>
      </c>
    </row>
    <row r="260">
      <c r="A260" s="1" t="str">
        <v>High</v>
      </c>
      <c r="B260" s="1" t="str">
        <v>LEA-038</v>
      </c>
      <c r="C260" s="1" t="str">
        <v>Leave Application</v>
      </c>
      <c r="D260" s="1" t="str">
        <v>Posting Date</v>
      </c>
      <c r="E260" s="1" t="str">
        <v>Posting Date is recorded accurately on submission</v>
      </c>
      <c r="F260" s="1" t="str">
        <v>BR-LEA-13</v>
      </c>
    </row>
    <row r="261">
      <c r="A261" s="1" t="str">
        <v>High</v>
      </c>
      <c r="B261" s="1" t="str">
        <v>LEA-043</v>
      </c>
      <c r="C261" s="1" t="str">
        <v>Leave Application</v>
      </c>
      <c r="D261" s="1" t="str">
        <v>Leave Balance</v>
      </c>
      <c r="E261" s="1" t="str">
        <v>Leave balance updates are reflected in real-time</v>
      </c>
      <c r="F261" s="1" t="str">
        <v>BR-LEA-06</v>
      </c>
    </row>
    <row r="262">
      <c r="A262" s="1" t="str">
        <v>High</v>
      </c>
      <c r="B262" s="1" t="str">
        <v>LEA-054</v>
      </c>
      <c r="C262" s="1" t="str">
        <v>Leave Application</v>
      </c>
      <c r="D262" s="1" t="str">
        <v>Editing &amp; Updates</v>
      </c>
      <c r="E262" s="1" t="str">
        <v>Edit Leave Type on existing leave application</v>
      </c>
      <c r="F262" s="1" t="str">
        <v>BR-LEA-15</v>
      </c>
    </row>
    <row r="263">
      <c r="A263" s="1" t="str">
        <v>High</v>
      </c>
      <c r="B263" s="1" t="str">
        <v>LEA-055</v>
      </c>
      <c r="C263" s="1" t="str">
        <v>Leave Application</v>
      </c>
      <c r="D263" s="1" t="str">
        <v>Editing &amp; Updates</v>
      </c>
      <c r="E263" s="1" t="str">
        <v>Edit date range on existing leave application</v>
      </c>
      <c r="F263" s="1" t="str">
        <v>BR-LEA-15</v>
      </c>
    </row>
    <row r="264">
      <c r="A264" s="1" t="str">
        <v>High</v>
      </c>
      <c r="B264" s="1" t="str">
        <v>LEA-057</v>
      </c>
      <c r="C264" s="1" t="str">
        <v>Leave Application</v>
      </c>
      <c r="D264" s="1" t="str">
        <v>Editing &amp; Updates</v>
      </c>
      <c r="E264" s="1" t="str">
        <v>Edit leave approver before submission</v>
      </c>
      <c r="F264" s="1" t="str">
        <v>BR-LEA-15</v>
      </c>
    </row>
    <row r="265">
      <c r="A265" s="1" t="str">
        <v>High</v>
      </c>
      <c r="B265" s="1" t="str">
        <v>LEA-063</v>
      </c>
      <c r="C265" s="1" t="str">
        <v>Leave Application</v>
      </c>
      <c r="D265" s="1" t="str">
        <v>Form Actions</v>
      </c>
      <c r="E265" s="1" t="str">
        <v>Duplicate existing Leave Application</v>
      </c>
      <c r="F265" s="1" t="str">
        <v>BR-LEA-16</v>
      </c>
    </row>
    <row r="266">
      <c r="A266" s="1" t="str">
        <v>High</v>
      </c>
      <c r="B266" s="1" t="str">
        <v>LEA-065</v>
      </c>
      <c r="C266" s="1" t="str">
        <v>Leave Application</v>
      </c>
      <c r="D266" s="1" t="str">
        <v>Form Actions</v>
      </c>
      <c r="E266" s="1" t="str">
        <v>Delete Draft Leave Application</v>
      </c>
      <c r="F266" s="1" t="str">
        <v>BR-LEA-16</v>
      </c>
    </row>
    <row r="267">
      <c r="A267" s="1" t="str">
        <v>High</v>
      </c>
      <c r="B267" s="1" t="str">
        <v>SC-003</v>
      </c>
      <c r="C267" s="1" t="str">
        <v>Service Call</v>
      </c>
      <c r="D267" s="1" t="str">
        <v>Service Call Creation &amp; Basic Details</v>
      </c>
      <c r="E267" s="1" t="str">
        <v>Create Service Call with multiple Service Items</v>
      </c>
      <c r="F267" s="1" t="str">
        <v>BR-SC-08</v>
      </c>
    </row>
    <row r="268">
      <c r="A268" s="1" t="str">
        <v>High</v>
      </c>
      <c r="B268" s="1" t="str">
        <v>SC-004</v>
      </c>
      <c r="C268" s="1" t="str">
        <v>Service Call</v>
      </c>
      <c r="D268" s="1" t="str">
        <v>Service Call Creation &amp; Basic Details</v>
      </c>
      <c r="E268" s="1" t="str">
        <v>Create Service Call for Individual customer type</v>
      </c>
      <c r="F268" s="1" t="str">
        <v>BR-SC-03</v>
      </c>
    </row>
    <row r="269">
      <c r="A269" s="1" t="str">
        <v>High</v>
      </c>
      <c r="B269" s="1" t="str">
        <v>SC-005</v>
      </c>
      <c r="C269" s="1" t="str">
        <v>Service Call</v>
      </c>
      <c r="D269" s="1" t="str">
        <v>Service Call Creation &amp; Basic Details</v>
      </c>
      <c r="E269" s="1" t="str">
        <v>Create Service Call for Company customer type</v>
      </c>
      <c r="F269" s="1" t="str">
        <v>BR-SC-03</v>
      </c>
    </row>
    <row r="270">
      <c r="A270" s="1" t="str">
        <v>High</v>
      </c>
      <c r="B270" s="1" t="str">
        <v>SC-008</v>
      </c>
      <c r="C270" s="1" t="str">
        <v>Service Call</v>
      </c>
      <c r="D270" s="1" t="str">
        <v>Customer &amp; Location Validation</v>
      </c>
      <c r="E270" s="1" t="str">
        <v>Service Call can be linked to specific branch location</v>
      </c>
      <c r="F270" s="1" t="str">
        <v>BR-SC-04</v>
      </c>
    </row>
    <row r="271">
      <c r="A271" s="1" t="str">
        <v>High</v>
      </c>
      <c r="B271" s="1" t="str">
        <v>SC-009</v>
      </c>
      <c r="C271" s="1" t="str">
        <v>Service Call</v>
      </c>
      <c r="D271" s="1" t="str">
        <v>Customer &amp; Location Validation</v>
      </c>
      <c r="E271" s="1" t="str">
        <v>Contact person is filtered by selected branch</v>
      </c>
      <c r="F271" s="1" t="str">
        <v>BR-SC-04</v>
      </c>
    </row>
    <row r="272">
      <c r="A272" s="1" t="str">
        <v>High</v>
      </c>
      <c r="B272" s="1" t="str">
        <v>SC-011</v>
      </c>
      <c r="C272" s="1" t="str">
        <v>Service Call</v>
      </c>
      <c r="D272" s="1" t="str">
        <v>Technician Assignment</v>
      </c>
      <c r="E272" s="1" t="str">
        <v>Reassign technician to different Service Call</v>
      </c>
      <c r="F272" s="1" t="str">
        <v>BR-SC-05</v>
      </c>
    </row>
    <row r="273">
      <c r="A273" s="1" t="str">
        <v>High</v>
      </c>
      <c r="B273" s="1" t="str">
        <v>SC-014</v>
      </c>
      <c r="C273" s="1" t="str">
        <v>Service Call</v>
      </c>
      <c r="D273" s="1" t="str">
        <v>Priority &amp; Status Management</v>
      </c>
      <c r="E273" s="1" t="str">
        <v>Create High Priority Service Call</v>
      </c>
      <c r="F273" s="1" t="str">
        <v>BR-SC-06</v>
      </c>
    </row>
    <row r="274">
      <c r="A274" s="1" t="str">
        <v>High</v>
      </c>
      <c r="B274" s="1" t="str">
        <v>SC-022</v>
      </c>
      <c r="C274" s="1" t="str">
        <v>Service Call</v>
      </c>
      <c r="D274" s="1" t="str">
        <v>Service Date &amp; Time</v>
      </c>
      <c r="E274" s="1" t="str">
        <v>Service start time and end time are recorded correctly</v>
      </c>
      <c r="F274" s="1" t="str">
        <v>BR-SC-09</v>
      </c>
    </row>
    <row r="275">
      <c r="A275" s="1" t="str">
        <v>High</v>
      </c>
      <c r="B275" s="1" t="str">
        <v>SC-024</v>
      </c>
      <c r="C275" s="1" t="str">
        <v>Service Call</v>
      </c>
      <c r="D275" s="1" t="str">
        <v>Service Items &amp; Inventory</v>
      </c>
      <c r="E275" s="1" t="str">
        <v>Add multiple Service Items to same Service Call</v>
      </c>
      <c r="F275" s="1" t="str">
        <v>BR-SC-08</v>
      </c>
    </row>
    <row r="276">
      <c r="A276" s="1" t="str">
        <v>High</v>
      </c>
      <c r="B276" s="1" t="str">
        <v>SC-026</v>
      </c>
      <c r="C276" s="1" t="str">
        <v>Service Call</v>
      </c>
      <c r="D276" s="1" t="str">
        <v>Service Items &amp; Inventory</v>
      </c>
      <c r="E276" s="1" t="str">
        <v>Service Item quantity can be updated</v>
      </c>
      <c r="F276" s="1" t="str">
        <v>BR-SC-08</v>
      </c>
    </row>
    <row r="277">
      <c r="A277" s="1" t="str">
        <v>High</v>
      </c>
      <c r="B277" s="1" t="str">
        <v>SC-029</v>
      </c>
      <c r="C277" s="1" t="str">
        <v>Service Call</v>
      </c>
      <c r="D277" s="1" t="str">
        <v>Billing &amp; Cost Calculation</v>
      </c>
      <c r="E277" s="1" t="str">
        <v>Discount applied to Service Call reduces total cost</v>
      </c>
      <c r="F277" s="1" t="str">
        <v>BR-SC-10</v>
      </c>
    </row>
    <row r="278">
      <c r="A278" s="1" t="str">
        <v>High</v>
      </c>
      <c r="B278" s="1" t="str">
        <v>SC-030</v>
      </c>
      <c r="C278" s="1" t="str">
        <v>Service Call</v>
      </c>
      <c r="D278" s="1" t="str">
        <v>Billing &amp; Cost Calculation</v>
      </c>
      <c r="E278" s="1" t="str">
        <v>Additional charges increase Service Call total cost</v>
      </c>
      <c r="F278" s="1" t="str">
        <v>BR-SC-10</v>
      </c>
    </row>
    <row r="279">
      <c r="A279" s="1" t="str">
        <v>High</v>
      </c>
      <c r="B279" s="1" t="str">
        <v>SC-035</v>
      </c>
      <c r="C279" s="1" t="str">
        <v>Service Call</v>
      </c>
      <c r="D279" s="1" t="str">
        <v>Documentation</v>
      </c>
      <c r="E279" s="1" t="str">
        <v>Attach document (image/PDF) to Service Call</v>
      </c>
      <c r="F279" s="1" t="str">
        <v>BR-SC-12</v>
      </c>
    </row>
    <row r="280">
      <c r="A280" s="1" t="str">
        <v>High</v>
      </c>
      <c r="B280" s="1" t="str">
        <v>SC-036</v>
      </c>
      <c r="C280" s="1" t="str">
        <v>Service Call</v>
      </c>
      <c r="D280" s="1" t="str">
        <v>Documentation</v>
      </c>
      <c r="E280" s="1" t="str">
        <v>Add internal notes to Service Call</v>
      </c>
      <c r="F280" s="1" t="str">
        <v>BR-SC-12</v>
      </c>
    </row>
    <row r="281">
      <c r="A281" s="1" t="str">
        <v>High</v>
      </c>
      <c r="B281" s="1" t="str">
        <v>SC-037</v>
      </c>
      <c r="C281" s="1" t="str">
        <v>Service Call</v>
      </c>
      <c r="D281" s="1" t="str">
        <v>Documentation</v>
      </c>
      <c r="E281" s="1" t="str">
        <v>Add customer-visible remarks to Service Call</v>
      </c>
      <c r="F281" s="1" t="str">
        <v>BR-SC-12</v>
      </c>
    </row>
    <row r="282">
      <c r="A282" s="1" t="str">
        <v>High</v>
      </c>
      <c r="B282" s="1" t="str">
        <v>SC-042</v>
      </c>
      <c r="C282" s="1" t="str">
        <v>Service Call</v>
      </c>
      <c r="D282" s="1" t="str">
        <v>Editing &amp; Updates</v>
      </c>
      <c r="E282" s="1" t="str">
        <v>Edit existing Service Call details</v>
      </c>
      <c r="F282" s="1" t="str">
        <v>BR-SC-14</v>
      </c>
    </row>
    <row r="283">
      <c r="A283" s="1" t="str">
        <v>High</v>
      </c>
      <c r="B283" s="1" t="str">
        <v>SC-044</v>
      </c>
      <c r="C283" s="1" t="str">
        <v>Service Call</v>
      </c>
      <c r="D283" s="1" t="str">
        <v>Editing &amp; Updates</v>
      </c>
      <c r="E283" s="1" t="str">
        <v>Edit Service Call technician assignment after creation</v>
      </c>
      <c r="F283" s="1" t="str">
        <v>BR-SC-05</v>
      </c>
    </row>
    <row r="284">
      <c r="A284" s="1" t="str">
        <v>High</v>
      </c>
      <c r="B284" s="1" t="str">
        <v>SC-045</v>
      </c>
      <c r="C284" s="1" t="str">
        <v>Service Call</v>
      </c>
      <c r="D284" s="1" t="str">
        <v>Bulk Operations</v>
      </c>
      <c r="E284" s="1" t="str">
        <v>Duplicate existing Service Call</v>
      </c>
      <c r="F284" s="1" t="str">
        <v>BR-SC-15</v>
      </c>
    </row>
    <row r="285">
      <c r="A285" s="1" t="str">
        <v>High</v>
      </c>
      <c r="B285" s="1" t="str">
        <v>SC-047</v>
      </c>
      <c r="C285" s="1" t="str">
        <v>Service Call</v>
      </c>
      <c r="D285" s="1" t="str">
        <v>Bulk Operations</v>
      </c>
      <c r="E285" s="1" t="str">
        <v>Bulk update Service Call status</v>
      </c>
      <c r="F285" s="1" t="str">
        <v>BR-SC-07</v>
      </c>
    </row>
    <row r="286">
      <c r="A286" s="1" t="str">
        <v>Medium</v>
      </c>
      <c r="B286" s="1" t="str">
        <v>CUST-012</v>
      </c>
      <c r="C286" s="1" t="str">
        <v>AMC Customers</v>
      </c>
      <c r="D286" s="1" t="str">
        <v>Branch Locations</v>
      </c>
      <c r="E286" s="1" t="str">
        <v>Delete a branch location row</v>
      </c>
      <c r="F286" s="1" t="str">
        <v>BR-CUST-06</v>
      </c>
    </row>
    <row r="287">
      <c r="A287" s="1" t="str">
        <v>Medium</v>
      </c>
      <c r="B287" s="1" t="str">
        <v>CUST-017</v>
      </c>
      <c r="C287" s="1" t="str">
        <v>AMC Customers</v>
      </c>
      <c r="D287" s="1" t="str">
        <v>Contact Details</v>
      </c>
      <c r="E287" s="1" t="str">
        <v>Mobile auto-fetched when Contact Person selected on Contract</v>
      </c>
      <c r="F287" s="1" t="str">
        <v>BR-CON-07</v>
      </c>
    </row>
    <row r="288">
      <c r="A288" s="1" t="str">
        <v>Medium</v>
      </c>
      <c r="B288" s="1" t="str">
        <v>CUST-019</v>
      </c>
      <c r="C288" s="1" t="str">
        <v>AMC Customers</v>
      </c>
      <c r="D288" s="1" t="str">
        <v>Connections Tab</v>
      </c>
      <c r="E288" s="1" t="str">
        <v>Connections tab shows linked Service Calls for customer</v>
      </c>
      <c r="F288" s="1" t="str">
        <v>BR-CUST-09</v>
      </c>
    </row>
    <row r="289">
      <c r="A289" s="1" t="str">
        <v>Medium</v>
      </c>
      <c r="B289" s="1" t="str">
        <v>CON-021</v>
      </c>
      <c r="C289" s="1" t="str">
        <v>AMC Contract</v>
      </c>
      <c r="D289" s="1" t="str">
        <v>Contract Status</v>
      </c>
      <c r="E289" s="1" t="str">
        <v>Status is blank by default on new contract</v>
      </c>
      <c r="F289" s="1" t="str">
        <v>BR-CON-09</v>
      </c>
    </row>
    <row r="290">
      <c r="A290" s="1" t="str">
        <v>Medium</v>
      </c>
      <c r="B290" s="1" t="str">
        <v>VEN-016</v>
      </c>
      <c r="C290" s="1" t="str">
        <v>Vendor</v>
      </c>
      <c r="D290" s="1" t="str">
        <v>Registered Address</v>
      </c>
      <c r="E290" s="1" t="str">
        <v>Registered Address with special characters is accepted</v>
      </c>
      <c r="F290" s="1" t="str">
        <v>BR-VEN-06</v>
      </c>
    </row>
    <row r="291">
      <c r="A291" s="1" t="str">
        <v>Medium</v>
      </c>
      <c r="B291" s="1" t="str">
        <v>VEN-019</v>
      </c>
      <c r="C291" s="1" t="str">
        <v>Vendor</v>
      </c>
      <c r="D291" s="1" t="str">
        <v>Address Table</v>
      </c>
      <c r="E291" s="1" t="str">
        <v>Delete address row from table</v>
      </c>
      <c r="F291" s="1" t="str">
        <v>BR-VEN-07</v>
      </c>
    </row>
    <row r="292">
      <c r="A292" s="1" t="str">
        <v>Medium</v>
      </c>
      <c r="B292" s="1" t="str">
        <v>VEN-028</v>
      </c>
      <c r="C292" s="1" t="str">
        <v>Vendor</v>
      </c>
      <c r="D292" s="1" t="str">
        <v>Data Validation</v>
      </c>
      <c r="E292" s="1" t="str">
        <v>Vendor Name with special characters is accepted</v>
      </c>
      <c r="F292" s="1" t="str">
        <v>BR-VEN-01</v>
      </c>
    </row>
    <row r="293">
      <c r="A293" s="1" t="str">
        <v>Medium</v>
      </c>
      <c r="B293" s="1" t="str">
        <v>VEN-029</v>
      </c>
      <c r="C293" s="1" t="str">
        <v>Vendor</v>
      </c>
      <c r="D293" s="1" t="str">
        <v>Data Validation</v>
      </c>
      <c r="E293" s="1" t="str">
        <v>Type field dropdown shows all available options</v>
      </c>
      <c r="F293" s="1" t="str">
        <v>BR-VEN-02</v>
      </c>
    </row>
    <row r="294">
      <c r="A294" s="1" t="str">
        <v>Medium</v>
      </c>
      <c r="B294" s="1" t="str">
        <v>VEN-034</v>
      </c>
      <c r="C294" s="1" t="str">
        <v>Vendor</v>
      </c>
      <c r="D294" s="1" t="str">
        <v>Editing &amp; Updates</v>
      </c>
      <c r="E294" s="1" t="str">
        <v>Edit Registered Address</v>
      </c>
      <c r="F294" s="1" t="str">
        <v>BR-VEN-10</v>
      </c>
    </row>
    <row r="295">
      <c r="A295" s="1" t="str">
        <v>Medium</v>
      </c>
      <c r="B295" s="1" t="str">
        <v>VEN-035</v>
      </c>
      <c r="C295" s="1" t="str">
        <v>Vendor</v>
      </c>
      <c r="D295" s="1" t="str">
        <v>Editing &amp; Updates</v>
      </c>
      <c r="E295" s="1" t="str">
        <v>Edit address table rows</v>
      </c>
      <c r="F295" s="1" t="str">
        <v>BR-VEN-10</v>
      </c>
    </row>
    <row r="296">
      <c r="A296" s="1" t="str">
        <v>Medium</v>
      </c>
      <c r="B296" s="1" t="str">
        <v>VEN-037</v>
      </c>
      <c r="C296" s="1" t="str">
        <v>Vendor</v>
      </c>
      <c r="D296" s="1" t="str">
        <v>Form Actions</v>
      </c>
      <c r="E296" s="1" t="str">
        <v>Form shows "Not Saved" status before save</v>
      </c>
      <c r="F296" s="1" t="str">
        <v>BR-VEN-11</v>
      </c>
    </row>
    <row r="297">
      <c r="A297" s="1" t="str">
        <v>Medium</v>
      </c>
      <c r="B297" s="1" t="str">
        <v>VEN-038</v>
      </c>
      <c r="C297" s="1" t="str">
        <v>Vendor</v>
      </c>
      <c r="D297" s="1" t="str">
        <v>Form Actions</v>
      </c>
      <c r="E297" s="1" t="str">
        <v>Form shows "Saved" status after successful save</v>
      </c>
      <c r="F297" s="1" t="str">
        <v>BR-VEN-11</v>
      </c>
    </row>
    <row r="298">
      <c r="A298" s="1" t="str">
        <v>Medium</v>
      </c>
      <c r="B298" s="1" t="str">
        <v>ATT-016</v>
      </c>
      <c r="C298" s="1" t="str">
        <v>Attendance</v>
      </c>
      <c r="D298" s="1" t="str">
        <v>Attendance Date</v>
      </c>
      <c r="E298" s="1" t="str">
        <v>Future attendance date is accepted</v>
      </c>
      <c r="F298" s="1" t="str">
        <v>BR-ATT-07</v>
      </c>
    </row>
    <row r="299">
      <c r="A299" s="1" t="str">
        <v>Medium</v>
      </c>
      <c r="B299" s="1" t="str">
        <v>ATT-024</v>
      </c>
      <c r="C299" s="1" t="str">
        <v>Attendance</v>
      </c>
      <c r="D299" s="1" t="str">
        <v>Company Assignment</v>
      </c>
      <c r="E299" s="1" t="str">
        <v>Company field can be manually changed</v>
      </c>
      <c r="F299" s="1" t="str">
        <v>BR-ATT-08</v>
      </c>
    </row>
    <row r="300">
      <c r="A300" s="1" t="str">
        <v>Medium</v>
      </c>
      <c r="B300" s="1" t="str">
        <v>ATT-026</v>
      </c>
      <c r="C300" s="1" t="str">
        <v>Attendance</v>
      </c>
      <c r="D300" s="1" t="str">
        <v>Shift Details</v>
      </c>
      <c r="E300" s="1" t="str">
        <v>Shift field is optional and can be left blank</v>
      </c>
      <c r="F300" s="1" t="str">
        <v>BR-ATT-09</v>
      </c>
    </row>
    <row r="301">
      <c r="A301" s="1" t="str">
        <v>Medium</v>
      </c>
      <c r="B301" s="1" t="str">
        <v>ATT-028</v>
      </c>
      <c r="C301" s="1" t="str">
        <v>Attendance</v>
      </c>
      <c r="D301" s="1" t="str">
        <v>Shift Details</v>
      </c>
      <c r="E301" s="1" t="str">
        <v>Multiple shifts can be assigned to same employee on different dates</v>
      </c>
      <c r="F301" s="1" t="str">
        <v>BR-ATT-09</v>
      </c>
    </row>
    <row r="302">
      <c r="A302" s="1" t="str">
        <v>Medium</v>
      </c>
      <c r="B302" s="1" t="str">
        <v>ATT-033</v>
      </c>
      <c r="C302" s="1" t="str">
        <v>Attendance</v>
      </c>
      <c r="D302" s="1" t="str">
        <v>Late Entry Tracking</v>
      </c>
      <c r="E302" s="1" t="str">
        <v>Late Entry checkbox can be unchecked</v>
      </c>
      <c r="F302" s="1" t="str">
        <v>BR-ATT-10</v>
      </c>
    </row>
    <row r="303">
      <c r="A303" s="1" t="str">
        <v>Medium</v>
      </c>
      <c r="B303" s="1" t="str">
        <v>ATT-038</v>
      </c>
      <c r="C303" s="1" t="str">
        <v>Attendance</v>
      </c>
      <c r="D303" s="1" t="str">
        <v>Early Exit Tracking</v>
      </c>
      <c r="E303" s="1" t="str">
        <v>Early Exit checkbox can be unchecked</v>
      </c>
      <c r="F303" s="1" t="str">
        <v>BR-ATT-11</v>
      </c>
    </row>
    <row r="304">
      <c r="A304" s="1" t="str">
        <v>Medium</v>
      </c>
      <c r="B304" s="1" t="str">
        <v>ATT-047</v>
      </c>
      <c r="C304" s="1" t="str">
        <v>Attendance</v>
      </c>
      <c r="D304" s="1" t="str">
        <v>Editing &amp; Updates</v>
      </c>
      <c r="E304" s="1" t="str">
        <v>Edit Shift details</v>
      </c>
      <c r="F304" s="1" t="str">
        <v>BR-ATT-13</v>
      </c>
    </row>
    <row r="305">
      <c r="A305" s="1" t="str">
        <v>Medium</v>
      </c>
      <c r="B305" s="1" t="str">
        <v>ATT-048</v>
      </c>
      <c r="C305" s="1" t="str">
        <v>Attendance</v>
      </c>
      <c r="D305" s="1" t="str">
        <v>Editing &amp; Updates</v>
      </c>
      <c r="E305" s="1" t="str">
        <v>Toggle Late Entry checkbox</v>
      </c>
      <c r="F305" s="1" t="str">
        <v>BR-ATT-13</v>
      </c>
    </row>
    <row r="306">
      <c r="A306" s="1" t="str">
        <v>Medium</v>
      </c>
      <c r="B306" s="1" t="str">
        <v>ATT-049</v>
      </c>
      <c r="C306" s="1" t="str">
        <v>Attendance</v>
      </c>
      <c r="D306" s="1" t="str">
        <v>Editing &amp; Updates</v>
      </c>
      <c r="E306" s="1" t="str">
        <v>Toggle Early Exit checkbox</v>
      </c>
      <c r="F306" s="1" t="str">
        <v>BR-ATT-13</v>
      </c>
    </row>
    <row r="307">
      <c r="A307" s="1" t="str">
        <v>Medium</v>
      </c>
      <c r="B307" s="1" t="str">
        <v>ATT-051</v>
      </c>
      <c r="C307" s="1" t="str">
        <v>Attendance</v>
      </c>
      <c r="D307" s="1" t="str">
        <v>Form Actions</v>
      </c>
      <c r="E307" s="1" t="str">
        <v>Form shows "Not Saved" status before save</v>
      </c>
      <c r="F307" s="1" t="str">
        <v>BR-ATT-14</v>
      </c>
    </row>
    <row r="308">
      <c r="A308" s="1" t="str">
        <v>Medium</v>
      </c>
      <c r="B308" s="1" t="str">
        <v>ATT-052</v>
      </c>
      <c r="C308" s="1" t="str">
        <v>Attendance</v>
      </c>
      <c r="D308" s="1" t="str">
        <v>Form Actions</v>
      </c>
      <c r="E308" s="1" t="str">
        <v>Form shows "Saved" status after successful save</v>
      </c>
      <c r="F308" s="1" t="str">
        <v>BR-ATT-14</v>
      </c>
    </row>
    <row r="309">
      <c r="A309" s="1" t="str">
        <v>Medium</v>
      </c>
      <c r="B309" s="1" t="str">
        <v>EXP-023</v>
      </c>
      <c r="C309" s="1" t="str">
        <v>Expense Claim</v>
      </c>
      <c r="D309" s="1" t="str">
        <v>Expenses Table</v>
      </c>
      <c r="E309" s="1" t="str">
        <v>Delete expense row from table</v>
      </c>
      <c r="F309" s="1" t="str">
        <v>BR-EXP-08</v>
      </c>
    </row>
    <row r="310">
      <c r="A310" s="1" t="str">
        <v>Medium</v>
      </c>
      <c r="B310" s="1" t="str">
        <v>EXP-027</v>
      </c>
      <c r="C310" s="1" t="str">
        <v>Expense Claim</v>
      </c>
      <c r="D310" s="1" t="str">
        <v>Expenses Table</v>
      </c>
      <c r="E310" s="1" t="str">
        <v>Description field is optional</v>
      </c>
      <c r="F310" s="1" t="str">
        <v>BR-EXP-08</v>
      </c>
    </row>
    <row r="311">
      <c r="A311" s="1" t="str">
        <v>Medium</v>
      </c>
      <c r="B311" s="1" t="str">
        <v>EXP-036</v>
      </c>
      <c r="C311" s="1" t="str">
        <v>Expense Claim</v>
      </c>
      <c r="D311" s="1" t="str">
        <v>Taxes &amp; Charges</v>
      </c>
      <c r="E311" s="1" t="str">
        <v>Delete tax row from table</v>
      </c>
      <c r="F311" s="1" t="str">
        <v>BR-EXP-12</v>
      </c>
    </row>
    <row r="312">
      <c r="A312" s="1" t="str">
        <v>Medium</v>
      </c>
      <c r="B312" s="1" t="str">
        <v>EXP-042</v>
      </c>
      <c r="C312" s="1" t="str">
        <v>Expense Claim</v>
      </c>
      <c r="D312" s="1" t="str">
        <v>Accounting Details</v>
      </c>
      <c r="E312" s="1" t="str">
        <v>Project field can be linked to expense claim</v>
      </c>
      <c r="F312" s="1" t="str">
        <v>BR-EXP-13</v>
      </c>
    </row>
    <row r="313">
      <c r="A313" s="1" t="str">
        <v>Medium</v>
      </c>
      <c r="B313" s="1" t="str">
        <v>EXP-057</v>
      </c>
      <c r="C313" s="1" t="str">
        <v>Expense Claim</v>
      </c>
      <c r="D313" s="1" t="str">
        <v>Form Actions</v>
      </c>
      <c r="E313" s="1" t="str">
        <v>Form shows "Not Saved" status before save</v>
      </c>
      <c r="F313" s="1" t="str">
        <v>BR-EXP-16</v>
      </c>
    </row>
    <row r="314">
      <c r="A314" s="1" t="str">
        <v>Medium</v>
      </c>
      <c r="B314" s="1" t="str">
        <v>EXP-058</v>
      </c>
      <c r="C314" s="1" t="str">
        <v>Expense Claim</v>
      </c>
      <c r="D314" s="1" t="str">
        <v>Form Actions</v>
      </c>
      <c r="E314" s="1" t="str">
        <v>Form shows "Saved" status after successful save</v>
      </c>
      <c r="F314" s="1" t="str">
        <v>BR-EXP-16</v>
      </c>
    </row>
    <row r="315">
      <c r="A315" s="1" t="str">
        <v>Medium</v>
      </c>
      <c r="B315" s="1" t="str">
        <v>LEA-029</v>
      </c>
      <c r="C315" s="1" t="str">
        <v>Leave Application</v>
      </c>
      <c r="D315" s="1" t="str">
        <v>Reason</v>
      </c>
      <c r="E315" s="1" t="str">
        <v>Reason field is optional</v>
      </c>
      <c r="F315" s="1" t="str">
        <v>BR-LEA-11</v>
      </c>
    </row>
    <row r="316">
      <c r="A316" s="1" t="str">
        <v>Medium</v>
      </c>
      <c r="B316" s="1" t="str">
        <v>LEA-030</v>
      </c>
      <c r="C316" s="1" t="str">
        <v>Leave Application</v>
      </c>
      <c r="D316" s="1" t="str">
        <v>Reason</v>
      </c>
      <c r="E316" s="1" t="str">
        <v>Reason field accepts text input</v>
      </c>
      <c r="F316" s="1" t="str">
        <v>BR-LEA-11</v>
      </c>
    </row>
    <row r="317">
      <c r="A317" s="1" t="str">
        <v>Medium</v>
      </c>
      <c r="B317" s="1" t="str">
        <v>LEA-031</v>
      </c>
      <c r="C317" s="1" t="str">
        <v>Leave Application</v>
      </c>
      <c r="D317" s="1" t="str">
        <v>Reason</v>
      </c>
      <c r="E317" s="1" t="str">
        <v>Reason field accepts special characters</v>
      </c>
      <c r="F317" s="1" t="str">
        <v>BR-LEA-11</v>
      </c>
    </row>
    <row r="318">
      <c r="A318" s="1" t="str">
        <v>Medium</v>
      </c>
      <c r="B318" s="1" t="str">
        <v>LEA-056</v>
      </c>
      <c r="C318" s="1" t="str">
        <v>Leave Application</v>
      </c>
      <c r="D318" s="1" t="str">
        <v>Editing &amp; Updates</v>
      </c>
      <c r="E318" s="1" t="str">
        <v>Edit reason on existing leave application</v>
      </c>
      <c r="F318" s="1" t="str">
        <v>BR-LEA-15</v>
      </c>
    </row>
    <row r="319">
      <c r="A319" s="1" t="str">
        <v>Medium</v>
      </c>
      <c r="B319" s="1" t="str">
        <v>LEA-061</v>
      </c>
      <c r="C319" s="1" t="str">
        <v>Leave Application</v>
      </c>
      <c r="D319" s="1" t="str">
        <v>Form Actions</v>
      </c>
      <c r="E319" s="1" t="str">
        <v>Form shows "Not Saved" status before save</v>
      </c>
      <c r="F319" s="1" t="str">
        <v>BR-LEA-16</v>
      </c>
    </row>
    <row r="320">
      <c r="A320" s="1" t="str">
        <v>Medium</v>
      </c>
      <c r="B320" s="1" t="str">
        <v>LEA-062</v>
      </c>
      <c r="C320" s="1" t="str">
        <v>Leave Application</v>
      </c>
      <c r="D320" s="1" t="str">
        <v>Form Actions</v>
      </c>
      <c r="E320" s="1" t="str">
        <v>Form shows "Saved" status after successful save</v>
      </c>
      <c r="F320" s="1" t="str">
        <v>BR-LEA-16</v>
      </c>
    </row>
    <row r="321">
      <c r="A321" s="1" t="str">
        <v>Medium</v>
      </c>
      <c r="B321" s="1" t="str">
        <v>SC-012</v>
      </c>
      <c r="C321" s="1" t="str">
        <v>Service Call</v>
      </c>
      <c r="D321" s="1" t="str">
        <v>Technician Assignment</v>
      </c>
      <c r="E321" s="1" t="str">
        <v>Service Call without technician assignment is saved successfully</v>
      </c>
      <c r="F321" s="1" t="str">
        <v>BR-SC-05</v>
      </c>
    </row>
    <row r="322">
      <c r="A322" s="1" t="str">
        <v>Medium</v>
      </c>
      <c r="B322" s="1" t="str">
        <v>SC-015</v>
      </c>
      <c r="C322" s="1" t="str">
        <v>Service Call</v>
      </c>
      <c r="D322" s="1" t="str">
        <v>Priority &amp; Status Management</v>
      </c>
      <c r="E322" s="1" t="str">
        <v>Create Low Priority Service Call</v>
      </c>
      <c r="F322" s="1" t="str">
        <v>BR-SC-06</v>
      </c>
    </row>
    <row r="323">
      <c r="A323" s="1" t="str">
        <v>Medium</v>
      </c>
      <c r="B323" s="1" t="str">
        <v>SC-025</v>
      </c>
      <c r="C323" s="1" t="str">
        <v>Service Call</v>
      </c>
      <c r="D323" s="1" t="str">
        <v>Service Items &amp; Inventory</v>
      </c>
      <c r="E323" s="1" t="str">
        <v>Delete Service Item row from Service Call</v>
      </c>
      <c r="F323" s="1" t="str">
        <v>BR-SC-08</v>
      </c>
    </row>
    <row r="324">
      <c r="A324" s="1" t="str">
        <v>Medium</v>
      </c>
      <c r="B324" s="1" t="str">
        <v>SC-038</v>
      </c>
      <c r="C324" s="1" t="str">
        <v>Service Call</v>
      </c>
      <c r="D324" s="1" t="str">
        <v>Documentation</v>
      </c>
      <c r="E324" s="1" t="str">
        <v>Delete attached document from Service Call</v>
      </c>
      <c r="F324" s="1" t="str">
        <v>BR-SC-12</v>
      </c>
    </row>
    <row r="327">
      <c r="A327" s="1" t="str">
        <v>Priority Summary</v>
      </c>
    </row>
    <row r="328">
      <c r="A328" s="1" t="str">
        <v>Priority</v>
      </c>
      <c r="B328" s="1" t="str">
        <v>Count</v>
      </c>
      <c r="C328" s="1" t="str">
        <v>% of Total</v>
      </c>
    </row>
    <row r="329">
      <c r="A329" s="1" t="str">
        <v>Critical</v>
      </c>
      <c r="B329" s="1">
        <v>168</v>
      </c>
      <c r="C329" s="1">
        <v>0.525</v>
      </c>
    </row>
    <row r="330">
      <c r="A330" s="1" t="str">
        <v>High</v>
      </c>
      <c r="B330" s="1">
        <v>113</v>
      </c>
      <c r="C330" s="1">
        <v>0.353125</v>
      </c>
    </row>
    <row r="331">
      <c r="A331" s="1" t="str">
        <v>Medium</v>
      </c>
      <c r="B331" s="1">
        <v>39</v>
      </c>
      <c r="C331" s="1">
        <v>0.121875</v>
      </c>
    </row>
  </sheetData>
  <mergeCells count="3">
    <mergeCell ref="A1:F1"/>
    <mergeCell ref="A2:F2"/>
    <mergeCell ref="A327:F327"/>
  </mergeCells>
  <pageMargins left="0.75" right="0.75" top="1" bottom="1" header="0.511811023622047" footer="0.511811023622047"/>
  <ignoredErrors>
    <ignoredError numberStoredAsText="1" sqref="A1:F33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109"/>
  <sheetViews>
    <sheetView workbookViewId="0" rightToLeft="0"/>
  </sheetViews>
  <sheetData>
    <row r="1">
      <c r="A1" s="1" t="str">
        <v>AMC Core — Master Business Rules Reference</v>
      </c>
    </row>
    <row r="2">
      <c r="A2" s="1" t="str">
        <v>98 business rules across 7 DocTypes. Every test case traces to exactly one rule.</v>
      </c>
    </row>
    <row r="4">
      <c r="A4" s="1" t="str">
        <v>Rule ID</v>
      </c>
      <c r="B4" s="1" t="str">
        <v>DocType</v>
      </c>
      <c r="C4" s="1" t="str">
        <v>Category</v>
      </c>
      <c r="D4" s="1" t="str">
        <v>Rule Name</v>
      </c>
      <c r="E4" s="1" t="str">
        <v>Description / ERPNext v15 Field Details</v>
      </c>
      <c r="F4" s="1" t="str">
        <v>Test Cases</v>
      </c>
    </row>
    <row r="5">
      <c r="A5" s="1" t="str">
        <v>▌ AMC Customers</v>
      </c>
    </row>
    <row r="6">
      <c r="A6" s="1" t="str">
        <v>BR-CUST-01</v>
      </c>
      <c r="B6" s="1" t="str">
        <v>AMC Customers</v>
      </c>
      <c r="C6" s="1" t="str">
        <v>Creation</v>
      </c>
      <c r="D6" s="1" t="str">
        <v>Customer Name is primary identifier</v>
      </c>
      <c r="E6" s="1" t="str">
        <v>Customer Name is core searchable field. Naming series CUST-.####. auto-assigns ID.</v>
      </c>
      <c r="F6" s="1" t="str">
        <v>CUST-001, CUST-002</v>
      </c>
    </row>
    <row r="7">
      <c r="A7" s="1" t="str">
        <v>BR-CUST-02</v>
      </c>
      <c r="B7" s="1" t="str">
        <v>AMC Customers</v>
      </c>
      <c r="C7" s="1" t="str">
        <v>Creation</v>
      </c>
      <c r="D7" s="1" t="str">
        <v>Customer Type classifies legal entity</v>
      </c>
      <c r="E7" s="1" t="str">
        <v>Must be Company, Individual, or Partnership. Determines tax and contact rules.</v>
      </c>
      <c r="F7" s="1" t="str">
        <v>CUST-003, CUST-004</v>
      </c>
    </row>
    <row r="8">
      <c r="A8" s="1" t="str">
        <v>BR-CUST-03</v>
      </c>
      <c r="B8" s="1" t="str">
        <v>AMC Customers</v>
      </c>
      <c r="C8" s="1" t="str">
        <v>GST Validation</v>
      </c>
      <c r="D8" s="1" t="str">
        <v>GST must match 15-char regex or be blank</v>
      </c>
      <c r="E8" s="1" t="str">
        <v>Regex: ^$|^[0-9]{2}[A-Z]{4}[A-Z0-9]{1}[0-9]{4}[A-Z]{1}[1-9A-Z]{1}[A-Z]{1}[A-Z0-9]{1}$. Error message shown on mismatch.</v>
      </c>
      <c r="F8" s="1" t="str">
        <v>CUST-005, CUST-006, CUST-008</v>
      </c>
    </row>
    <row r="9">
      <c r="A9" s="1" t="str">
        <v>BR-CUST-04</v>
      </c>
      <c r="B9" s="1" t="str">
        <v>AMC Customers</v>
      </c>
      <c r="C9" s="1" t="str">
        <v>GST Validation</v>
      </c>
      <c r="D9" s="1" t="str">
        <v>GST is unique across all customers</v>
      </c>
      <c r="E9" s="1" t="str">
        <v>unique:1 on GST field. Two customers cannot share same GSTIN.</v>
      </c>
      <c r="F9" s="1" t="str">
        <v>CUST-007</v>
      </c>
    </row>
    <row r="10">
      <c r="A10" s="1" t="str">
        <v>BR-CUST-05</v>
      </c>
      <c r="B10" s="1" t="str">
        <v>AMC Customers</v>
      </c>
      <c r="C10" s="1" t="str">
        <v>PAN Validation</v>
      </c>
      <c r="D10" s="1" t="str">
        <v>PAN is unique across all customers</v>
      </c>
      <c r="E10" s="1" t="str">
        <v>unique:1 on PAN field. Two customers cannot share same PAN.</v>
      </c>
      <c r="F10" s="1" t="str">
        <v>CUST-009</v>
      </c>
    </row>
    <row r="11">
      <c r="A11" s="1" t="str">
        <v>BR-CUST-06</v>
      </c>
      <c r="B11" s="1" t="str">
        <v>AMC Customers</v>
      </c>
      <c r="C11" s="1" t="str">
        <v>Branches</v>
      </c>
      <c r="D11" s="1" t="str">
        <v>Branch Locations define service sites</v>
      </c>
      <c r="E11" s="1" t="str">
        <v>Customer Branch Mapping child table: Branch + Address. Branches link to Contracts.</v>
      </c>
      <c r="F11" s="1" t="str">
        <v>CUST-010, CUST-011, CUST-012, CUST-013</v>
      </c>
    </row>
    <row r="12">
      <c r="A12" s="1" t="str">
        <v>BR-CUST-07</v>
      </c>
      <c r="B12" s="1" t="str">
        <v>AMC Customers</v>
      </c>
      <c r="C12" s="1" t="str">
        <v>Contacts</v>
      </c>
      <c r="D12" s="1" t="str">
        <v>Contact Details store per-branch persons</v>
      </c>
      <c r="E12" s="1" t="str">
        <v>Customer Contact Mapping: Name, Mobile, Email, Branch, Is Primary. Drives contract contact selection.</v>
      </c>
      <c r="F12" s="1" t="str">
        <v>CUST-014, CUST-016, CUST-017</v>
      </c>
    </row>
    <row r="13">
      <c r="A13" s="1" t="str">
        <v>BR-CUST-08</v>
      </c>
      <c r="B13" s="1" t="str">
        <v>AMC Customers</v>
      </c>
      <c r="C13" s="1" t="str">
        <v>Contacts</v>
      </c>
      <c r="D13" s="1" t="str">
        <v>Only one Is Primary contact per customer</v>
      </c>
      <c r="E13" s="1" t="str">
        <v>Business rule: Is Primary uniqueness per customer to avoid escalation ambiguity.</v>
      </c>
      <c r="F13" s="1" t="str">
        <v>CUST-015</v>
      </c>
    </row>
    <row r="14">
      <c r="A14" s="1" t="str">
        <v>BR-CUST-09</v>
      </c>
      <c r="B14" s="1" t="str">
        <v>AMC Customers</v>
      </c>
      <c r="C14" s="1" t="str">
        <v>Connections</v>
      </c>
      <c r="D14" s="1" t="str">
        <v>Customer links to Contracts and Service Calls</v>
      </c>
      <c r="E14" s="1" t="str">
        <v>links[]: AMC Contract.customer + Service Call.customer. Visible in Connections tab HTML.</v>
      </c>
      <c r="F14" s="1" t="str">
        <v>CUST-018, CUST-019</v>
      </c>
    </row>
    <row r="15">
      <c r="A15" s="1" t="str">
        <v>BR-CUST-10</v>
      </c>
      <c r="B15" s="1" t="str">
        <v>AMC Customers</v>
      </c>
      <c r="C15" s="1" t="str">
        <v>Data Integrity</v>
      </c>
      <c r="D15" s="1" t="str">
        <v>Customer with active contracts cannot be deleted</v>
      </c>
      <c r="E15" s="1" t="str">
        <v>Referential integrity: deletion blocked if AMC Contracts reference this customer.</v>
      </c>
      <c r="F15" s="1" t="str">
        <v>CUST-021, CON-031</v>
      </c>
    </row>
    <row r="16">
      <c r="A16" s="1" t="str">
        <v>BR-CUST-11</v>
      </c>
      <c r="B16" s="1" t="str">
        <v>AMC Customers</v>
      </c>
      <c r="C16" s="1" t="str">
        <v>Permissions</v>
      </c>
      <c r="D16" s="1" t="str">
        <v>Technician has read-only access to customers</v>
      </c>
      <c r="E16" s="1" t="str">
        <v>Permissions: Technician read:1 only. No create, write, delete on AMC Customers.</v>
      </c>
      <c r="F16" s="1" t="str">
        <v>CUST-020</v>
      </c>
    </row>
    <row r="17">
      <c r="A17" s="1" t="str">
        <v>▌ AMC Contract</v>
      </c>
    </row>
    <row r="18">
      <c r="A18" s="1" t="str">
        <v>BR-CON-01</v>
      </c>
      <c r="B18" s="1" t="str">
        <v>AMC Contract</v>
      </c>
      <c r="C18" s="1" t="str">
        <v>Mandatory Fields</v>
      </c>
      <c r="D18" s="1" t="str">
        <v>Start Date, End Date, No of Services required</v>
      </c>
      <c r="E18" s="1" t="str">
        <v>reqd:1 on all three. Save is blocked without any of these fields.</v>
      </c>
      <c r="F18" s="1" t="str">
        <v>CON-001, CON-002, CON-003, CON-004</v>
      </c>
    </row>
    <row r="19">
      <c r="A19" s="1" t="str">
        <v>BR-CON-02</v>
      </c>
      <c r="B19" s="1" t="str">
        <v>AMC Contract</v>
      </c>
      <c r="C19" s="1" t="str">
        <v>Auto-Naming</v>
      </c>
      <c r="D19" s="1" t="str">
        <v>Contract name follows AMC-.YY.MM.-.#### series</v>
      </c>
      <c r="E19" s="1" t="str">
        <v>naming_series: "AMC-.YY.MM.-.####". Provides month-stamped, chronological IDs.</v>
      </c>
      <c r="F19" s="1" t="str">
        <v>CON-005</v>
      </c>
    </row>
    <row r="20">
      <c r="A20" s="1" t="str">
        <v>BR-CON-03</v>
      </c>
      <c r="B20" s="1" t="str">
        <v>AMC Contract</v>
      </c>
      <c r="C20" s="1" t="str">
        <v>Date Logic</v>
      </c>
      <c r="D20" s="1" t="str">
        <v>End Date must be &gt;= Start Date</v>
      </c>
      <c r="E20" s="1" t="str">
        <v>Business rule: end &lt; start must be rejected. Same-day and multi-year spans are valid.</v>
      </c>
      <c r="F20" s="1" t="str">
        <v>CON-006, CON-007, CON-008</v>
      </c>
    </row>
    <row r="21">
      <c r="A21" s="1" t="str">
        <v>BR-CON-04</v>
      </c>
      <c r="B21" s="1" t="str">
        <v>AMC Contract</v>
      </c>
      <c r="C21" s="1" t="str">
        <v>Service Count</v>
      </c>
      <c r="D21" s="1" t="str">
        <v>No of Services drives Maintenance Schedule rows</v>
      </c>
      <c r="E21" s="1" t="str">
        <v>Select 1-12. Must generate exactly that many rows in Maintenance Schedule child table.</v>
      </c>
      <c r="F21" s="1" t="str">
        <v>CON-009 to CON-013, CON-029</v>
      </c>
    </row>
    <row r="22">
      <c r="A22" s="1" t="str">
        <v>BR-CON-05</v>
      </c>
      <c r="B22" s="1" t="str">
        <v>AMC Contract</v>
      </c>
      <c r="C22" s="1" t="str">
        <v>Service Count</v>
      </c>
      <c r="D22" s="1" t="str">
        <v>Schedule dates must fall within contract period</v>
      </c>
      <c r="E22" s="1" t="str">
        <v>Each generated date &gt;= start_date and &lt;= end_date.</v>
      </c>
      <c r="F22" s="1" t="str">
        <v>CON-012</v>
      </c>
    </row>
    <row r="23">
      <c r="A23" s="1" t="str">
        <v>BR-CON-06</v>
      </c>
      <c r="B23" s="1" t="str">
        <v>AMC Contract</v>
      </c>
      <c r="C23" s="1" t="str">
        <v>Customer Linkage</v>
      </c>
      <c r="D23" s="1" t="str">
        <v>Branch filtered by selected Customer</v>
      </c>
      <c r="E23" s="1" t="str">
        <v>link_filters: Customer Branch.customer = doc.customer. Branch only shows that customer's branches.</v>
      </c>
      <c r="F23" s="1" t="str">
        <v>CON-015, CON-016, CON-017</v>
      </c>
    </row>
    <row r="24">
      <c r="A24" s="1" t="str">
        <v>BR-CON-07</v>
      </c>
      <c r="B24" s="1" t="str">
        <v>AMC Contract</v>
      </c>
      <c r="C24" s="1" t="str">
        <v>Contact Linkage</v>
      </c>
      <c r="D24" s="1" t="str">
        <v>Contact Person filtered by selected Branch</v>
      </c>
      <c r="E24" s="1" t="str">
        <v>link_filters: Customer Contact.branch = doc.branch. Mobile auto-fetched via fetch_from.</v>
      </c>
      <c r="F24" s="1" t="str">
        <v>CON-018, CUST-016, CUST-017</v>
      </c>
    </row>
    <row r="25">
      <c r="A25" s="1" t="str">
        <v>BR-CON-08</v>
      </c>
      <c r="B25" s="1" t="str">
        <v>AMC Contract</v>
      </c>
      <c r="C25" s="1" t="str">
        <v>Equipment</v>
      </c>
      <c r="D25" s="1" t="str">
        <v>Maintenance Schedule stores equipment per visit</v>
      </c>
      <c r="E25" s="1" t="str">
        <v>Child table columns: Equipment, Quantity, Unit, Description. Per-visit specification.</v>
      </c>
      <c r="F25" s="1" t="str">
        <v>CON-014, CON-026</v>
      </c>
    </row>
    <row r="26">
      <c r="A26" s="1" t="str">
        <v>BR-CON-09</v>
      </c>
      <c r="B26" s="1" t="str">
        <v>AMC Contract</v>
      </c>
      <c r="C26" s="1" t="str">
        <v>Status</v>
      </c>
      <c r="D26" s="1" t="str">
        <v>Status: blank / Active / Inactive</v>
      </c>
      <c r="E26" s="1" t="str">
        <v>Select field. Blank by default. Active enables service call dispatch; Inactive suspends it.</v>
      </c>
      <c r="F26" s="1" t="str">
        <v>CON-019, CON-020, CON-021</v>
      </c>
    </row>
    <row r="27">
      <c r="A27" s="1" t="str">
        <v>BR-CON-10</v>
      </c>
      <c r="B27" s="1" t="str">
        <v>AMC Contract</v>
      </c>
      <c r="C27" s="1" t="str">
        <v>Workflow</v>
      </c>
      <c r="D27" s="1" t="str">
        <v>is_submittable: Draft &gt; Submit &gt; Cancel</v>
      </c>
      <c r="E27" s="1" t="str">
        <v>is_submittable:1. Submitted = read-only. Cancelled = immutable. Technician cannot cancel.</v>
      </c>
      <c r="F27" s="1" t="str">
        <v>CON-022, CON-023, CON-025</v>
      </c>
    </row>
    <row r="28">
      <c r="A28" s="1" t="str">
        <v>BR-CON-11</v>
      </c>
      <c r="B28" s="1" t="str">
        <v>AMC Contract</v>
      </c>
      <c r="C28" s="1" t="str">
        <v>Workflow</v>
      </c>
      <c r="D28" s="1" t="str">
        <v>Submitted contract can be Amended</v>
      </c>
      <c r="E28" s="1" t="str">
        <v>amended_from field links to original. Amend creates new draft; original is cancelled on re-submit.</v>
      </c>
      <c r="F28" s="1" t="str">
        <v>CON-024</v>
      </c>
    </row>
    <row r="29">
      <c r="A29" s="1" t="str">
        <v>BR-CON-12</v>
      </c>
      <c r="B29" s="1" t="str">
        <v>AMC Contract</v>
      </c>
      <c r="C29" s="1" t="str">
        <v>Service Calls</v>
      </c>
      <c r="D29" s="1" t="str">
        <v>Service Calls tab shows generated calls</v>
      </c>
      <c r="E29" s="1" t="str">
        <v>service_calls_html renders calls. Count must equal No of Services after processing.</v>
      </c>
      <c r="F29" s="1" t="str">
        <v>CON-027, CON-028, CON-029</v>
      </c>
    </row>
    <row r="30">
      <c r="A30" s="1" t="str">
        <v>BR-CON-13</v>
      </c>
      <c r="B30" s="1" t="str">
        <v>AMC Contract</v>
      </c>
      <c r="C30" s="1" t="str">
        <v>Multi-Contract</v>
      </c>
      <c r="D30" s="1" t="str">
        <v>One customer can have contracts per branch</v>
      </c>
      <c r="E30" s="1" t="str">
        <v>No unique constraint on customer+branch. Multiple active contracts per customer allowed.</v>
      </c>
      <c r="F30" s="1" t="str">
        <v>CON-030</v>
      </c>
    </row>
    <row r="31">
      <c r="A31" s="1" t="str">
        <v>BR-CON-14</v>
      </c>
      <c r="B31" s="1" t="str">
        <v>AMC Contract</v>
      </c>
      <c r="C31" s="1" t="str">
        <v>Permissions</v>
      </c>
      <c r="D31" s="1" t="str">
        <v>Technician: create/write/submit, no cancel/delete</v>
      </c>
      <c r="E31" s="1" t="str">
        <v>Technician permissions: create, write, read, submit, email, export, print, share, select. No cancel or delete.</v>
      </c>
      <c r="F31" s="1" t="str">
        <v>CON-032, CUST-020</v>
      </c>
    </row>
    <row r="32">
      <c r="A32" s="1" t="str">
        <v>▌ Vendor</v>
      </c>
    </row>
    <row r="33">
      <c r="A33" s="1" t="str">
        <v>BR-VEN-01</v>
      </c>
      <c r="B33" s="1" t="str">
        <v>Vendor</v>
      </c>
      <c r="C33" s="1" t="str">
        <v>Creation</v>
      </c>
      <c r="D33" s="1" t="str">
        <v>Vendor Name is mandatory</v>
      </c>
      <c r="E33" s="1" t="str">
        <v>Vendor Name is the primary identifier. Save is blocked without it.</v>
      </c>
      <c r="F33" s="1" t="str">
        <v>VEN-001, VEN-002, VEN-027, VEN-036</v>
      </c>
    </row>
    <row r="34">
      <c r="A34" s="1" t="str">
        <v>BR-VEN-02</v>
      </c>
      <c r="B34" s="1" t="str">
        <v>Vendor</v>
      </c>
      <c r="C34" s="1" t="str">
        <v>Creation</v>
      </c>
      <c r="D34" s="1" t="str">
        <v>Vendor Type: Company or Individual</v>
      </c>
      <c r="E34" s="1" t="str">
        <v>Type field classifies the vendor entity. Defaults to Company if blank.</v>
      </c>
      <c r="F34" s="1" t="str">
        <v>VEN-003, VEN-004, VEN-029, VEN-030</v>
      </c>
    </row>
    <row r="35">
      <c r="A35" s="1" t="str">
        <v>BR-VEN-03</v>
      </c>
      <c r="B35" s="1" t="str">
        <v>Vendor</v>
      </c>
      <c r="C35" s="1" t="str">
        <v>Primary Contact</v>
      </c>
      <c r="D35" s="1" t="str">
        <v>Contact details validated (phone, email)</v>
      </c>
      <c r="E35" s="1" t="str">
        <v>Mobile No and Email must match valid formats.</v>
      </c>
      <c r="F35" s="1" t="str">
        <v>VEN-005 to VEN-009</v>
      </c>
    </row>
    <row r="36">
      <c r="A36" s="1" t="str">
        <v>BR-VEN-04</v>
      </c>
      <c r="B36" s="1" t="str">
        <v>Vendor</v>
      </c>
      <c r="C36" s="1" t="str">
        <v>Tax ID</v>
      </c>
      <c r="D36" s="1" t="str">
        <v>PAN must match valid format or be blank</v>
      </c>
      <c r="E36" s="1" t="str">
        <v>PAN: 10-char alphanumeric. Optional field — blank is allowed.</v>
      </c>
      <c r="F36" s="1" t="str">
        <v>VEN-010, VEN-011, VEN-013</v>
      </c>
    </row>
    <row r="37">
      <c r="A37" s="1" t="str">
        <v>BR-VEN-05</v>
      </c>
      <c r="B37" s="1" t="str">
        <v>Vendor</v>
      </c>
      <c r="C37" s="1" t="str">
        <v>Tax ID</v>
      </c>
      <c r="D37" s="1" t="str">
        <v>PAN is unique across all vendors</v>
      </c>
      <c r="E37" s="1" t="str">
        <v>unique:1 on PAN. Two vendors cannot share the same PAN.</v>
      </c>
      <c r="F37" s="1" t="str">
        <v>VEN-012</v>
      </c>
    </row>
    <row r="38">
      <c r="A38" s="1" t="str">
        <v>BR-VEN-06</v>
      </c>
      <c r="B38" s="1" t="str">
        <v>Vendor</v>
      </c>
      <c r="C38" s="1" t="str">
        <v>Address</v>
      </c>
      <c r="D38" s="1" t="str">
        <v>Registered Address is a free-text field</v>
      </c>
      <c r="E38" s="1" t="str">
        <v>Text area, accepts special characters. Saved as-is.</v>
      </c>
      <c r="F38" s="1" t="str">
        <v>VEN-014, VEN-015, VEN-016</v>
      </c>
    </row>
    <row r="39">
      <c r="A39" s="1" t="str">
        <v>BR-VEN-07</v>
      </c>
      <c r="B39" s="1" t="str">
        <v>Vendor</v>
      </c>
      <c r="C39" s="1" t="str">
        <v>Address Table</v>
      </c>
      <c r="D39" s="1" t="str">
        <v>Address table stores multiple addresses</v>
      </c>
      <c r="E39" s="1" t="str">
        <v>Child table: Name, City, State, Mobile No per row.</v>
      </c>
      <c r="F39" s="1" t="str">
        <v>VEN-017 to VEN-022, VEN-025</v>
      </c>
    </row>
    <row r="40">
      <c r="A40" s="1" t="str">
        <v>BR-VEN-08</v>
      </c>
      <c r="B40" s="1" t="str">
        <v>Vendor</v>
      </c>
      <c r="C40" s="1" t="str">
        <v>Address Table</v>
      </c>
      <c r="D40" s="1" t="str">
        <v>GST No in address row validated</v>
      </c>
      <c r="E40" s="1" t="str">
        <v>GST must be valid 15-char GSTIN format per address row.</v>
      </c>
      <c r="F40" s="1" t="str">
        <v>VEN-023, VEN-024</v>
      </c>
    </row>
    <row r="41">
      <c r="A41" s="1" t="str">
        <v>BR-VEN-09</v>
      </c>
      <c r="B41" s="1" t="str">
        <v>Vendor</v>
      </c>
      <c r="C41" s="1" t="str">
        <v>Address Table</v>
      </c>
      <c r="D41" s="1" t="str">
        <v>Duplicate GST across address rows is blocked</v>
      </c>
      <c r="E41" s="1" t="str">
        <v>Each address row GST must be unique within the vendor.</v>
      </c>
      <c r="F41" s="1" t="str">
        <v>VEN-026</v>
      </c>
    </row>
    <row r="42">
      <c r="A42" s="1" t="str">
        <v>BR-VEN-10</v>
      </c>
      <c r="B42" s="1" t="str">
        <v>Vendor</v>
      </c>
      <c r="C42" s="1" t="str">
        <v>Editing</v>
      </c>
      <c r="D42" s="1" t="str">
        <v>All fields editable after creation</v>
      </c>
      <c r="E42" s="1" t="str">
        <v>Vendor records can be updated at any time.</v>
      </c>
      <c r="F42" s="1" t="str">
        <v>VEN-031 to VEN-035</v>
      </c>
    </row>
    <row r="43">
      <c r="A43" s="1" t="str">
        <v>BR-VEN-11</v>
      </c>
      <c r="B43" s="1" t="str">
        <v>Vendor</v>
      </c>
      <c r="C43" s="1" t="str">
        <v>Form Actions</v>
      </c>
      <c r="D43" s="1" t="str">
        <v>Standard form save/duplicate/delete actions</v>
      </c>
      <c r="E43" s="1" t="str">
        <v>ERPNext standard actions: Save, Duplicate, Delete apply to Vendor.</v>
      </c>
      <c r="F43" s="1" t="str">
        <v>VEN-036 to VEN-040</v>
      </c>
    </row>
    <row r="44">
      <c r="A44" s="1" t="str">
        <v>▌ Attendance</v>
      </c>
    </row>
    <row r="45">
      <c r="A45" s="1" t="str">
        <v>BR-ATT-01</v>
      </c>
      <c r="B45" s="1" t="str">
        <v>Attendance</v>
      </c>
      <c r="C45" s="1" t="str">
        <v>Creation</v>
      </c>
      <c r="D45" s="1" t="str">
        <v>Employee, Status, Date are mandatory</v>
      </c>
      <c r="E45" s="1" t="str">
        <v>reqd:1 on all three. Save is blocked without any of these fields.</v>
      </c>
      <c r="F45" s="1" t="str">
        <v>ATT-001, ATT-002, ATT-041 to ATT-043, ATT-050</v>
      </c>
    </row>
    <row r="46">
      <c r="A46" s="1" t="str">
        <v>BR-ATT-02</v>
      </c>
      <c r="B46" s="1" t="str">
        <v>Attendance</v>
      </c>
      <c r="C46" s="1" t="str">
        <v>Creation</v>
      </c>
      <c r="D46" s="1" t="str">
        <v>Company and Shift are optional fields</v>
      </c>
      <c r="E46" s="1" t="str">
        <v>Company and Shift enhance the record but are not required for save.</v>
      </c>
      <c r="F46" s="1" t="str">
        <v>ATT-002</v>
      </c>
    </row>
    <row r="47">
      <c r="A47" s="1" t="str">
        <v>BR-ATT-03</v>
      </c>
      <c r="B47" s="1" t="str">
        <v>Attendance</v>
      </c>
      <c r="C47" s="1" t="str">
        <v>Status</v>
      </c>
      <c r="D47" s="1" t="str">
        <v>Status: Present/Absent/Leave/Half Day</v>
      </c>
      <c r="E47" s="1" t="str">
        <v>Select field with 4 options. Mandatory. Controls Late/Early flag validity.</v>
      </c>
      <c r="F47" s="1" t="str">
        <v>ATT-003 to ATT-006, ATT-019 to ATT-021, ATT-042</v>
      </c>
    </row>
    <row r="48">
      <c r="A48" s="1" t="str">
        <v>BR-ATT-04</v>
      </c>
      <c r="B48" s="1" t="str">
        <v>Attendance</v>
      </c>
      <c r="C48" s="1" t="str">
        <v>Auto-Naming</v>
      </c>
      <c r="D48" s="1" t="str">
        <v>Series auto-generated: HR-ATT-.YYYY.-</v>
      </c>
      <c r="E48" s="1" t="str">
        <v>Naming series produces unique, year-stamped attendance IDs. Read-only.</v>
      </c>
      <c r="F48" s="1" t="str">
        <v>ATT-007 to ATT-009</v>
      </c>
    </row>
    <row r="49">
      <c r="A49" s="1" t="str">
        <v>BR-ATT-05</v>
      </c>
      <c r="B49" s="1" t="str">
        <v>Attendance</v>
      </c>
      <c r="C49" s="1" t="str">
        <v>Employee</v>
      </c>
      <c r="D49" s="1" t="str">
        <v>Employee must be a valid ERPNext Employee</v>
      </c>
      <c r="E49" s="1" t="str">
        <v>Link field — only existing Employee records accepted. Mandatory.</v>
      </c>
      <c r="F49" s="1" t="str">
        <v>ATT-010 to ATT-012, ATT-041</v>
      </c>
    </row>
    <row r="50">
      <c r="A50" s="1" t="str">
        <v>BR-ATT-06</v>
      </c>
      <c r="B50" s="1" t="str">
        <v>Attendance</v>
      </c>
      <c r="C50" s="1" t="str">
        <v>Duplicate</v>
      </c>
      <c r="D50" s="1" t="str">
        <v>Duplicate Employee+Date combination blocked</v>
      </c>
      <c r="E50" s="1" t="str">
        <v>One attendance record per employee per date. Duplicate insert must fail.</v>
      </c>
      <c r="F50" s="1" t="str">
        <v>ATT-013</v>
      </c>
    </row>
    <row r="51">
      <c r="A51" s="1" t="str">
        <v>BR-ATT-07</v>
      </c>
      <c r="B51" s="1" t="str">
        <v>Attendance</v>
      </c>
      <c r="C51" s="1" t="str">
        <v>Date</v>
      </c>
      <c r="D51" s="1" t="str">
        <v>Attendance Date is mandatory, any date valid</v>
      </c>
      <c r="E51" s="1" t="str">
        <v>Date field: past, present, and future dates all accepted. Blank not allowed.</v>
      </c>
      <c r="F51" s="1" t="str">
        <v>ATT-014 to ATT-018, ATT-043</v>
      </c>
    </row>
    <row r="52">
      <c r="A52" s="1" t="str">
        <v>BR-ATT-08</v>
      </c>
      <c r="B52" s="1" t="str">
        <v>Attendance</v>
      </c>
      <c r="C52" s="1" t="str">
        <v>Company</v>
      </c>
      <c r="D52" s="1" t="str">
        <v>Company auto-populates from employee record</v>
      </c>
      <c r="E52" s="1" t="str">
        <v>Company field fetched from Employee.company. Can be manually overridden.</v>
      </c>
      <c r="F52" s="1" t="str">
        <v>ATT-022 to ATT-024</v>
      </c>
    </row>
    <row r="53">
      <c r="A53" s="1" t="str">
        <v>BR-ATT-09</v>
      </c>
      <c r="B53" s="1" t="str">
        <v>Attendance</v>
      </c>
      <c r="C53" s="1" t="str">
        <v>Shift</v>
      </c>
      <c r="D53" s="1" t="str">
        <v>Shift is optional, auto-populates if assigned</v>
      </c>
      <c r="E53" s="1" t="str">
        <v>Shift Type linked to employee assignment. Optional; blank is allowed.</v>
      </c>
      <c r="F53" s="1" t="str">
        <v>ATT-025 to ATT-028</v>
      </c>
    </row>
    <row r="54">
      <c r="A54" s="1" t="str">
        <v>BR-ATT-10</v>
      </c>
      <c r="B54" s="1" t="str">
        <v>Attendance</v>
      </c>
      <c r="C54" s="1" t="str">
        <v>Late Entry</v>
      </c>
      <c r="D54" s="1" t="str">
        <v>Late Entry valid only with Present status</v>
      </c>
      <c r="E54" s="1" t="str">
        <v>Late Entry checkbox meaningful only when Status = Present. Invalid for Absent.</v>
      </c>
      <c r="F54" s="1" t="str">
        <v>ATT-029 to ATT-033</v>
      </c>
    </row>
    <row r="55">
      <c r="A55" s="1" t="str">
        <v>BR-ATT-11</v>
      </c>
      <c r="B55" s="1" t="str">
        <v>Attendance</v>
      </c>
      <c r="C55" s="1" t="str">
        <v>Early Exit</v>
      </c>
      <c r="D55" s="1" t="str">
        <v>Early Exit valid only with Present status</v>
      </c>
      <c r="E55" s="1" t="str">
        <v>Early Exit checkbox meaningful only when Status = Present. Invalid for Absent.</v>
      </c>
      <c r="F55" s="1" t="str">
        <v>ATT-034 to ATT-038</v>
      </c>
    </row>
    <row r="56">
      <c r="A56" s="1" t="str">
        <v>BR-ATT-12</v>
      </c>
      <c r="B56" s="1" t="str">
        <v>Attendance</v>
      </c>
      <c r="C56" s="1" t="str">
        <v>Combination</v>
      </c>
      <c r="D56" s="1" t="str">
        <v>Late Entry + Early Exit can combine (Present)</v>
      </c>
      <c r="E56" s="1" t="str">
        <v>Both flags can be set simultaneously only when Status = Present.</v>
      </c>
      <c r="F56" s="1" t="str">
        <v>ATT-039, ATT-040</v>
      </c>
    </row>
    <row r="57">
      <c r="A57" s="1" t="str">
        <v>BR-ATT-13</v>
      </c>
      <c r="B57" s="1" t="str">
        <v>Attendance</v>
      </c>
      <c r="C57" s="1" t="str">
        <v>Editing</v>
      </c>
      <c r="D57" s="1" t="str">
        <v>Attendance fields editable in draft state</v>
      </c>
      <c r="E57" s="1" t="str">
        <v>All fields can be updated before submission. Status change allowed.</v>
      </c>
      <c r="F57" s="1" t="str">
        <v>ATT-044 to ATT-049</v>
      </c>
    </row>
    <row r="58">
      <c r="A58" s="1" t="str">
        <v>BR-ATT-14</v>
      </c>
      <c r="B58" s="1" t="str">
        <v>Attendance</v>
      </c>
      <c r="C58" s="1" t="str">
        <v>Form Actions</v>
      </c>
      <c r="D58" s="1" t="str">
        <v>Standard save flow with status indicators</v>
      </c>
      <c r="E58" s="1" t="str">
        <v>ERPNext "Not Saved" / "Saved" status shown in form header.</v>
      </c>
      <c r="F58" s="1" t="str">
        <v>ATT-050 to ATT-052</v>
      </c>
    </row>
    <row r="59">
      <c r="A59" s="1" t="str">
        <v>▌ Expense Claim</v>
      </c>
    </row>
    <row r="60">
      <c r="A60" s="1" t="str">
        <v>BR-EXP-01</v>
      </c>
      <c r="B60" s="1" t="str">
        <v>Expense Claim</v>
      </c>
      <c r="C60" s="1" t="str">
        <v>Creation</v>
      </c>
      <c r="D60" s="1" t="str">
        <v>Employee + Company + Approver are core mandatory fields</v>
      </c>
      <c r="E60" s="1" t="str">
        <v>ERPNext v15: from_employee (reqd), company (reqd). Record saved as Draft. Series HR-EXP-.YYYY.- auto-assigned.</v>
      </c>
      <c r="F60" s="1" t="str">
        <v>EXP-001, EXP-002, EXP-047, EXP-048, EXP-055</v>
      </c>
    </row>
    <row r="61">
      <c r="A61" s="1" t="str">
        <v>BR-EXP-02</v>
      </c>
      <c r="B61" s="1" t="str">
        <v>Expense Claim</v>
      </c>
      <c r="C61" s="1" t="str">
        <v>Creation</v>
      </c>
      <c r="D61" s="1" t="str">
        <v>Department auto-fetches from Employee master</v>
      </c>
      <c r="E61" s="1" t="str">
        <v>department field: fetch_from = employee.department. Read-only after auto-fill; can be overridden.</v>
      </c>
      <c r="F61" s="1" t="str">
        <v>EXP-002, EXP-009</v>
      </c>
    </row>
    <row r="62">
      <c r="A62" s="1" t="str">
        <v>BR-EXP-03</v>
      </c>
      <c r="B62" s="1" t="str">
        <v>Expense Claim</v>
      </c>
      <c r="C62" s="1" t="str">
        <v>Auto-Naming</v>
      </c>
      <c r="D62" s="1" t="str">
        <v>Series: HR-EXP-.YYYY.- (year-based, read-only)</v>
      </c>
      <c r="E62" s="1" t="str">
        <v>naming_series default HR-EXP-.YYYY.-. Unique per record, auto-incremented. Cannot be manually edited.</v>
      </c>
      <c r="F62" s="1" t="str">
        <v>EXP-003, EXP-004, EXP-005</v>
      </c>
    </row>
    <row r="63">
      <c r="A63" s="1" t="str">
        <v>BR-EXP-04</v>
      </c>
      <c r="B63" s="1" t="str">
        <v>Expense Claim</v>
      </c>
      <c r="C63" s="1" t="str">
        <v>Employee</v>
      </c>
      <c r="D63" s="1" t="str">
        <v>from_employee: Link → Employee, mandatory</v>
      </c>
      <c r="E63" s="1" t="str">
        <v>reqd:1. Only active ERPNext v15 Employees accepted. Department and cost_center auto-fetched on select.</v>
      </c>
      <c r="F63" s="1" t="str">
        <v>EXP-006, EXP-007, EXP-008, EXP-009, EXP-047</v>
      </c>
    </row>
    <row r="64">
      <c r="A64" s="1" t="str">
        <v>BR-EXP-05</v>
      </c>
      <c r="B64" s="1" t="str">
        <v>Expense Claim</v>
      </c>
      <c r="C64" s="1" t="str">
        <v>Company</v>
      </c>
      <c r="D64" s="1" t="str">
        <v>company: mandatory; GSTIN auto-fetched, read-only</v>
      </c>
      <c r="E64" s="1" t="str">
        <v>reqd:1. company_gstin fetch_from company.gstin. GSTIN field set as read_only:1 in v15.</v>
      </c>
      <c r="F64" s="1" t="str">
        <v>EXP-010, EXP-011, EXP-012, EXP-013, EXP-048</v>
      </c>
    </row>
    <row r="65">
      <c r="A65" s="1" t="str">
        <v>BR-EXP-06</v>
      </c>
      <c r="B65" s="1" t="str">
        <v>Expense Claim</v>
      </c>
      <c r="C65" s="1" t="str">
        <v>Approver</v>
      </c>
      <c r="D65" s="1" t="str">
        <v>expense_approver: mandatory; must be valid HR user</v>
      </c>
      <c r="E65" s="1" t="str">
        <v>reqd:1. Link → User. Only users with Expense Approver role. Cannot approve own claim.</v>
      </c>
      <c r="F65" s="1" t="str">
        <v>EXP-014, EXP-015, EXP-016, EXP-049</v>
      </c>
    </row>
    <row r="66">
      <c r="A66" s="1" t="str">
        <v>BR-EXP-07</v>
      </c>
      <c r="B66" s="1" t="str">
        <v>Expense Claim</v>
      </c>
      <c r="C66" s="1" t="str">
        <v>Approval Status</v>
      </c>
      <c r="D66" s="1" t="str">
        <v>approval_status: Draft → Approved / Rejected / Returned</v>
      </c>
      <c r="E66" s="1" t="str">
        <v>Select field: Draft (default), Approved, Rejected, Returned. Only approver can change from Draft. Editing blocked once Approved.</v>
      </c>
      <c r="F66" s="1" t="str">
        <v>EXP-017, EXP-018, EXP-019, EXP-020, EXP-054</v>
      </c>
    </row>
    <row r="67">
      <c r="A67" s="1" t="str">
        <v>BR-EXP-08</v>
      </c>
      <c r="B67" s="1" t="str">
        <v>Expense Claim</v>
      </c>
      <c r="C67" s="1" t="str">
        <v>Expenses Table</v>
      </c>
      <c r="D67" s="1" t="str">
        <v>expenses child table: expense_date, expense_type, amount are reqd</v>
      </c>
      <c r="E67" s="1" t="str">
        <v>Child table fieldname: expenses. reqd: expense_date, expense_claim_type, amount. amount must be &gt; 0. description optional.</v>
      </c>
      <c r="F67" s="1" t="str">
        <v>EXP-021 to EXP-030, EXP-033, EXP-050</v>
      </c>
    </row>
    <row r="68">
      <c r="A68" s="1" t="str">
        <v>BR-EXP-09</v>
      </c>
      <c r="B68" s="1" t="str">
        <v>Expense Claim</v>
      </c>
      <c r="C68" s="1" t="str">
        <v>Expense Type</v>
      </c>
      <c r="D68" s="1" t="str">
        <v>expense_claim_type: Link → Expense Claim Type master</v>
      </c>
      <c r="E68" s="1" t="str">
        <v>Must exist in Expense Claim Type DocType. Controls default account and optional per-type limit.</v>
      </c>
      <c r="F68" s="1" t="str">
        <v>EXP-025, EXP-026</v>
      </c>
    </row>
    <row r="69">
      <c r="A69" s="1" t="str">
        <v>BR-EXP-10</v>
      </c>
      <c r="B69" s="1" t="str">
        <v>Expense Claim</v>
      </c>
      <c r="C69" s="1" t="str">
        <v>Sanctioned Amount</v>
      </c>
      <c r="D69" s="1" t="str">
        <v>sanctioned_amount per row ≤ amount; auto-equals amount by default</v>
      </c>
      <c r="E69" s="1" t="str">
        <v>sanctioned_amount defaults to amount value. Validation blocks sanctioned &gt; claimed at row level.</v>
      </c>
      <c r="F69" s="1" t="str">
        <v>EXP-031, EXP-032</v>
      </c>
    </row>
    <row r="70">
      <c r="A70" s="1" t="str">
        <v>BR-EXP-11</v>
      </c>
      <c r="B70" s="1" t="str">
        <v>Expense Claim</v>
      </c>
      <c r="C70" s="1" t="str">
        <v>Totals</v>
      </c>
      <c r="D70" s="1" t="str">
        <v>total_claimed_amount and grand_total auto-calculated</v>
      </c>
      <c r="E70" s="1" t="str">
        <v>total_claimed_amount = SUM(expenses.amount). grand_total = total_sanctioned + taxes. Both read-only calculated fields.</v>
      </c>
      <c r="F70" s="1" t="str">
        <v>EXP-033, EXP-040</v>
      </c>
    </row>
    <row r="71">
      <c r="A71" s="1" t="str">
        <v>BR-EXP-12</v>
      </c>
      <c r="B71" s="1" t="str">
        <v>Expense Claim</v>
      </c>
      <c r="C71" s="1" t="str">
        <v>Taxes &amp; Charges</v>
      </c>
      <c r="D71" s="1" t="str">
        <v>taxes child table: account_head and tax_amount required per row</v>
      </c>
      <c r="E71" s="1" t="str">
        <v>Child table fieldname: taxes. account_head (Link → Account) reqd. tax_amount reqd. Rows optional — no tax rows is valid.</v>
      </c>
      <c r="F71" s="1" t="str">
        <v>EXP-034 to EXP-040</v>
      </c>
    </row>
    <row r="72">
      <c r="A72" s="1" t="str">
        <v>BR-EXP-13</v>
      </c>
      <c r="B72" s="1" t="str">
        <v>Expense Claim</v>
      </c>
      <c r="C72" s="1" t="str">
        <v>Accounting</v>
      </c>
      <c r="D72" s="1" t="str">
        <v>payable_account auto-set; cost_center, project, mode_of_payment optional</v>
      </c>
      <c r="E72" s="1" t="str">
        <v>payable_account fetched from Company default payable account. Can be overridden. cost_center and project for GL tagging.</v>
      </c>
      <c r="F72" s="1" t="str">
        <v>EXP-041, EXP-042, EXP-043, EXP-044, EXP-045</v>
      </c>
    </row>
    <row r="73">
      <c r="A73" s="1" t="str">
        <v>BR-EXP-14</v>
      </c>
      <c r="B73" s="1" t="str">
        <v>Expense Claim</v>
      </c>
      <c r="C73" s="1" t="str">
        <v>Advances</v>
      </c>
      <c r="D73" s="1" t="str">
        <v>total_advance_amount reflects linked Employee Advances</v>
      </c>
      <c r="E73" s="1" t="str">
        <v>Employee Advance table on the form. total_advance_amount = SUM of linked advances. Reduces outstanding payable.</v>
      </c>
      <c r="F73" s="1" t="str">
        <v>EXP-046</v>
      </c>
    </row>
    <row r="74">
      <c r="A74" s="1" t="str">
        <v>BR-EXP-15</v>
      </c>
      <c r="B74" s="1" t="str">
        <v>Expense Claim</v>
      </c>
      <c r="C74" s="1" t="str">
        <v>Editing</v>
      </c>
      <c r="D74" s="1" t="str">
        <v>All fields editable in Draft; locked after Approval Status = Approved</v>
      </c>
      <c r="E74" s="1" t="str">
        <v>ERPNext v15: approval_status controls editability. Draft = fully editable. Approved = read-only.</v>
      </c>
      <c r="F74" s="1" t="str">
        <v>EXP-051, EXP-052, EXP-053, EXP-054</v>
      </c>
    </row>
    <row r="75">
      <c r="A75" s="1" t="str">
        <v>BR-EXP-16</v>
      </c>
      <c r="B75" s="1" t="str">
        <v>Expense Claim</v>
      </c>
      <c r="C75" s="1" t="str">
        <v>Form Actions</v>
      </c>
      <c r="D75" s="1" t="str">
        <v>Submit/Cancel/Duplicate per ERPNext v15 workflow</v>
      </c>
      <c r="E75" s="1" t="str">
        <v>is_submittable:1. Submit creates JE when Approved. Cancel reverses JE. Duplicate creates new Draft copy.</v>
      </c>
      <c r="F75" s="1" t="str">
        <v>EXP-055, EXP-056, EXP-057, EXP-058, EXP-059, EXP-060</v>
      </c>
    </row>
    <row r="76">
      <c r="A76" s="1" t="str">
        <v>▌ Leave Application</v>
      </c>
    </row>
    <row r="77">
      <c r="A77" s="1" t="str">
        <v>BR-LEA-01</v>
      </c>
      <c r="B77" s="1" t="str">
        <v>Leave Application</v>
      </c>
      <c r="C77" s="1" t="str">
        <v>Creation</v>
      </c>
      <c r="D77" s="1" t="str">
        <v>Employee + Leave Type + Dates are core mandatory fields</v>
      </c>
      <c r="E77" s="1" t="str">
        <v>ERPNext v15: employee (reqd), leave_type (reqd), from_date (reqd), to_date (reqd). Defaults status = Open.</v>
      </c>
      <c r="F77" s="1" t="str">
        <v>LEA-001, LEA-002, LEA-049 to LEA-053, LEA-059</v>
      </c>
    </row>
    <row r="78">
      <c r="A78" s="1" t="str">
        <v>BR-LEA-02</v>
      </c>
      <c r="B78" s="1" t="str">
        <v>Leave Application</v>
      </c>
      <c r="C78" s="1" t="str">
        <v>Creation</v>
      </c>
      <c r="D78" s="1" t="str">
        <v>Optional header fields: Company, Leave Approver, Reason</v>
      </c>
      <c r="E78" s="1" t="str">
        <v>company auto-populates. leave_approver mandatory in v15. description (reason) is optional.</v>
      </c>
      <c r="F78" s="1" t="str">
        <v>LEA-002</v>
      </c>
    </row>
    <row r="79">
      <c r="A79" s="1" t="str">
        <v>BR-LEA-03</v>
      </c>
      <c r="B79" s="1" t="str">
        <v>Leave Application</v>
      </c>
      <c r="C79" s="1" t="str">
        <v>Auto-Naming</v>
      </c>
      <c r="D79" s="1" t="str">
        <v>Series: HR-LAP-.YYYY.- (year-based, read-only)</v>
      </c>
      <c r="E79" s="1" t="str">
        <v>naming_series default HR-LAP-.YYYY.-. Unique per record, auto-incremented. Cannot be manually edited.</v>
      </c>
      <c r="F79" s="1" t="str">
        <v>LEA-003, LEA-004, LEA-005</v>
      </c>
    </row>
    <row r="80">
      <c r="A80" s="1" t="str">
        <v>BR-LEA-04</v>
      </c>
      <c r="B80" s="1" t="str">
        <v>Leave Application</v>
      </c>
      <c r="C80" s="1" t="str">
        <v>Employee</v>
      </c>
      <c r="D80" s="1" t="str">
        <v>employee: Link → Employee, mandatory</v>
      </c>
      <c r="E80" s="1" t="str">
        <v>reqd:1. Only active Employees. Company and department auto-fetched on selection.</v>
      </c>
      <c r="F80" s="1" t="str">
        <v>LEA-006, LEA-007, LEA-008, LEA-049</v>
      </c>
    </row>
    <row r="81">
      <c r="A81" s="1" t="str">
        <v>BR-LEA-05</v>
      </c>
      <c r="B81" s="1" t="str">
        <v>Leave Application</v>
      </c>
      <c r="C81" s="1" t="str">
        <v>Leave Type</v>
      </c>
      <c r="D81" s="1" t="str">
        <v>leave_type: Link → Leave Type, mandatory</v>
      </c>
      <c r="E81" s="1" t="str">
        <v>reqd:1. Must exist in Leave Type master. Controls balance pool, LWP, allow_negative settings.</v>
      </c>
      <c r="F81" s="1" t="str">
        <v>LEA-009, LEA-010, LEA-011, LEA-050</v>
      </c>
    </row>
    <row r="82">
      <c r="A82" s="1" t="str">
        <v>BR-LEA-06</v>
      </c>
      <c r="B82" s="1" t="str">
        <v>Leave Application</v>
      </c>
      <c r="C82" s="1" t="str">
        <v>Leave Balance</v>
      </c>
      <c r="D82" s="1" t="str">
        <v>Leave balance checked on save; deducted on Approve; restored on Cancel</v>
      </c>
      <c r="E82" s="1" t="str">
        <v>total_leave_days checked against available allocation. balance_leaves displayed. Insufficient balance blocks submit (unless allow_negative_balance).</v>
      </c>
      <c r="F82" s="1" t="str">
        <v>LEA-012, LEA-039 to LEA-043</v>
      </c>
    </row>
    <row r="83">
      <c r="A83" s="1" t="str">
        <v>BR-LEA-07</v>
      </c>
      <c r="B83" s="1" t="str">
        <v>Leave Application</v>
      </c>
      <c r="C83" s="1" t="str">
        <v>Company</v>
      </c>
      <c r="D83" s="1" t="str">
        <v>company: mandatory; auto-fetched from Employee master</v>
      </c>
      <c r="E83" s="1" t="str">
        <v>reqd:1. fetch_from = employee.company. Determines holiday list for day calculation.</v>
      </c>
      <c r="F83" s="1" t="str">
        <v>LEA-013, LEA-014, LEA-015</v>
      </c>
    </row>
    <row r="84">
      <c r="A84" s="1" t="str">
        <v>BR-LEA-08</v>
      </c>
      <c r="B84" s="1" t="str">
        <v>Leave Application</v>
      </c>
      <c r="C84" s="1" t="str">
        <v>Date Range</v>
      </c>
      <c r="D84" s="1" t="str">
        <v>from_date and to_date: mandatory; from_date ≤ to_date</v>
      </c>
      <c r="E84" s="1" t="str">
        <v>reqd:1 on both. Validation: from_date cannot be after to_date. Past dates controlled by Leave Type settings in v15.</v>
      </c>
      <c r="F84" s="1" t="str">
        <v>LEA-016 to LEA-021, LEA-051 to LEA-053</v>
      </c>
    </row>
    <row r="85">
      <c r="A85" s="1" t="str">
        <v>BR-LEA-09</v>
      </c>
      <c r="B85" s="1" t="str">
        <v>Leave Application</v>
      </c>
      <c r="C85" s="1" t="str">
        <v>Duration</v>
      </c>
      <c r="D85" s="1" t="str">
        <v>total_leave_days auto-calculated; excludes holidays and weekly offs</v>
      </c>
      <c r="E85" s="1" t="str">
        <v>total_leave_days = working days between from_date and to_date per Holiday List. Half Day = 0.5.</v>
      </c>
      <c r="F85" s="1" t="str">
        <v>LEA-022, LEA-028</v>
      </c>
    </row>
    <row r="86">
      <c r="A86" s="1" t="str">
        <v>BR-LEA-10</v>
      </c>
      <c r="B86" s="1" t="str">
        <v>Leave Application</v>
      </c>
      <c r="C86" s="1" t="str">
        <v>Half Day</v>
      </c>
      <c r="D86" s="1" t="str">
        <v>half_day: Check field; valid only when from_date = to_date</v>
      </c>
      <c r="E86" s="1" t="str">
        <v>half_day = 1 sets total_leave_days = 0.5. ERPNext v15 blocks half_day when from_date ≠ to_date. Also requires half_day_date.</v>
      </c>
      <c r="F86" s="1" t="str">
        <v>LEA-023, LEA-024, LEA-025, LEA-026, LEA-027</v>
      </c>
    </row>
    <row r="87">
      <c r="A87" s="1" t="str">
        <v>BR-LEA-11</v>
      </c>
      <c r="B87" s="1" t="str">
        <v>Leave Application</v>
      </c>
      <c r="C87" s="1" t="str">
        <v>Reason</v>
      </c>
      <c r="D87" s="1" t="str">
        <v>description (Reason): optional free-text field</v>
      </c>
      <c r="E87" s="1" t="str">
        <v>No format restriction. Accepts any text including special characters. Not required for save or submit.</v>
      </c>
      <c r="F87" s="1" t="str">
        <v>LEA-029, LEA-030, LEA-031</v>
      </c>
    </row>
    <row r="88">
      <c r="A88" s="1" t="str">
        <v>BR-LEA-12</v>
      </c>
      <c r="B88" s="1" t="str">
        <v>Leave Application</v>
      </c>
      <c r="C88" s="1" t="str">
        <v>Leave Approver</v>
      </c>
      <c r="D88" s="1" t="str">
        <v>leave_approver: mandatory; must hold approval authority</v>
      </c>
      <c r="E88" s="1" t="str">
        <v>reqd:1 in v15. Link → User. Approver must be assigned in Employee master or Leave Approver list. Cannot self-approve.</v>
      </c>
      <c r="F88" s="1" t="str">
        <v>LEA-032, LEA-033, LEA-034, LEA-035, LEA-048</v>
      </c>
    </row>
    <row r="89">
      <c r="A89" s="1" t="str">
        <v>BR-LEA-13</v>
      </c>
      <c r="B89" s="1" t="str">
        <v>Leave Application</v>
      </c>
      <c r="C89" s="1" t="str">
        <v>Posting Date</v>
      </c>
      <c r="D89" s="1" t="str">
        <v>posting_date: auto-set to today; read-only in v15</v>
      </c>
      <c r="E89" s="1" t="str">
        <v>Defaults to current date on form open. Set as read_only:1 in ERPNext v15 — cannot be manually changed.</v>
      </c>
      <c r="F89" s="1" t="str">
        <v>LEA-036, LEA-037, LEA-038</v>
      </c>
    </row>
    <row r="90">
      <c r="A90" s="1" t="str">
        <v>BR-LEA-14</v>
      </c>
      <c r="B90" s="1" t="str">
        <v>Leave Application</v>
      </c>
      <c r="C90" s="1" t="str">
        <v>Status &amp; Workflow</v>
      </c>
      <c r="D90" s="1" t="str">
        <v>status: Open → Approved / Rejected / Cancelled</v>
      </c>
      <c r="E90" s="1" t="str">
        <v>Select: Open (default), Approved, Rejected, Cancelled. is_submittable:1. Approved status locks all fields.</v>
      </c>
      <c r="F90" s="1" t="str">
        <v>LEA-044, LEA-045, LEA-046, LEA-047, LEA-048, LEA-058</v>
      </c>
    </row>
    <row r="91">
      <c r="A91" s="1" t="str">
        <v>BR-LEA-15</v>
      </c>
      <c r="B91" s="1" t="str">
        <v>Leave Application</v>
      </c>
      <c r="C91" s="1" t="str">
        <v>Editing</v>
      </c>
      <c r="D91" s="1" t="str">
        <v>All fields editable in Open/Draft; locked after Approved</v>
      </c>
      <c r="E91" s="1" t="str">
        <v>Open = fully editable. Approved = read-only. total_leave_days recalculates when dates or half_day changes.</v>
      </c>
      <c r="F91" s="1" t="str">
        <v>LEA-054, LEA-055, LEA-056, LEA-057, LEA-058</v>
      </c>
    </row>
    <row r="92">
      <c r="A92" s="1" t="str">
        <v>BR-LEA-16</v>
      </c>
      <c r="B92" s="1" t="str">
        <v>Leave Application</v>
      </c>
      <c r="C92" s="1" t="str">
        <v>Form Actions</v>
      </c>
      <c r="D92" s="1" t="str">
        <v>Submit/Cancel/Duplicate/Delete per ERPNext v15</v>
      </c>
      <c r="E92" s="1" t="str">
        <v>Submit changes status per workflow. Cancel restores balance and attendance. Delete only on Open draft. Duplicate creates new copy.</v>
      </c>
      <c r="F92" s="1" t="str">
        <v>LEA-059, LEA-060, LEA-061, LEA-062, LEA-063, LEA-064, LEA-065</v>
      </c>
    </row>
    <row r="93">
      <c r="A93" s="1" t="str">
        <v>▌ Service Call</v>
      </c>
    </row>
    <row r="94">
      <c r="A94" s="1" t="str">
        <v>BR-SC-01</v>
      </c>
      <c r="B94" s="1" t="str">
        <v>Service Call</v>
      </c>
      <c r="C94" s="1" t="str">
        <v>Creation</v>
      </c>
      <c r="D94" s="1" t="str">
        <v>Customer and Service Type are mandatory</v>
      </c>
      <c r="E94" s="1" t="str">
        <v>customer (Link → AMC Customers, reqd:1) and service_type are the minimum required fields. Save blocked without them.</v>
      </c>
      <c r="F94" s="1" t="str">
        <v>SC-001, SC-002, SC-039</v>
      </c>
    </row>
    <row r="95">
      <c r="A95" s="1" t="str">
        <v>BR-SC-02</v>
      </c>
      <c r="B95" s="1" t="str">
        <v>Service Call</v>
      </c>
      <c r="C95" s="1" t="str">
        <v>Creation</v>
      </c>
      <c r="D95" s="1" t="str">
        <v>Title, Description, Priority are optional header fields</v>
      </c>
      <c r="E95" s="1" t="str">
        <v>title (Data), description (Text Area), and priority (Select) enhance the record but are not required for save.</v>
      </c>
      <c r="F95" s="1" t="str">
        <v>SC-002</v>
      </c>
    </row>
    <row r="96">
      <c r="A96" s="1" t="str">
        <v>BR-SC-03</v>
      </c>
      <c r="B96" s="1" t="str">
        <v>Service Call</v>
      </c>
      <c r="C96" s="1" t="str">
        <v>Customer Validation</v>
      </c>
      <c r="D96" s="1" t="str">
        <v>Customer must be a valid AMC Customer; branch auto-populates</v>
      </c>
      <c r="E96" s="1" t="str">
        <v>Link field to AMC Customers DocType. Invalid entries rejected. Branch Locations child table populates based on selected customer.</v>
      </c>
      <c r="F96" s="1" t="str">
        <v>SC-004, SC-005, SC-006, SC-007</v>
      </c>
    </row>
    <row r="97">
      <c r="A97" s="1" t="str">
        <v>BR-SC-04</v>
      </c>
      <c r="B97" s="1" t="str">
        <v>Service Call</v>
      </c>
      <c r="C97" s="1" t="str">
        <v>Location</v>
      </c>
      <c r="D97" s="1" t="str">
        <v>Branch filtered by customer; Contact Person filtered by branch</v>
      </c>
      <c r="E97" s="1" t="str">
        <v>branch link_filters: Customer Branch.customer = doc.customer. contact_person further filtered by selected branch.</v>
      </c>
      <c r="F97" s="1" t="str">
        <v>SC-008, SC-009</v>
      </c>
    </row>
    <row r="98">
      <c r="A98" s="1" t="str">
        <v>BR-SC-05</v>
      </c>
      <c r="B98" s="1" t="str">
        <v>Service Call</v>
      </c>
      <c r="C98" s="1" t="str">
        <v>Technician</v>
      </c>
      <c r="D98" s="1" t="str">
        <v>Technician assignment is optional but must be unique per Service Call</v>
      </c>
      <c r="E98" s="1" t="str">
        <v>technician (Link → Employee with Technician role). Optional at creation. Duplicate assignment (same tech on same SC) blocked.</v>
      </c>
      <c r="F98" s="1" t="str">
        <v>SC-010, SC-011, SC-012, SC-013, SC-044</v>
      </c>
    </row>
    <row r="99">
      <c r="A99" s="1" t="str">
        <v>BR-SC-06</v>
      </c>
      <c r="B99" s="1" t="str">
        <v>Service Call</v>
      </c>
      <c r="C99" s="1" t="str">
        <v>Priority</v>
      </c>
      <c r="D99" s="1" t="str">
        <v>Priority: High / Medium / Low (Select field)</v>
      </c>
      <c r="E99" s="1" t="str">
        <v>priority Select field with options: High, Medium, Low. Controls SLA tracking and escalation rules.</v>
      </c>
      <c r="F99" s="1" t="str">
        <v>SC-014, SC-015</v>
      </c>
    </row>
    <row r="100">
      <c r="A100" s="1" t="str">
        <v>BR-SC-07</v>
      </c>
      <c r="B100" s="1" t="str">
        <v>Service Call</v>
      </c>
      <c r="C100" s="1" t="str">
        <v>Status Workflow</v>
      </c>
      <c r="D100" s="1" t="str">
        <v>Status: Draft → Assigned → In Progress → Completed; invalid transitions blocked</v>
      </c>
      <c r="E100" s="1" t="str">
        <v>Workflow states: Draft, Assigned, In Progress, Completed, Cancelled. Transitions validated — skipping states rejected. Completed/Cancelled restrict edits.</v>
      </c>
      <c r="F100" s="1" t="str">
        <v>SC-016, SC-017, SC-018, SC-047</v>
      </c>
    </row>
    <row r="101">
      <c r="A101" s="1" t="str">
        <v>BR-SC-08</v>
      </c>
      <c r="B101" s="1" t="str">
        <v>Service Call</v>
      </c>
      <c r="C101" s="1" t="str">
        <v>Service Items</v>
      </c>
      <c r="D101" s="1" t="str">
        <v>service_items child table: Item, Qty required per row; stock checked</v>
      </c>
      <c r="E101" s="1" t="str">
        <v>Child table with item (Link → Item), qty (mandatory, &gt; 0), rate, amount. Out-of-stock item flags warning. Row operations: add, edit, delete.</v>
      </c>
      <c r="F101" s="1" t="str">
        <v>SC-003, SC-023, SC-024, SC-025, SC-026, SC-027</v>
      </c>
    </row>
    <row r="102">
      <c r="A102" s="1" t="str">
        <v>BR-SC-09</v>
      </c>
      <c r="B102" s="1" t="str">
        <v>Service Call</v>
      </c>
      <c r="C102" s="1" t="str">
        <v>Service Date &amp; Time</v>
      </c>
      <c r="D102" s="1" t="str">
        <v>service_date is mandatory; past dates rejected; start/end time tracked</v>
      </c>
      <c r="E102" s="1" t="str">
        <v>service_date (reqd:1). Past dates blocked by validation. service_start_time and service_end_time recorded for duration calculation.</v>
      </c>
      <c r="F102" s="1" t="str">
        <v>SC-019, SC-020, SC-021, SC-022</v>
      </c>
    </row>
    <row r="103">
      <c r="A103" s="1" t="str">
        <v>BR-SC-10</v>
      </c>
      <c r="B103" s="1" t="str">
        <v>Service Call</v>
      </c>
      <c r="C103" s="1" t="str">
        <v>Billing</v>
      </c>
      <c r="D103" s="1" t="str">
        <v>total_cost auto-calculated; discount and charges adjust total; billable flag controls invoicing</v>
      </c>
      <c r="E103" s="1" t="str">
        <v>total_cost = SUM(service_items.amount) + additional_charges - discount. is_billable checkbox determines if SC can generate a Sales Invoice.</v>
      </c>
      <c r="F103" s="1" t="str">
        <v>SC-028, SC-029, SC-030, SC-031</v>
      </c>
    </row>
    <row r="104">
      <c r="A104" s="1" t="str">
        <v>BR-SC-11</v>
      </c>
      <c r="B104" s="1" t="str">
        <v>Service Call</v>
      </c>
      <c r="C104" s="1" t="str">
        <v>SLA &amp; Warranty</v>
      </c>
      <c r="D104" s="1" t="str">
        <v>Warranty status and SLA response time tracked per Service Call</v>
      </c>
      <c r="E104" s="1" t="str">
        <v>under_warranty (Check) flag set based on Customer warranty records. sla_response_time tracked from creation timestamp. Overdue SLA flagged.</v>
      </c>
      <c r="F104" s="1" t="str">
        <v>SC-032, SC-033, SC-034</v>
      </c>
    </row>
    <row r="105">
      <c r="A105" s="1" t="str">
        <v>BR-SC-12</v>
      </c>
      <c r="B105" s="1" t="str">
        <v>Service Call</v>
      </c>
      <c r="C105" s="1" t="str">
        <v>Documentation</v>
      </c>
      <c r="D105" s="1" t="str">
        <v>Attachments, internal notes, and customer remarks supported</v>
      </c>
      <c r="E105" s="1" t="str">
        <v>Standard Frappe file attachments per record. internal_notes (Text, not visible to customer). customer_remarks (Text, customer-visible).</v>
      </c>
      <c r="F105" s="1" t="str">
        <v>SC-035, SC-036, SC-037, SC-038</v>
      </c>
    </row>
    <row r="106">
      <c r="A106" s="1" t="str">
        <v>BR-SC-13</v>
      </c>
      <c r="B106" s="1" t="str">
        <v>Service Call</v>
      </c>
      <c r="C106" s="1" t="str">
        <v>Data Validation</v>
      </c>
      <c r="D106" s="1" t="str">
        <v>Email and phone formats validated on contact fields</v>
      </c>
      <c r="E106" s="1" t="str">
        <v>contact email field: format validation (must contain @). contact_phone: numeric format with length check. Both reject invalid formats.</v>
      </c>
      <c r="F106" s="1" t="str">
        <v>SC-040, SC-041</v>
      </c>
    </row>
    <row r="107">
      <c r="A107" s="1" t="str">
        <v>BR-SC-14</v>
      </c>
      <c r="B107" s="1" t="str">
        <v>Service Call</v>
      </c>
      <c r="C107" s="1" t="str">
        <v>Editing</v>
      </c>
      <c r="D107" s="1" t="str">
        <v>Editable in Draft/Assigned; restricted after In Progress or Completed</v>
      </c>
      <c r="E107" s="1" t="str">
        <v>Draft and Assigned status allow full edits. In Progress restricts key fields. Completed/Cancelled makes record fully read-only.</v>
      </c>
      <c r="F107" s="1" t="str">
        <v>SC-042, SC-043</v>
      </c>
    </row>
    <row r="108">
      <c r="A108" s="1" t="str">
        <v>BR-SC-15</v>
      </c>
      <c r="B108" s="1" t="str">
        <v>Service Call</v>
      </c>
      <c r="C108" s="1" t="str">
        <v>Bulk Operations</v>
      </c>
      <c r="D108" s="1" t="str">
        <v>Duplicate creates new Draft copy; Delete permitted on Draft status only</v>
      </c>
      <c r="E108" s="1" t="str">
        <v>Duplicate: creates new SC in Draft with same header and items. Delete: only permitted when status = Draft. Submitted/Completed records require Cancel first.</v>
      </c>
      <c r="F108" s="1" t="str">
        <v>SC-045, SC-046</v>
      </c>
    </row>
    <row r="109">
      <c r="A109" s="1" t="str">
        <v>BR-SC-16</v>
      </c>
      <c r="B109" s="1" t="str">
        <v>Service Call</v>
      </c>
      <c r="C109" s="1" t="str">
        <v>Permissions</v>
      </c>
      <c r="D109" s="1" t="str">
        <v>Role-based access: Technician (own), Customer (own), Manager (all)</v>
      </c>
      <c r="E109" s="1" t="str">
        <v>Technician role: list view filtered to assigned SCs only. Customer portal: own SCs only. Service Manager: full access including approve/reject.</v>
      </c>
      <c r="F109" s="1" t="str">
        <v>SC-048, SC-049, SC-050</v>
      </c>
    </row>
  </sheetData>
  <mergeCells count="9">
    <mergeCell ref="A1:F1"/>
    <mergeCell ref="A2:F2"/>
    <mergeCell ref="A5:F5"/>
    <mergeCell ref="A17:F17"/>
    <mergeCell ref="A32:F32"/>
    <mergeCell ref="A44:F44"/>
    <mergeCell ref="A59:F59"/>
    <mergeCell ref="A76:F76"/>
    <mergeCell ref="A93:F93"/>
  </mergeCells>
  <pageMargins left="0.75" right="0.75" top="1" bottom="1" header="0.511811023622047" footer="0.511811023622047"/>
  <ignoredErrors>
    <ignoredError numberStoredAsText="1" sqref="A1:F10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H11"/>
  <sheetViews>
    <sheetView workbookViewId="0" rightToLeft="0"/>
  </sheetViews>
  <sheetData>
    <row r="1">
      <c r="A1" s="1" t="str">
        <v>Row</v>
      </c>
      <c r="B1" s="1" t="str">
        <v>Customer Name</v>
      </c>
      <c r="C1" s="1" t="str">
        <v>Outcome</v>
      </c>
      <c r="D1" s="1" t="str">
        <v>Reason</v>
      </c>
      <c r="E1" s="1" t="str">
        <v>Action Needed</v>
      </c>
      <c r="F1" s="1" t="str">
        <v>Pre-flight Issues</v>
      </c>
      <c r="G1" s="1" t="str">
        <v>Error Field</v>
      </c>
      <c r="H1" s="1" t="str">
        <v>Raw Error</v>
      </c>
    </row>
    <row r="2">
      <c r="A2" s="1">
        <v>1</v>
      </c>
      <c r="B2" s="1" t="str">
        <v>Saffron Air Systems Pvt Ltd</v>
      </c>
      <c r="C2" s="1" t="str">
        <v>REJECTED</v>
      </c>
      <c r="D2" s="1" t="str">
        <v>PAN must be unique</v>
      </c>
      <c r="E2" s="1" t="str">
        <v>Review the highlighted field and correct the value</v>
      </c>
      <c r="F2" s="1" t="str">
        <v/>
      </c>
      <c r="G2" s="1" t="str">
        <v/>
      </c>
      <c r="H2" s="1" t="str">
        <v>PAN must be unique</v>
      </c>
    </row>
    <row r="3">
      <c r="A3" s="1">
        <v>2</v>
      </c>
      <c r="B3" s="1" t="str">
        <v>Bluepeak Cooling Solutions</v>
      </c>
      <c r="C3" s="1" t="str">
        <v>REJECTED</v>
      </c>
      <c r="D3" s="1" t="str">
        <v>Invalid GSTIN! The check digit validation has failed. Please ensure you've typed the GSTIN correctly.Error fetching GSTIN details: Invalid GSTIN! The check digit validation has failed. Please ensure y</v>
      </c>
      <c r="E3" s="1" t="str">
        <v>Review the highlighted field and correct the value</v>
      </c>
      <c r="F3" s="1" t="str">
        <v/>
      </c>
      <c r="G3" s="1" t="str">
        <v/>
      </c>
      <c r="H3" s="1" t="str">
        <v>Invalid GSTIN! The check digit validation has failed. Please ensure you've typed the GSTIN correctly.Error fetching GSTIN details: Invalid GSTIN! The check digit validation has failed. Please ensure you've typed the GSTIN correctly.</v>
      </c>
    </row>
    <row r="4">
      <c r="A4" s="1">
        <v>3</v>
      </c>
      <c r="B4" s="1" t="str">
        <v>Nikhil Verma</v>
      </c>
      <c r="C4" s="1" t="str">
        <v>REJECTED</v>
      </c>
      <c r="D4" s="1" t="str">
        <v>PAN must be unique</v>
      </c>
      <c r="E4" s="1" t="str">
        <v>Review the highlighted field and correct the value</v>
      </c>
      <c r="F4" s="1" t="str">
        <v/>
      </c>
      <c r="G4" s="1" t="str">
        <v/>
      </c>
      <c r="H4" s="1" t="str">
        <v>PAN must be unique</v>
      </c>
    </row>
    <row r="5">
      <c r="A5" s="1">
        <v>4</v>
      </c>
      <c r="B5" s="1" t="str">
        <v>Trishul Maintenance Partners</v>
      </c>
      <c r="C5" s="1" t="str">
        <v>REJECTED</v>
      </c>
      <c r="D5" s="1" t="str">
        <v>PAN must be unique</v>
      </c>
      <c r="E5" s="1" t="str">
        <v>Review the highlighted field and correct the value</v>
      </c>
      <c r="F5" s="1" t="str">
        <v/>
      </c>
      <c r="G5" s="1" t="str">
        <v/>
      </c>
      <c r="H5" s="1" t="str">
        <v>PAN must be unique</v>
      </c>
    </row>
    <row r="6">
      <c r="A6" s="1">
        <v>5</v>
      </c>
      <c r="B6" s="1" t="str">
        <v>Orbit Climate Works</v>
      </c>
      <c r="C6" s="1" t="str">
        <v>REJECTED</v>
      </c>
      <c r="D6" s="1" t="str">
        <v>GSTIN must be a valid 15-character GSTIN format (27ABC2DE1234F1Z5) or leave the field empty</v>
      </c>
      <c r="E6" s="1" t="str">
        <v>Review the highlighted field and correct the value</v>
      </c>
      <c r="F6" s="1" t="str">
        <v>GST format is invalid (expected: 2-digit state + PAN + 1 digit + Z + checksum)</v>
      </c>
      <c r="G6" s="1" t="str">
        <v/>
      </c>
      <c r="H6" s="1" t="str">
        <v>GSTIN must be a valid 15-character GSTIN format (27ABC2DE1234F1Z5) or leave the field empty</v>
      </c>
    </row>
    <row r="7">
      <c r="A7" s="1">
        <v>6</v>
      </c>
      <c r="B7" s="1" t="str">
        <v>Mangal Service Network</v>
      </c>
      <c r="C7" s="1" t="str">
        <v>REJECTED</v>
      </c>
      <c r="D7" s="1" t="str">
        <v>GSTIN must be a valid 15-character GSTIN format (27ABC2DE1234F1Z5) or leave the field empty</v>
      </c>
      <c r="E7" s="1" t="str">
        <v>Review the highlighted field and correct the value</v>
      </c>
      <c r="F7" s="1" t="str">
        <v>GST must be exactly 15 characters (got 12); GST format is invalid (expected: 2-digit state + PAN + 1 digit + Z + checksum); PAN format is invalid (expected: 5 letters + 4 digits + 1 letter)</v>
      </c>
      <c r="G7" s="1" t="str">
        <v/>
      </c>
      <c r="H7" s="1" t="str">
        <v>GSTIN must be a valid 15-character GSTIN format (27ABC2DE1234F1Z5) or leave the field empty</v>
      </c>
    </row>
    <row r="8">
      <c r="A8" s="1">
        <v>7</v>
      </c>
      <c r="B8" s="1" t="str">
        <v>(empty)</v>
      </c>
      <c r="C8" s="1" t="str">
        <v>SKIPPED</v>
      </c>
      <c r="D8" s="1" t="str">
        <v>Customer Name is required</v>
      </c>
      <c r="E8" s="1" t="str">
        <v>Add the customer name</v>
      </c>
      <c r="F8" s="1" t="str">
        <v>Customer Name is required</v>
      </c>
      <c r="G8" s="1" t="str">
        <v>customer_name</v>
      </c>
      <c r="H8" s="1" t="str">
        <v>Customer Name is required</v>
      </c>
    </row>
    <row r="9">
      <c r="A9" s="1">
        <v>8</v>
      </c>
      <c r="B9" s="1" t="str">
        <v>Northern Chill Projects</v>
      </c>
      <c r="C9" s="1" t="str">
        <v>REJECTED</v>
      </c>
      <c r="D9" s="1" t="str">
        <v>PAN must be unique</v>
      </c>
      <c r="E9" s="1" t="str">
        <v>Review the highlighted field and correct the value</v>
      </c>
      <c r="F9" s="1" t="str">
        <v/>
      </c>
      <c r="G9" s="1" t="str">
        <v/>
      </c>
      <c r="H9" s="1" t="str">
        <v>PAN must be unique</v>
      </c>
    </row>
    <row r="10">
      <c r="A10" s="1">
        <v>9</v>
      </c>
      <c r="B10" s="1" t="str">
        <v>Vertex Facility Services</v>
      </c>
      <c r="C10" s="1" t="str">
        <v>REJECTED</v>
      </c>
      <c r="D10" s="1" t="str">
        <v>PAN must be unique</v>
      </c>
      <c r="E10" s="1" t="str">
        <v>Review the highlighted field and correct the value</v>
      </c>
      <c r="F10" s="1" t="str">
        <v>Customer Type must be Company, Individual, or Partnership (got: LLC)</v>
      </c>
      <c r="G10" s="1" t="str">
        <v/>
      </c>
      <c r="H10" s="1" t="str">
        <v>PAN must be unique</v>
      </c>
    </row>
    <row r="11">
      <c r="A11" s="1">
        <v>10</v>
      </c>
      <c r="B11" s="1" t="str">
        <v>Delta AMC Care</v>
      </c>
      <c r="C11" s="1" t="str">
        <v>REJECTED</v>
      </c>
      <c r="D11" s="1" t="str">
        <v>PAN must be unique</v>
      </c>
      <c r="E11" s="1" t="str">
        <v>Review the highlighted field and correct the value</v>
      </c>
      <c r="F11" s="1" t="str">
        <v>Contact Mobile must be exactly 10 digits</v>
      </c>
      <c r="G11" s="1" t="str">
        <v/>
      </c>
      <c r="H11" s="1" t="str">
        <v>PAN must be unique</v>
      </c>
    </row>
  </sheetData>
  <ignoredErrors>
    <ignoredError numberStoredAsText="1" sqref="A1:H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Case Register</vt:lpstr>
      <vt:lpstr>Run Tracker</vt:lpstr>
      <vt:lpstr>Run Summary</vt:lpstr>
      <vt:lpstr>Priority Analysis</vt:lpstr>
      <vt:lpstr>Business Rules</vt:lpstr>
      <vt:lpstr>Data-Driven Results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2026-02-27T09:18:37Z</dcterms:created>
  <dcterms:modified xsi:type="dcterms:W3CDTF">2026-02-27T09:18:40Z</dcterms:modified>
  <cp:revision>0</cp:revision>
  <dc:creator>openpyxl</dc:creator>
  <dc:language>en-US</dc:language>
</cp:coreProperties>
</file>