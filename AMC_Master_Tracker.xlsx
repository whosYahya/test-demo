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 Register" sheetId="1" state="visible" r:id="rId3"/>
    <sheet name="Run Tracker" sheetId="2" state="visible" r:id="rId4"/>
    <sheet name="Run Summary" sheetId="3" state="visible" r:id="rId5"/>
    <sheet name="Priority Analysis" sheetId="4" state="visible" r:id="rId6"/>
    <sheet name="Business Ru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<sst xmlns="http://schemas.openxmlformats.org/spreadsheetml/2006/main" count="8527" uniqueCount="1176">
  <si>
    <t xml:space="preserve">AMC Core — Master Business Scenarios Test Case Register</t>
  </si>
  <si>
    <t xml:space="preserve">DocTypes: AMC Customers | AMC Contract | Vendor | Attendance | Expense Claim | Leave Application | Service Call  |  Total: 320 test cases  |  27 Feb 2026</t>
  </si>
  <si>
    <t xml:space="preserve">Test ID</t>
  </si>
  <si>
    <t xml:space="preserve">DocType</t>
  </si>
  <si>
    <t xml:space="preserve">Module</t>
  </si>
  <si>
    <t xml:space="preserve">Test Case Title</t>
  </si>
  <si>
    <t xml:space="preserve">Priority</t>
  </si>
  <si>
    <t xml:space="preserve">Business Rule</t>
  </si>
  <si>
    <t xml:space="preserve">Status</t>
  </si>
  <si>
    <t xml:space="preserve">Executed By</t>
  </si>
  <si>
    <t xml:space="preserve">Execution Date</t>
  </si>
  <si>
    <t xml:space="preserve">Actual Result</t>
  </si>
  <si>
    <t xml:space="preserve">Defect ID</t>
  </si>
  <si>
    <t xml:space="preserve">Notes</t>
  </si>
  <si>
    <t xml:space="preserve">▌ AMC Customers</t>
  </si>
  <si>
    <t xml:space="preserve">CUST-001</t>
  </si>
  <si>
    <t xml:space="preserve">AMC Customers</t>
  </si>
  <si>
    <t xml:space="preserve">Customer Creation &amp; Basic Details</t>
  </si>
  <si>
    <t xml:space="preserve">Create customer with Customer Name only (minimum required)</t>
  </si>
  <si>
    <t xml:space="preserve">Critical</t>
  </si>
  <si>
    <t xml:space="preserve">BR-CUST-01</t>
  </si>
  <si>
    <t xml:space="preserve">Not Run</t>
  </si>
  <si>
    <t xml:space="preserve">CUST-002</t>
  </si>
  <si>
    <t xml:space="preserve">Create Company customer with all basic fields (Name, Type, GST, PAN)</t>
  </si>
  <si>
    <t xml:space="preserve">BR-CUST-01, BR-CUST-02</t>
  </si>
  <si>
    <t xml:space="preserve">CUST-003</t>
  </si>
  <si>
    <t xml:space="preserve">Create Individual customer type</t>
  </si>
  <si>
    <t xml:space="preserve">High</t>
  </si>
  <si>
    <t xml:space="preserve">BR-CUST-02</t>
  </si>
  <si>
    <t xml:space="preserve">CUST-004</t>
  </si>
  <si>
    <t xml:space="preserve">Create Partnership customer type</t>
  </si>
  <si>
    <t xml:space="preserve">CUST-005</t>
  </si>
  <si>
    <t xml:space="preserve">GST Validation</t>
  </si>
  <si>
    <t xml:space="preserve">Valid 15-character GSTIN is accepted</t>
  </si>
  <si>
    <t xml:space="preserve">BR-CUST-03</t>
  </si>
  <si>
    <t xml:space="preserve">CUST-006</t>
  </si>
  <si>
    <t xml:space="preserve">Invalid GST format is rejected with specific error message</t>
  </si>
  <si>
    <t xml:space="preserve">CUST-007</t>
  </si>
  <si>
    <t xml:space="preserve">Duplicate GSTIN across two customers is blocked</t>
  </si>
  <si>
    <t xml:space="preserve">BR-CUST-04</t>
  </si>
  <si>
    <t xml:space="preserve">CUST-008</t>
  </si>
  <si>
    <t xml:space="preserve">GST field can be left blank (optional for Individual)</t>
  </si>
  <si>
    <t xml:space="preserve">CUST-009</t>
  </si>
  <si>
    <t xml:space="preserve">Duplicate PAN across two customers is blocked</t>
  </si>
  <si>
    <t xml:space="preserve">BR-CUST-05</t>
  </si>
  <si>
    <t xml:space="preserve">CUST-010</t>
  </si>
  <si>
    <t xml:space="preserve">Branch Locations</t>
  </si>
  <si>
    <t xml:space="preserve">Add single branch location to customer</t>
  </si>
  <si>
    <t xml:space="preserve">BR-CUST-06</t>
  </si>
  <si>
    <t xml:space="preserve">CUST-011</t>
  </si>
  <si>
    <t xml:space="preserve">Add multiple branch locations to same customer</t>
  </si>
  <si>
    <t xml:space="preserve">CUST-012</t>
  </si>
  <si>
    <t xml:space="preserve">Delete a branch location row</t>
  </si>
  <si>
    <t xml:space="preserve">Medium</t>
  </si>
  <si>
    <t xml:space="preserve">CUST-013</t>
  </si>
  <si>
    <t xml:space="preserve">Branch on AMC Contract is filtered by selected customer</t>
  </si>
  <si>
    <t xml:space="preserve">BR-CUST-06, BR-CON-06</t>
  </si>
  <si>
    <t xml:space="preserve">CUST-014</t>
  </si>
  <si>
    <t xml:space="preserve">Contact Details</t>
  </si>
  <si>
    <t xml:space="preserve">Add primary contact to customer</t>
  </si>
  <si>
    <t xml:space="preserve">BR-CUST-07</t>
  </si>
  <si>
    <t xml:space="preserve">CUST-015</t>
  </si>
  <si>
    <t xml:space="preserve">Only one contact marked as Is Primary per customer</t>
  </si>
  <si>
    <t xml:space="preserve">BR-CUST-08</t>
  </si>
  <si>
    <t xml:space="preserve">CUST-016</t>
  </si>
  <si>
    <t xml:space="preserve">Contact Person on AMC Contract filtered by selected Branch</t>
  </si>
  <si>
    <t xml:space="preserve">BR-CUST-07, BR-CON-07</t>
  </si>
  <si>
    <t xml:space="preserve">CUST-017</t>
  </si>
  <si>
    <t xml:space="preserve">Mobile auto-fetched when Contact Person selected on Contract</t>
  </si>
  <si>
    <t xml:space="preserve">BR-CON-07</t>
  </si>
  <si>
    <t xml:space="preserve">CUST-018</t>
  </si>
  <si>
    <t xml:space="preserve">Connections Tab</t>
  </si>
  <si>
    <t xml:space="preserve">Connections tab shows linked AMC Contracts for customer</t>
  </si>
  <si>
    <t xml:space="preserve">BR-CUST-09</t>
  </si>
  <si>
    <t xml:space="preserve">CUST-019</t>
  </si>
  <si>
    <t xml:space="preserve">Connections tab shows linked Service Calls for customer</t>
  </si>
  <si>
    <t xml:space="preserve">CUST-020</t>
  </si>
  <si>
    <t xml:space="preserve">Permissions</t>
  </si>
  <si>
    <t xml:space="preserve">Technician role can only READ AMC Customers</t>
  </si>
  <si>
    <t xml:space="preserve">BR-CUST-11</t>
  </si>
  <si>
    <t xml:space="preserve">CUST-021</t>
  </si>
  <si>
    <t xml:space="preserve">Data Integrity</t>
  </si>
  <si>
    <t xml:space="preserve">Deleting customer with active contracts is blocked</t>
  </si>
  <si>
    <t xml:space="preserve">BR-CUST-10</t>
  </si>
  <si>
    <t xml:space="preserve">▌ AMC Contract</t>
  </si>
  <si>
    <t xml:space="preserve">CON-001</t>
  </si>
  <si>
    <t xml:space="preserve">AMC Contract</t>
  </si>
  <si>
    <t xml:space="preserve">Contract Creation</t>
  </si>
  <si>
    <t xml:space="preserve">Create AMC Contract with all mandatory fields</t>
  </si>
  <si>
    <t xml:space="preserve">BR-CON-01</t>
  </si>
  <si>
    <t xml:space="preserve">CON-002</t>
  </si>
  <si>
    <t xml:space="preserve">Start Date is mandatory — save fails without it</t>
  </si>
  <si>
    <t xml:space="preserve">CON-003</t>
  </si>
  <si>
    <t xml:space="preserve">End Date is mandatory — save fails without it</t>
  </si>
  <si>
    <t xml:space="preserve">CON-004</t>
  </si>
  <si>
    <t xml:space="preserve">No of Services is mandatory — save fails without it</t>
  </si>
  <si>
    <t xml:space="preserve">CON-005</t>
  </si>
  <si>
    <t xml:space="preserve">Auto-naming follows AMC-.YY.MM.-.#### series</t>
  </si>
  <si>
    <t xml:space="preserve">BR-CON-02</t>
  </si>
  <si>
    <t xml:space="preserve">CON-006</t>
  </si>
  <si>
    <t xml:space="preserve">Contract Date Logic</t>
  </si>
  <si>
    <t xml:space="preserve">End Date before Start Date is rejected</t>
  </si>
  <si>
    <t xml:space="preserve">BR-CON-03</t>
  </si>
  <si>
    <t xml:space="preserve">CON-007</t>
  </si>
  <si>
    <t xml:space="preserve">Same Start and End Date is valid (single-day contract)</t>
  </si>
  <si>
    <t xml:space="preserve">CON-008</t>
  </si>
  <si>
    <t xml:space="preserve">Multi-year contract is valid (e.g., 2 years)</t>
  </si>
  <si>
    <t xml:space="preserve">CON-009</t>
  </si>
  <si>
    <t xml:space="preserve">Service Count &amp; Schedule</t>
  </si>
  <si>
    <t xml:space="preserve">4 services Jan-Dec creates exactly 4 Maintenance Schedule rows</t>
  </si>
  <si>
    <t xml:space="preserve">BR-CON-04</t>
  </si>
  <si>
    <t xml:space="preserve">CON-010</t>
  </si>
  <si>
    <t xml:space="preserve">12 services creates 12 monthly Maintenance Schedule rows</t>
  </si>
  <si>
    <t xml:space="preserve">CON-011</t>
  </si>
  <si>
    <t xml:space="preserve">1 service creates exactly 1 Maintenance Schedule row</t>
  </si>
  <si>
    <t xml:space="preserve">CON-012</t>
  </si>
  <si>
    <t xml:space="preserve">All schedule dates fall within contract Start-End range</t>
  </si>
  <si>
    <t xml:space="preserve">BR-CON-05</t>
  </si>
  <si>
    <t xml:space="preserve">CON-013</t>
  </si>
  <si>
    <t xml:space="preserve">Changing No of Services from 4 to 6 regenerates 6 rows</t>
  </si>
  <si>
    <t xml:space="preserve">CON-014</t>
  </si>
  <si>
    <t xml:space="preserve">Maintenance Schedule Equipment column filled per row</t>
  </si>
  <si>
    <t xml:space="preserve">BR-CON-08</t>
  </si>
  <si>
    <t xml:space="preserve">CON-015</t>
  </si>
  <si>
    <t xml:space="preserve">Customer &amp; Branch Linkage</t>
  </si>
  <si>
    <t xml:space="preserve">Contract cannot reference non-existent AMC Customer</t>
  </si>
  <si>
    <t xml:space="preserve">BR-CON-06</t>
  </si>
  <si>
    <t xml:space="preserve">CON-016</t>
  </si>
  <si>
    <t xml:space="preserve">Branch dropdown is empty until Customer is selected</t>
  </si>
  <si>
    <t xml:space="preserve">CON-017</t>
  </si>
  <si>
    <t xml:space="preserve">Changing Customer clears Branch and Contact Person</t>
  </si>
  <si>
    <t xml:space="preserve">CON-018</t>
  </si>
  <si>
    <t xml:space="preserve">Contact Person dropdown filtered by selected Branch</t>
  </si>
  <si>
    <t xml:space="preserve">CON-019</t>
  </si>
  <si>
    <t xml:space="preserve">Contract Status</t>
  </si>
  <si>
    <t xml:space="preserve">Status field accepts Active value</t>
  </si>
  <si>
    <t xml:space="preserve">BR-CON-09</t>
  </si>
  <si>
    <t xml:space="preserve">CON-020</t>
  </si>
  <si>
    <t xml:space="preserve">Status field accepts Inactive value</t>
  </si>
  <si>
    <t xml:space="preserve">CON-021</t>
  </si>
  <si>
    <t xml:space="preserve">Status is blank by default on new contract</t>
  </si>
  <si>
    <t xml:space="preserve">CON-022</t>
  </si>
  <si>
    <t xml:space="preserve">Submit &amp; Amend Workflow</t>
  </si>
  <si>
    <t xml:space="preserve">Draft contract can be submitted</t>
  </si>
  <si>
    <t xml:space="preserve">BR-CON-10</t>
  </si>
  <si>
    <t xml:space="preserve">CON-023</t>
  </si>
  <si>
    <t xml:space="preserve">Submitted contract fields are read-only</t>
  </si>
  <si>
    <t xml:space="preserve">CON-024</t>
  </si>
  <si>
    <t xml:space="preserve">Submitted contract can be amended to create new draft</t>
  </si>
  <si>
    <t xml:space="preserve">BR-CON-11</t>
  </si>
  <si>
    <t xml:space="preserve">CON-025</t>
  </si>
  <si>
    <t xml:space="preserve">Submitted contract can be cancelled</t>
  </si>
  <si>
    <t xml:space="preserve">CON-026</t>
  </si>
  <si>
    <t xml:space="preserve">Company Branch</t>
  </si>
  <si>
    <t xml:space="preserve">Company Branch saved independently of Customer Branch</t>
  </si>
  <si>
    <t xml:space="preserve">CON-027</t>
  </si>
  <si>
    <t xml:space="preserve">Service Calls Tab</t>
  </si>
  <si>
    <t xml:space="preserve">Service Calls tab shows generated calls after submission</t>
  </si>
  <si>
    <t xml:space="preserve">BR-CON-12</t>
  </si>
  <si>
    <t xml:space="preserve">CON-028</t>
  </si>
  <si>
    <t xml:space="preserve">Service Calls tab is empty for unsaved draft contract</t>
  </si>
  <si>
    <t xml:space="preserve">CON-029</t>
  </si>
  <si>
    <t xml:space="preserve">Service Call count equals No of Services on contract</t>
  </si>
  <si>
    <t xml:space="preserve">BR-CON-04, BR-CON-12</t>
  </si>
  <si>
    <t xml:space="preserve">CON-030</t>
  </si>
  <si>
    <t xml:space="preserve">Cross-DocType Integration</t>
  </si>
  <si>
    <t xml:space="preserve">One customer can have contracts for multiple branches</t>
  </si>
  <si>
    <t xml:space="preserve">BR-CON-13</t>
  </si>
  <si>
    <t xml:space="preserve">CON-031</t>
  </si>
  <si>
    <t xml:space="preserve">CON-032</t>
  </si>
  <si>
    <t xml:space="preserve">Technician cannot cancel or delete AMC Contract</t>
  </si>
  <si>
    <t xml:space="preserve">BR-CON-14</t>
  </si>
  <si>
    <t xml:space="preserve">▌ Vendor</t>
  </si>
  <si>
    <t xml:space="preserve">VEN-001</t>
  </si>
  <si>
    <t xml:space="preserve">Vendor</t>
  </si>
  <si>
    <t xml:space="preserve">Vendor Creation &amp; Basic Details</t>
  </si>
  <si>
    <t xml:space="preserve">Create Vendor with Vendor Name only (mandatory field)</t>
  </si>
  <si>
    <t xml:space="preserve">BR-VEN-01</t>
  </si>
  <si>
    <t xml:space="preserve">VEN-002</t>
  </si>
  <si>
    <t xml:space="preserve">Create Vendor with all basic fields (Name, Type, PAN)</t>
  </si>
  <si>
    <t xml:space="preserve">BR-VEN-01, BR-VEN-02</t>
  </si>
  <si>
    <t xml:space="preserve">VEN-003</t>
  </si>
  <si>
    <t xml:space="preserve">Create Vendor with Type as Company</t>
  </si>
  <si>
    <t xml:space="preserve">BR-VEN-02</t>
  </si>
  <si>
    <t xml:space="preserve">VEN-004</t>
  </si>
  <si>
    <t xml:space="preserve">Create Vendor with Type as Individual</t>
  </si>
  <si>
    <t xml:space="preserve">VEN-005</t>
  </si>
  <si>
    <t xml:space="preserve">Primary Contact Details</t>
  </si>
  <si>
    <t xml:space="preserve">Add Primary Contact Person</t>
  </si>
  <si>
    <t xml:space="preserve">BR-VEN-03</t>
  </si>
  <si>
    <t xml:space="preserve">VEN-006</t>
  </si>
  <si>
    <t xml:space="preserve">Valid phone number format in Mobile No field</t>
  </si>
  <si>
    <t xml:space="preserve">VEN-007</t>
  </si>
  <si>
    <t xml:space="preserve">Invalid phone number format is rejected</t>
  </si>
  <si>
    <t xml:space="preserve">VEN-008</t>
  </si>
  <si>
    <t xml:space="preserve">Valid email format is accepted</t>
  </si>
  <si>
    <t xml:space="preserve">VEN-009</t>
  </si>
  <si>
    <t xml:space="preserve">Invalid email format is rejected with error message</t>
  </si>
  <si>
    <t xml:space="preserve">VEN-010</t>
  </si>
  <si>
    <t xml:space="preserve">Tax Identification</t>
  </si>
  <si>
    <t xml:space="preserve">Valid PAN number format is accepted</t>
  </si>
  <si>
    <t xml:space="preserve">BR-VEN-04</t>
  </si>
  <si>
    <t xml:space="preserve">VEN-011</t>
  </si>
  <si>
    <t xml:space="preserve">Invalid PAN format is rejected</t>
  </si>
  <si>
    <t xml:space="preserve">VEN-012</t>
  </si>
  <si>
    <t xml:space="preserve">Duplicate PAN across two vendors is blocked</t>
  </si>
  <si>
    <t xml:space="preserve">BR-VEN-05</t>
  </si>
  <si>
    <t xml:space="preserve">VEN-013</t>
  </si>
  <si>
    <t xml:space="preserve">PAN field can be left blank (optional)</t>
  </si>
  <si>
    <t xml:space="preserve">VEN-014</t>
  </si>
  <si>
    <t xml:space="preserve">Registered Address</t>
  </si>
  <si>
    <t xml:space="preserve">Add Registered Address to Vendor</t>
  </si>
  <si>
    <t xml:space="preserve">BR-VEN-06</t>
  </si>
  <si>
    <t xml:space="preserve">VEN-015</t>
  </si>
  <si>
    <t xml:space="preserve">Registered Address text is saved correctly</t>
  </si>
  <si>
    <t xml:space="preserve">VEN-016</t>
  </si>
  <si>
    <t xml:space="preserve">Registered Address with special characters is accepted</t>
  </si>
  <si>
    <t xml:space="preserve">VEN-017</t>
  </si>
  <si>
    <t xml:space="preserve">Address Table</t>
  </si>
  <si>
    <t xml:space="preserve">Add single address row to Vendor</t>
  </si>
  <si>
    <t xml:space="preserve">BR-VEN-07</t>
  </si>
  <si>
    <t xml:space="preserve">VEN-018</t>
  </si>
  <si>
    <t xml:space="preserve">Add multiple address rows to same Vendor</t>
  </si>
  <si>
    <t xml:space="preserve">VEN-019</t>
  </si>
  <si>
    <t xml:space="preserve">Delete address row from table</t>
  </si>
  <si>
    <t xml:space="preserve">VEN-020</t>
  </si>
  <si>
    <t xml:space="preserve">Address row Name field is populated correctly</t>
  </si>
  <si>
    <t xml:space="preserve">VEN-021</t>
  </si>
  <si>
    <t xml:space="preserve">Address row City field is populated correctly</t>
  </si>
  <si>
    <t xml:space="preserve">VEN-022</t>
  </si>
  <si>
    <t xml:space="preserve">Address row State field is populated correctly</t>
  </si>
  <si>
    <t xml:space="preserve">VEN-023</t>
  </si>
  <si>
    <t xml:space="preserve">Address row GST No is validated and accepted</t>
  </si>
  <si>
    <t xml:space="preserve">BR-VEN-08</t>
  </si>
  <si>
    <t xml:space="preserve">VEN-024</t>
  </si>
  <si>
    <t xml:space="preserve">Invalid GST No in address row is rejected</t>
  </si>
  <si>
    <t xml:space="preserve">VEN-025</t>
  </si>
  <si>
    <t xml:space="preserve">Address row Mobile No field validation</t>
  </si>
  <si>
    <t xml:space="preserve">VEN-026</t>
  </si>
  <si>
    <t xml:space="preserve">Duplicate GST No across address rows is blocked</t>
  </si>
  <si>
    <t xml:space="preserve">BR-VEN-09</t>
  </si>
  <si>
    <t xml:space="preserve">VEN-027</t>
  </si>
  <si>
    <t xml:space="preserve">Data Validation</t>
  </si>
  <si>
    <t xml:space="preserve">Vendor cannot be saved without Vendor Name</t>
  </si>
  <si>
    <t xml:space="preserve">VEN-028</t>
  </si>
  <si>
    <t xml:space="preserve">Vendor Name with special characters is accepted</t>
  </si>
  <si>
    <t xml:space="preserve">VEN-029</t>
  </si>
  <si>
    <t xml:space="preserve">Type field dropdown shows all available options</t>
  </si>
  <si>
    <t xml:space="preserve">VEN-030</t>
  </si>
  <si>
    <t xml:space="preserve">Empty Type field defaults to Company</t>
  </si>
  <si>
    <t xml:space="preserve">VEN-031</t>
  </si>
  <si>
    <t xml:space="preserve">Editing &amp; Updates</t>
  </si>
  <si>
    <t xml:space="preserve">Edit existing Vendor Name</t>
  </si>
  <si>
    <t xml:space="preserve">BR-VEN-10</t>
  </si>
  <si>
    <t xml:space="preserve">VEN-032</t>
  </si>
  <si>
    <t xml:space="preserve">Edit Primary Contact Person details</t>
  </si>
  <si>
    <t xml:space="preserve">VEN-033</t>
  </si>
  <si>
    <t xml:space="preserve">Edit PAN number</t>
  </si>
  <si>
    <t xml:space="preserve">VEN-034</t>
  </si>
  <si>
    <t xml:space="preserve">Edit Registered Address</t>
  </si>
  <si>
    <t xml:space="preserve">VEN-035</t>
  </si>
  <si>
    <t xml:space="preserve">Edit address table rows</t>
  </si>
  <si>
    <t xml:space="preserve">VEN-036</t>
  </si>
  <si>
    <t xml:space="preserve">Form Actions</t>
  </si>
  <si>
    <t xml:space="preserve">Save Vendor successfully</t>
  </si>
  <si>
    <t xml:space="preserve">VEN-037</t>
  </si>
  <si>
    <t xml:space="preserve">Form shows "Not Saved" status before save</t>
  </si>
  <si>
    <t xml:space="preserve">BR-VEN-11</t>
  </si>
  <si>
    <t xml:space="preserve">VEN-038</t>
  </si>
  <si>
    <t xml:space="preserve">Form shows "Saved" status after successful save</t>
  </si>
  <si>
    <t xml:space="preserve">VEN-039</t>
  </si>
  <si>
    <t xml:space="preserve">Duplicate existing Vendor</t>
  </si>
  <si>
    <t xml:space="preserve">VEN-040</t>
  </si>
  <si>
    <t xml:space="preserve">Delete Vendor (if permitted)</t>
  </si>
  <si>
    <t xml:space="preserve">▌ Attendance</t>
  </si>
  <si>
    <t xml:space="preserve">ATT-001</t>
  </si>
  <si>
    <t xml:space="preserve">Attendance</t>
  </si>
  <si>
    <t xml:space="preserve">Attendance Creation &amp; Basic Details</t>
  </si>
  <si>
    <t xml:space="preserve">Create Attendance with mandatory fields only (Employee, Status, Attendance Date)</t>
  </si>
  <si>
    <t xml:space="preserve">BR-ATT-01</t>
  </si>
  <si>
    <t xml:space="preserve">ATT-002</t>
  </si>
  <si>
    <t xml:space="preserve">Create Attendance with all basic fields (Employee, Status, Date, Company, Shift)</t>
  </si>
  <si>
    <t xml:space="preserve">BR-ATT-01, BR-ATT-02</t>
  </si>
  <si>
    <t xml:space="preserve">ATT-003</t>
  </si>
  <si>
    <t xml:space="preserve">Create Attendance with Status as Present</t>
  </si>
  <si>
    <t xml:space="preserve">BR-ATT-03</t>
  </si>
  <si>
    <t xml:space="preserve">ATT-004</t>
  </si>
  <si>
    <t xml:space="preserve">Create Attendance with Status as Absent</t>
  </si>
  <si>
    <t xml:space="preserve">ATT-005</t>
  </si>
  <si>
    <t xml:space="preserve">Create Attendance with Status as Leave</t>
  </si>
  <si>
    <t xml:space="preserve">ATT-006</t>
  </si>
  <si>
    <t xml:space="preserve">Create Attendance with Status as Half Day</t>
  </si>
  <si>
    <t xml:space="preserve">ATT-007</t>
  </si>
  <si>
    <t xml:space="preserve">Series &amp; Auto-generation</t>
  </si>
  <si>
    <t xml:space="preserve">Series field is auto-generated in format HR-ATT-.YYYY.-</t>
  </si>
  <si>
    <t xml:space="preserve">BR-ATT-04</t>
  </si>
  <si>
    <t xml:space="preserve">ATT-008</t>
  </si>
  <si>
    <t xml:space="preserve">Series field cannot be manually edited</t>
  </si>
  <si>
    <t xml:space="preserve">ATT-009</t>
  </si>
  <si>
    <t xml:space="preserve">Unique Series is generated for each attendance record</t>
  </si>
  <si>
    <t xml:space="preserve">ATT-010</t>
  </si>
  <si>
    <t xml:space="preserve">Employee Selection</t>
  </si>
  <si>
    <t xml:space="preserve">Valid employee can be selected from dropdown</t>
  </si>
  <si>
    <t xml:space="preserve">BR-ATT-05</t>
  </si>
  <si>
    <t xml:space="preserve">ATT-011</t>
  </si>
  <si>
    <t xml:space="preserve">Invalid/non-existent employee is rejected</t>
  </si>
  <si>
    <t xml:space="preserve">ATT-012</t>
  </si>
  <si>
    <t xml:space="preserve">Employee field is mandatory and cannot be left blank</t>
  </si>
  <si>
    <t xml:space="preserve">ATT-013</t>
  </si>
  <si>
    <t xml:space="preserve">Duplicate attendance for same employee on same date is blocked</t>
  </si>
  <si>
    <t xml:space="preserve">BR-ATT-06</t>
  </si>
  <si>
    <t xml:space="preserve">ATT-014</t>
  </si>
  <si>
    <t xml:space="preserve">Attendance Date</t>
  </si>
  <si>
    <t xml:space="preserve">Valid attendance date is accepted</t>
  </si>
  <si>
    <t xml:space="preserve">BR-ATT-07</t>
  </si>
  <si>
    <t xml:space="preserve">ATT-015</t>
  </si>
  <si>
    <t xml:space="preserve">Attendance Date cannot be left blank (mandatory)</t>
  </si>
  <si>
    <t xml:space="preserve">ATT-016</t>
  </si>
  <si>
    <t xml:space="preserve">Future attendance date is accepted</t>
  </si>
  <si>
    <t xml:space="preserve">ATT-017</t>
  </si>
  <si>
    <t xml:space="preserve">Past attendance date is accepted</t>
  </si>
  <si>
    <t xml:space="preserve">ATT-018</t>
  </si>
  <si>
    <t xml:space="preserve">Invalid date format is rejected</t>
  </si>
  <si>
    <t xml:space="preserve">ATT-019</t>
  </si>
  <si>
    <t xml:space="preserve">Status Management</t>
  </si>
  <si>
    <t xml:space="preserve">Status dropdown shows all available options (Present, Absent, Leave, Half Day)</t>
  </si>
  <si>
    <t xml:space="preserve">ATT-020</t>
  </si>
  <si>
    <t xml:space="preserve">Status cannot be left blank (mandatory)</t>
  </si>
  <si>
    <t xml:space="preserve">ATT-021</t>
  </si>
  <si>
    <t xml:space="preserve">Status can be changed after creation</t>
  </si>
  <si>
    <t xml:space="preserve">ATT-022</t>
  </si>
  <si>
    <t xml:space="preserve">Company Assignment</t>
  </si>
  <si>
    <t xml:space="preserve">Valid company is selected and displayed</t>
  </si>
  <si>
    <t xml:space="preserve">BR-ATT-08</t>
  </si>
  <si>
    <t xml:space="preserve">ATT-023</t>
  </si>
  <si>
    <t xml:space="preserve">Company field is auto-populated based on employee</t>
  </si>
  <si>
    <t xml:space="preserve">ATT-024</t>
  </si>
  <si>
    <t xml:space="preserve">Company field can be manually changed</t>
  </si>
  <si>
    <t xml:space="preserve">ATT-025</t>
  </si>
  <si>
    <t xml:space="preserve">Shift Details</t>
  </si>
  <si>
    <t xml:space="preserve">Valid shift can be selected from dropdown</t>
  </si>
  <si>
    <t xml:space="preserve">BR-ATT-09</t>
  </si>
  <si>
    <t xml:space="preserve">ATT-026</t>
  </si>
  <si>
    <t xml:space="preserve">Shift field is optional and can be left blank</t>
  </si>
  <si>
    <t xml:space="preserve">ATT-027</t>
  </si>
  <si>
    <t xml:space="preserve">Shift auto-populates based on employee's assigned shift</t>
  </si>
  <si>
    <t xml:space="preserve">ATT-028</t>
  </si>
  <si>
    <t xml:space="preserve">Multiple shifts can be assigned to same employee on different dates</t>
  </si>
  <si>
    <t xml:space="preserve">ATT-029</t>
  </si>
  <si>
    <t xml:space="preserve">Late Entry Tracking</t>
  </si>
  <si>
    <t xml:space="preserve">Late Entry checkbox can be marked</t>
  </si>
  <si>
    <t xml:space="preserve">BR-ATT-10</t>
  </si>
  <si>
    <t xml:space="preserve">ATT-030</t>
  </si>
  <si>
    <t xml:space="preserve">Late Entry is checked when employee arrives after scheduled time</t>
  </si>
  <si>
    <t xml:space="preserve">ATT-031</t>
  </si>
  <si>
    <t xml:space="preserve">Late Entry with Present status is valid</t>
  </si>
  <si>
    <t xml:space="preserve">ATT-032</t>
  </si>
  <si>
    <t xml:space="preserve">Late Entry with Absent status is invalid</t>
  </si>
  <si>
    <t xml:space="preserve">ATT-033</t>
  </si>
  <si>
    <t xml:space="preserve">Late Entry checkbox can be unchecked</t>
  </si>
  <si>
    <t xml:space="preserve">ATT-034</t>
  </si>
  <si>
    <t xml:space="preserve">Early Exit Tracking</t>
  </si>
  <si>
    <t xml:space="preserve">Early Exit checkbox can be marked</t>
  </si>
  <si>
    <t xml:space="preserve">BR-ATT-11</t>
  </si>
  <si>
    <t xml:space="preserve">ATT-035</t>
  </si>
  <si>
    <t xml:space="preserve">Early Exit is checked when employee leaves before scheduled time</t>
  </si>
  <si>
    <t xml:space="preserve">ATT-036</t>
  </si>
  <si>
    <t xml:space="preserve">Early Exit with Present status is valid</t>
  </si>
  <si>
    <t xml:space="preserve">ATT-037</t>
  </si>
  <si>
    <t xml:space="preserve">Early Exit with Absent status is invalid</t>
  </si>
  <si>
    <t xml:space="preserve">ATT-038</t>
  </si>
  <si>
    <t xml:space="preserve">Early Exit checkbox can be unchecked</t>
  </si>
  <si>
    <t xml:space="preserve">ATT-039</t>
  </si>
  <si>
    <t xml:space="preserve">Late Entry &amp; Early Exit Combination</t>
  </si>
  <si>
    <t xml:space="preserve">Both Late Entry and Early Exit can be checked together</t>
  </si>
  <si>
    <t xml:space="preserve">BR-ATT-12</t>
  </si>
  <si>
    <t xml:space="preserve">ATT-040</t>
  </si>
  <si>
    <t xml:space="preserve">Both Late Entry and Early Exit cannot be checked with Absent status</t>
  </si>
  <si>
    <t xml:space="preserve">ATT-041</t>
  </si>
  <si>
    <t xml:space="preserve">Attendance cannot be saved without Employee</t>
  </si>
  <si>
    <t xml:space="preserve">ATT-042</t>
  </si>
  <si>
    <t xml:space="preserve">Attendance cannot be saved without Status</t>
  </si>
  <si>
    <t xml:space="preserve">ATT-043</t>
  </si>
  <si>
    <t xml:space="preserve">Attendance cannot be saved without Attendance Date</t>
  </si>
  <si>
    <t xml:space="preserve">ATT-044</t>
  </si>
  <si>
    <t xml:space="preserve">Edit existing Attendance Status</t>
  </si>
  <si>
    <t xml:space="preserve">BR-ATT-13</t>
  </si>
  <si>
    <t xml:space="preserve">ATT-045</t>
  </si>
  <si>
    <t xml:space="preserve">Edit Employee in existing Attendance</t>
  </si>
  <si>
    <t xml:space="preserve">ATT-046</t>
  </si>
  <si>
    <t xml:space="preserve">Edit Attendance Date</t>
  </si>
  <si>
    <t xml:space="preserve">ATT-047</t>
  </si>
  <si>
    <t xml:space="preserve">Edit Shift details</t>
  </si>
  <si>
    <t xml:space="preserve">ATT-048</t>
  </si>
  <si>
    <t xml:space="preserve">Toggle Late Entry checkbox</t>
  </si>
  <si>
    <t xml:space="preserve">ATT-049</t>
  </si>
  <si>
    <t xml:space="preserve">Toggle Early Exit checkbox</t>
  </si>
  <si>
    <t xml:space="preserve">ATT-050</t>
  </si>
  <si>
    <t xml:space="preserve">Save Attendance successfully</t>
  </si>
  <si>
    <t xml:space="preserve">ATT-051</t>
  </si>
  <si>
    <t xml:space="preserve">BR-ATT-14</t>
  </si>
  <si>
    <t xml:space="preserve">ATT-052</t>
  </si>
  <si>
    <t xml:space="preserve">▌ Expense Claim</t>
  </si>
  <si>
    <t xml:space="preserve">EXP-001</t>
  </si>
  <si>
    <t xml:space="preserve">Expense Claim</t>
  </si>
  <si>
    <t xml:space="preserve">Expense Claim Creation &amp; Basic Details</t>
  </si>
  <si>
    <t xml:space="preserve">Create Expense Claim with mandatory fields only (From Employee, Expense Approver)</t>
  </si>
  <si>
    <t xml:space="preserve">BR-EXP-01</t>
  </si>
  <si>
    <t xml:space="preserve">EXP-002</t>
  </si>
  <si>
    <t xml:space="preserve">Create Expense Claim with all basic fields (Employee, Department, Company, Approver)</t>
  </si>
  <si>
    <t xml:space="preserve">BR-EXP-01, BR-EXP-02</t>
  </si>
  <si>
    <t xml:space="preserve">EXP-003</t>
  </si>
  <si>
    <t xml:space="preserve">Series field is auto-generated in format HR-EXP-.YYYY.-</t>
  </si>
  <si>
    <t xml:space="preserve">BR-EXP-03</t>
  </si>
  <si>
    <t xml:space="preserve">EXP-004</t>
  </si>
  <si>
    <t xml:space="preserve">EXP-005</t>
  </si>
  <si>
    <t xml:space="preserve">Unique Series is generated for each expense claim record</t>
  </si>
  <si>
    <t xml:space="preserve">EXP-006</t>
  </si>
  <si>
    <t xml:space="preserve">Valid employee can be selected in From Employee field</t>
  </si>
  <si>
    <t xml:space="preserve">BR-EXP-04</t>
  </si>
  <si>
    <t xml:space="preserve">EXP-007</t>
  </si>
  <si>
    <t xml:space="preserve">EXP-008</t>
  </si>
  <si>
    <t xml:space="preserve">From Employee field is mandatory and cannot be left blank</t>
  </si>
  <si>
    <t xml:space="preserve">EXP-009</t>
  </si>
  <si>
    <t xml:space="preserve">Department auto-populates based on selected employee</t>
  </si>
  <si>
    <t xml:space="preserve">EXP-010</t>
  </si>
  <si>
    <t xml:space="preserve">Company Details</t>
  </si>
  <si>
    <t xml:space="preserve">BR-EXP-05</t>
  </si>
  <si>
    <t xml:space="preserve">EXP-011</t>
  </si>
  <si>
    <t xml:space="preserve">Company field is mandatory</t>
  </si>
  <si>
    <t xml:space="preserve">EXP-012</t>
  </si>
  <si>
    <t xml:space="preserve">Company GSTIN is auto-populated based on selected company</t>
  </si>
  <si>
    <t xml:space="preserve">EXP-013</t>
  </si>
  <si>
    <t xml:space="preserve">Company GSTIN field is read-only</t>
  </si>
  <si>
    <t xml:space="preserve">EXP-014</t>
  </si>
  <si>
    <t xml:space="preserve">Expense Approver</t>
  </si>
  <si>
    <t xml:space="preserve">Valid expense approver can be selected</t>
  </si>
  <si>
    <t xml:space="preserve">BR-EXP-06</t>
  </si>
  <si>
    <t xml:space="preserve">EXP-015</t>
  </si>
  <si>
    <t xml:space="preserve">Invalid approver is rejected</t>
  </si>
  <si>
    <t xml:space="preserve">EXP-016</t>
  </si>
  <si>
    <t xml:space="preserve">Expense Approver field is mandatory</t>
  </si>
  <si>
    <t xml:space="preserve">EXP-017</t>
  </si>
  <si>
    <t xml:space="preserve">Approval Status</t>
  </si>
  <si>
    <t xml:space="preserve">Approval Status defaults to Draft on creation</t>
  </si>
  <si>
    <t xml:space="preserve">BR-EXP-07</t>
  </si>
  <si>
    <t xml:space="preserve">EXP-018</t>
  </si>
  <si>
    <t xml:space="preserve">Approval Status can be changed to Approved</t>
  </si>
  <si>
    <t xml:space="preserve">EXP-019</t>
  </si>
  <si>
    <t xml:space="preserve">Approval Status can be changed to Rejected</t>
  </si>
  <si>
    <t xml:space="preserve">EXP-020</t>
  </si>
  <si>
    <t xml:space="preserve">Approval Status can be changed to Returned</t>
  </si>
  <si>
    <t xml:space="preserve">EXP-021</t>
  </si>
  <si>
    <t xml:space="preserve">Expenses Table</t>
  </si>
  <si>
    <t xml:space="preserve">Add single expense row to claim</t>
  </si>
  <si>
    <t xml:space="preserve">BR-EXP-08</t>
  </si>
  <si>
    <t xml:space="preserve">EXP-022</t>
  </si>
  <si>
    <t xml:space="preserve">Add multiple expense rows to same claim</t>
  </si>
  <si>
    <t xml:space="preserve">EXP-023</t>
  </si>
  <si>
    <t xml:space="preserve">Delete expense row from table</t>
  </si>
  <si>
    <t xml:space="preserve">EXP-024</t>
  </si>
  <si>
    <t xml:space="preserve">Expense Date is populated and validated</t>
  </si>
  <si>
    <t xml:space="preserve">EXP-025</t>
  </si>
  <si>
    <t xml:space="preserve">Expense Claim Type dropdown shows valid options</t>
  </si>
  <si>
    <t xml:space="preserve">BR-EXP-09</t>
  </si>
  <si>
    <t xml:space="preserve">EXP-026</t>
  </si>
  <si>
    <t xml:space="preserve">Expense Claim Type field is mandatory</t>
  </si>
  <si>
    <t xml:space="preserve">EXP-027</t>
  </si>
  <si>
    <t xml:space="preserve">Description field is optional</t>
  </si>
  <si>
    <t xml:space="preserve">EXP-028</t>
  </si>
  <si>
    <t xml:space="preserve">Amount field is mandatory</t>
  </si>
  <si>
    <t xml:space="preserve">EXP-029</t>
  </si>
  <si>
    <t xml:space="preserve">Amount field accepts decimal values</t>
  </si>
  <si>
    <t xml:space="preserve">EXP-030</t>
  </si>
  <si>
    <t xml:space="preserve">Negative amount is rejected</t>
  </si>
  <si>
    <t xml:space="preserve">EXP-031</t>
  </si>
  <si>
    <t xml:space="preserve">Sanctioned Amount is auto-populated or manually entered</t>
  </si>
  <si>
    <t xml:space="preserve">BR-EXP-10</t>
  </si>
  <si>
    <t xml:space="preserve">EXP-032</t>
  </si>
  <si>
    <t xml:space="preserve">Sanctioned Amount cannot exceed Amount</t>
  </si>
  <si>
    <t xml:space="preserve">EXP-033</t>
  </si>
  <si>
    <t xml:space="preserve">Total claim amount is calculated from all expense rows</t>
  </si>
  <si>
    <t xml:space="preserve">BR-EXP-11</t>
  </si>
  <si>
    <t xml:space="preserve">EXP-034</t>
  </si>
  <si>
    <t xml:space="preserve">Taxes &amp; Charges</t>
  </si>
  <si>
    <t xml:space="preserve">Add single tax row to expense claim</t>
  </si>
  <si>
    <t xml:space="preserve">BR-EXP-12</t>
  </si>
  <si>
    <t xml:space="preserve">EXP-035</t>
  </si>
  <si>
    <t xml:space="preserve">Add multiple tax rows to expense claim</t>
  </si>
  <si>
    <t xml:space="preserve">EXP-036</t>
  </si>
  <si>
    <t xml:space="preserve">Delete tax row from table</t>
  </si>
  <si>
    <t xml:space="preserve">EXP-037</t>
  </si>
  <si>
    <t xml:space="preserve">Tax Account Head is mandatory in tax row</t>
  </si>
  <si>
    <t xml:space="preserve">EXP-038</t>
  </si>
  <si>
    <t xml:space="preserve">Tax Amount is mandatory in tax row</t>
  </si>
  <si>
    <t xml:space="preserve">EXP-039</t>
  </si>
  <si>
    <t xml:space="preserve">Total taxes calculated correctly from all tax rows</t>
  </si>
  <si>
    <t xml:space="preserve">EXP-040</t>
  </si>
  <si>
    <t xml:space="preserve">Grand Total includes taxes and sanctioned amount</t>
  </si>
  <si>
    <t xml:space="preserve">BR-EXP-11, BR-EXP-12</t>
  </si>
  <si>
    <t xml:space="preserve">EXP-041</t>
  </si>
  <si>
    <t xml:space="preserve">Accounting Details</t>
  </si>
  <si>
    <t xml:space="preserve">Cost Center field can be selected</t>
  </si>
  <si>
    <t xml:space="preserve">BR-EXP-13</t>
  </si>
  <si>
    <t xml:space="preserve">EXP-042</t>
  </si>
  <si>
    <t xml:space="preserve">Project field can be linked to expense claim</t>
  </si>
  <si>
    <t xml:space="preserve">EXP-043</t>
  </si>
  <si>
    <t xml:space="preserve">Payable Account is auto-populated</t>
  </si>
  <si>
    <t xml:space="preserve">EXP-044</t>
  </si>
  <si>
    <t xml:space="preserve">Payable Account can be manually changed</t>
  </si>
  <si>
    <t xml:space="preserve">EXP-045</t>
  </si>
  <si>
    <t xml:space="preserve">Mode of Payment can be selected</t>
  </si>
  <si>
    <t xml:space="preserve">EXP-046</t>
  </si>
  <si>
    <t xml:space="preserve">Total Advance Amount is displayed if advance exists</t>
  </si>
  <si>
    <t xml:space="preserve">BR-EXP-14</t>
  </si>
  <si>
    <t xml:space="preserve">EXP-047</t>
  </si>
  <si>
    <t xml:space="preserve">Expense Claim cannot be saved without From Employee</t>
  </si>
  <si>
    <t xml:space="preserve">EXP-048</t>
  </si>
  <si>
    <t xml:space="preserve">Expense Claim cannot be saved without Company</t>
  </si>
  <si>
    <t xml:space="preserve">EXP-049</t>
  </si>
  <si>
    <t xml:space="preserve">Expense Claim cannot be saved without Expense Approver</t>
  </si>
  <si>
    <t xml:space="preserve">EXP-050</t>
  </si>
  <si>
    <t xml:space="preserve">Expense Claim cannot be submitted without expense rows</t>
  </si>
  <si>
    <t xml:space="preserve">EXP-051</t>
  </si>
  <si>
    <t xml:space="preserve">Edit expense row amount on existing claim</t>
  </si>
  <si>
    <t xml:space="preserve">BR-EXP-15</t>
  </si>
  <si>
    <t xml:space="preserve">EXP-052</t>
  </si>
  <si>
    <t xml:space="preserve">Edit expense claim type on existing row</t>
  </si>
  <si>
    <t xml:space="preserve">EXP-053</t>
  </si>
  <si>
    <t xml:space="preserve">Edit expense approver before submission</t>
  </si>
  <si>
    <t xml:space="preserve">EXP-054</t>
  </si>
  <si>
    <t xml:space="preserve">Edit is restricted after Approval Status is Approved</t>
  </si>
  <si>
    <t xml:space="preserve">EXP-055</t>
  </si>
  <si>
    <t xml:space="preserve">Save Expense Claim successfully</t>
  </si>
  <si>
    <t xml:space="preserve">EXP-056</t>
  </si>
  <si>
    <t xml:space="preserve">Submit Expense Claim successfully</t>
  </si>
  <si>
    <t xml:space="preserve">BR-EXP-16</t>
  </si>
  <si>
    <t xml:space="preserve">EXP-057</t>
  </si>
  <si>
    <t xml:space="preserve">EXP-058</t>
  </si>
  <si>
    <t xml:space="preserve">EXP-059</t>
  </si>
  <si>
    <t xml:space="preserve">Duplicate existing Expense Claim</t>
  </si>
  <si>
    <t xml:space="preserve">EXP-060</t>
  </si>
  <si>
    <t xml:space="preserve">Cancel submitted Expense Claim</t>
  </si>
  <si>
    <t xml:space="preserve">▌ Leave Application</t>
  </si>
  <si>
    <t xml:space="preserve">LEA-001</t>
  </si>
  <si>
    <t xml:space="preserve">Leave Application</t>
  </si>
  <si>
    <t xml:space="preserve">Leave Application Creation &amp; Basic Details</t>
  </si>
  <si>
    <t xml:space="preserve">Create Leave Application with mandatory fields only (Employee, Leave Type, From Date, To Date)</t>
  </si>
  <si>
    <t xml:space="preserve">BR-LEA-01</t>
  </si>
  <si>
    <t xml:space="preserve">LEA-002</t>
  </si>
  <si>
    <t xml:space="preserve">Create Leave Application with all basic fields (Employee, Leave Type, Dates, Company, Approver)</t>
  </si>
  <si>
    <t xml:space="preserve">BR-LEA-01, BR-LEA-02</t>
  </si>
  <si>
    <t xml:space="preserve">LEA-003</t>
  </si>
  <si>
    <t xml:space="preserve">Series field is auto-generated in format HR-LAP-.YYYY.-</t>
  </si>
  <si>
    <t xml:space="preserve">BR-LEA-03</t>
  </si>
  <si>
    <t xml:space="preserve">LEA-004</t>
  </si>
  <si>
    <t xml:space="preserve">LEA-005</t>
  </si>
  <si>
    <t xml:space="preserve">Unique Series is generated for each leave application</t>
  </si>
  <si>
    <t xml:space="preserve">LEA-006</t>
  </si>
  <si>
    <t xml:space="preserve">Valid employee can be selected in Employee field</t>
  </si>
  <si>
    <t xml:space="preserve">BR-LEA-04</t>
  </si>
  <si>
    <t xml:space="preserve">LEA-007</t>
  </si>
  <si>
    <t xml:space="preserve">LEA-008</t>
  </si>
  <si>
    <t xml:space="preserve">LEA-009</t>
  </si>
  <si>
    <t xml:space="preserve">Leave Type Selection</t>
  </si>
  <si>
    <t xml:space="preserve">Valid leave type can be selected from dropdown</t>
  </si>
  <si>
    <t xml:space="preserve">BR-LEA-05</t>
  </si>
  <si>
    <t xml:space="preserve">LEA-010</t>
  </si>
  <si>
    <t xml:space="preserve">Leave Type field is mandatory and cannot be left blank</t>
  </si>
  <si>
    <t xml:space="preserve">LEA-011</t>
  </si>
  <si>
    <t xml:space="preserve">Leave Type displays all available options (Annual, Sick, Personal, etc.)</t>
  </si>
  <si>
    <t xml:space="preserve">LEA-012</t>
  </si>
  <si>
    <t xml:space="preserve">Employee's leave balance is checked for selected leave type</t>
  </si>
  <si>
    <t xml:space="preserve">BR-LEA-06</t>
  </si>
  <si>
    <t xml:space="preserve">LEA-013</t>
  </si>
  <si>
    <t xml:space="preserve">BR-LEA-07</t>
  </si>
  <si>
    <t xml:space="preserve">LEA-014</t>
  </si>
  <si>
    <t xml:space="preserve">LEA-015</t>
  </si>
  <si>
    <t xml:space="preserve">Company auto-populates based on employee's assigned company</t>
  </si>
  <si>
    <t xml:space="preserve">LEA-016</t>
  </si>
  <si>
    <t xml:space="preserve">Date Range</t>
  </si>
  <si>
    <t xml:space="preserve">From Date is mandatory and cannot be left blank</t>
  </si>
  <si>
    <t xml:space="preserve">BR-LEA-08</t>
  </si>
  <si>
    <t xml:space="preserve">LEA-017</t>
  </si>
  <si>
    <t xml:space="preserve">To Date is mandatory and cannot be left blank</t>
  </si>
  <si>
    <t xml:space="preserve">LEA-018</t>
  </si>
  <si>
    <t xml:space="preserve">From Date cannot be after To Date</t>
  </si>
  <si>
    <t xml:space="preserve">LEA-019</t>
  </si>
  <si>
    <t xml:space="preserve">From Date cannot be in the past</t>
  </si>
  <si>
    <t xml:space="preserve">LEA-020</t>
  </si>
  <si>
    <t xml:space="preserve">To Date cannot be before From Date</t>
  </si>
  <si>
    <t xml:space="preserve">LEA-021</t>
  </si>
  <si>
    <t xml:space="preserve">LEA-022</t>
  </si>
  <si>
    <t xml:space="preserve">Leave duration is calculated correctly (From Date to To Date)</t>
  </si>
  <si>
    <t xml:space="preserve">BR-LEA-09</t>
  </si>
  <si>
    <t xml:space="preserve">LEA-023</t>
  </si>
  <si>
    <t xml:space="preserve">Half Day Leave</t>
  </si>
  <si>
    <t xml:space="preserve">Half Day checkbox can be checked</t>
  </si>
  <si>
    <t xml:space="preserve">BR-LEA-10</t>
  </si>
  <si>
    <t xml:space="preserve">LEA-024</t>
  </si>
  <si>
    <t xml:space="preserve">Half Day checkbox can be unchecked</t>
  </si>
  <si>
    <t xml:space="preserve">LEA-025</t>
  </si>
  <si>
    <t xml:space="preserve">Half Day with single date (From Date = To Date) is valid</t>
  </si>
  <si>
    <t xml:space="preserve">LEA-026</t>
  </si>
  <si>
    <t xml:space="preserve">Half Day with date range is rejected</t>
  </si>
  <si>
    <t xml:space="preserve">LEA-027</t>
  </si>
  <si>
    <t xml:space="preserve">Half Day reduces leave balance by 0.5 days</t>
  </si>
  <si>
    <t xml:space="preserve">LEA-028</t>
  </si>
  <si>
    <t xml:space="preserve">Full day reduces leave balance by 1 day</t>
  </si>
  <si>
    <t xml:space="preserve">LEA-029</t>
  </si>
  <si>
    <t xml:space="preserve">Reason</t>
  </si>
  <si>
    <t xml:space="preserve">Reason field is optional</t>
  </si>
  <si>
    <t xml:space="preserve">BR-LEA-11</t>
  </si>
  <si>
    <t xml:space="preserve">LEA-030</t>
  </si>
  <si>
    <t xml:space="preserve">Reason field accepts text input</t>
  </si>
  <si>
    <t xml:space="preserve">LEA-031</t>
  </si>
  <si>
    <t xml:space="preserve">Reason field accepts special characters</t>
  </si>
  <si>
    <t xml:space="preserve">LEA-032</t>
  </si>
  <si>
    <t xml:space="preserve">Leave Approver</t>
  </si>
  <si>
    <t xml:space="preserve">Valid leave approver can be selected</t>
  </si>
  <si>
    <t xml:space="preserve">BR-LEA-12</t>
  </si>
  <si>
    <t xml:space="preserve">LEA-033</t>
  </si>
  <si>
    <t xml:space="preserve">LEA-034</t>
  </si>
  <si>
    <t xml:space="preserve">Leave Approver field is mandatory and cannot be left blank</t>
  </si>
  <si>
    <t xml:space="preserve">LEA-035</t>
  </si>
  <si>
    <t xml:space="preserve">Leave Approver must have approval authority for the employee</t>
  </si>
  <si>
    <t xml:space="preserve">LEA-036</t>
  </si>
  <si>
    <t xml:space="preserve">Posting Date</t>
  </si>
  <si>
    <t xml:space="preserve">Posting Date is auto-populated with current date</t>
  </si>
  <si>
    <t xml:space="preserve">BR-LEA-13</t>
  </si>
  <si>
    <t xml:space="preserve">LEA-037</t>
  </si>
  <si>
    <t xml:space="preserve">Posting Date cannot be manually changed</t>
  </si>
  <si>
    <t xml:space="preserve">LEA-038</t>
  </si>
  <si>
    <t xml:space="preserve">Posting Date is recorded accurately on submission</t>
  </si>
  <si>
    <t xml:space="preserve">LEA-039</t>
  </si>
  <si>
    <t xml:space="preserve">Leave Balance</t>
  </si>
  <si>
    <t xml:space="preserve">Leave balance is displayed for selected leave type</t>
  </si>
  <si>
    <t xml:space="preserve">LEA-040</t>
  </si>
  <si>
    <t xml:space="preserve">Leave balance decreases after leave application is approved</t>
  </si>
  <si>
    <t xml:space="preserve">LEA-041</t>
  </si>
  <si>
    <t xml:space="preserve">Leave balance is restored after leave is cancelled</t>
  </si>
  <si>
    <t xml:space="preserve">LEA-042</t>
  </si>
  <si>
    <t xml:space="preserve">Leave application is rejected if balance is insufficient</t>
  </si>
  <si>
    <t xml:space="preserve">LEA-043</t>
  </si>
  <si>
    <t xml:space="preserve">Leave balance updates are reflected in real-time</t>
  </si>
  <si>
    <t xml:space="preserve">LEA-044</t>
  </si>
  <si>
    <t xml:space="preserve">Status &amp; Workflow</t>
  </si>
  <si>
    <t xml:space="preserve">Status defaults to Open on creation</t>
  </si>
  <si>
    <t xml:space="preserve">BR-LEA-14</t>
  </si>
  <si>
    <t xml:space="preserve">LEA-045</t>
  </si>
  <si>
    <t xml:space="preserve">Status changes to Approved after approval</t>
  </si>
  <si>
    <t xml:space="preserve">LEA-046</t>
  </si>
  <si>
    <t xml:space="preserve">Status changes to Rejected after rejection</t>
  </si>
  <si>
    <t xml:space="preserve">LEA-047</t>
  </si>
  <si>
    <t xml:space="preserve">Cancelled leave application shows Cancelled status</t>
  </si>
  <si>
    <t xml:space="preserve">LEA-048</t>
  </si>
  <si>
    <t xml:space="preserve">Only authorised user can approve leave application</t>
  </si>
  <si>
    <t xml:space="preserve">LEA-049</t>
  </si>
  <si>
    <t xml:space="preserve">Leave Application cannot be saved without Employee</t>
  </si>
  <si>
    <t xml:space="preserve">LEA-050</t>
  </si>
  <si>
    <t xml:space="preserve">Leave Application cannot be saved without Leave Type</t>
  </si>
  <si>
    <t xml:space="preserve">LEA-051</t>
  </si>
  <si>
    <t xml:space="preserve">Leave Application cannot be saved without From Date</t>
  </si>
  <si>
    <t xml:space="preserve">LEA-052</t>
  </si>
  <si>
    <t xml:space="preserve">Leave Application cannot be saved without To Date</t>
  </si>
  <si>
    <t xml:space="preserve">LEA-053</t>
  </si>
  <si>
    <t xml:space="preserve">Leave Application cannot be submitted with From Date after To Date</t>
  </si>
  <si>
    <t xml:space="preserve">LEA-054</t>
  </si>
  <si>
    <t xml:space="preserve">Edit Leave Type on existing leave application</t>
  </si>
  <si>
    <t xml:space="preserve">BR-LEA-15</t>
  </si>
  <si>
    <t xml:space="preserve">LEA-055</t>
  </si>
  <si>
    <t xml:space="preserve">Edit date range on existing leave application</t>
  </si>
  <si>
    <t xml:space="preserve">LEA-056</t>
  </si>
  <si>
    <t xml:space="preserve">Edit reason on existing leave application</t>
  </si>
  <si>
    <t xml:space="preserve">LEA-057</t>
  </si>
  <si>
    <t xml:space="preserve">Edit leave approver before submission</t>
  </si>
  <si>
    <t xml:space="preserve">LEA-058</t>
  </si>
  <si>
    <t xml:space="preserve">Edit is restricted after leave is approved</t>
  </si>
  <si>
    <t xml:space="preserve">LEA-059</t>
  </si>
  <si>
    <t xml:space="preserve">Save Leave Application successfully</t>
  </si>
  <si>
    <t xml:space="preserve">LEA-060</t>
  </si>
  <si>
    <t xml:space="preserve">Submit Leave Application successfully</t>
  </si>
  <si>
    <t xml:space="preserve">BR-LEA-16</t>
  </si>
  <si>
    <t xml:space="preserve">LEA-061</t>
  </si>
  <si>
    <t xml:space="preserve">LEA-062</t>
  </si>
  <si>
    <t xml:space="preserve">LEA-063</t>
  </si>
  <si>
    <t xml:space="preserve">Duplicate existing Leave Application</t>
  </si>
  <si>
    <t xml:space="preserve">LEA-064</t>
  </si>
  <si>
    <t xml:space="preserve">Cancel submitted Leave Application</t>
  </si>
  <si>
    <t xml:space="preserve">LEA-065</t>
  </si>
  <si>
    <t xml:space="preserve">Delete Draft Leave Application</t>
  </si>
  <si>
    <t xml:space="preserve">▌ Service Call</t>
  </si>
  <si>
    <t xml:space="preserve">SC-001</t>
  </si>
  <si>
    <t xml:space="preserve">Service Call</t>
  </si>
  <si>
    <t xml:space="preserve">Service Call Creation &amp; Basic Details</t>
  </si>
  <si>
    <t xml:space="preserve">Create Service Call with mandatory fields only (Customer, Service Type)</t>
  </si>
  <si>
    <t xml:space="preserve">BR-SC-01</t>
  </si>
  <si>
    <t xml:space="preserve">SC-002</t>
  </si>
  <si>
    <t xml:space="preserve">Create Service Call with all basic fields (Customer, Title, Description, Priority)</t>
  </si>
  <si>
    <t xml:space="preserve">BR-SC-01, BR-SC-02</t>
  </si>
  <si>
    <t xml:space="preserve">SC-003</t>
  </si>
  <si>
    <t xml:space="preserve">Create Service Call with multiple Service Items</t>
  </si>
  <si>
    <t xml:space="preserve">BR-SC-08</t>
  </si>
  <si>
    <t xml:space="preserve">SC-004</t>
  </si>
  <si>
    <t xml:space="preserve">Create Service Call for Individual customer type</t>
  </si>
  <si>
    <t xml:space="preserve">BR-SC-03</t>
  </si>
  <si>
    <t xml:space="preserve">SC-005</t>
  </si>
  <si>
    <t xml:space="preserve">Create Service Call for Company customer type</t>
  </si>
  <si>
    <t xml:space="preserve">SC-006</t>
  </si>
  <si>
    <t xml:space="preserve">Customer &amp; Location Validation</t>
  </si>
  <si>
    <t xml:space="preserve">Valid customer selection populates branch locations</t>
  </si>
  <si>
    <t xml:space="preserve">SC-007</t>
  </si>
  <si>
    <t xml:space="preserve">Invalid/non-existent customer is rejected</t>
  </si>
  <si>
    <t xml:space="preserve">SC-008</t>
  </si>
  <si>
    <t xml:space="preserve">Service Call can be linked to specific branch location</t>
  </si>
  <si>
    <t xml:space="preserve">BR-SC-04</t>
  </si>
  <si>
    <t xml:space="preserve">SC-009</t>
  </si>
  <si>
    <t xml:space="preserve">Contact person is filtered by selected branch</t>
  </si>
  <si>
    <t xml:space="preserve">SC-010</t>
  </si>
  <si>
    <t xml:space="preserve">Technician Assignment</t>
  </si>
  <si>
    <t xml:space="preserve">Assign available technician to Service Call</t>
  </si>
  <si>
    <t xml:space="preserve">BR-SC-05</t>
  </si>
  <si>
    <t xml:space="preserve">SC-011</t>
  </si>
  <si>
    <t xml:space="preserve">Reassign technician to different Service Call</t>
  </si>
  <si>
    <t xml:space="preserve">SC-012</t>
  </si>
  <si>
    <t xml:space="preserve">Service Call without technician assignment is saved successfully</t>
  </si>
  <si>
    <t xml:space="preserve">SC-013</t>
  </si>
  <si>
    <t xml:space="preserve">Duplicate technician assignment is blocked</t>
  </si>
  <si>
    <t xml:space="preserve">SC-014</t>
  </si>
  <si>
    <t xml:space="preserve">Priority &amp; Status Management</t>
  </si>
  <si>
    <t xml:space="preserve">Create High Priority Service Call</t>
  </si>
  <si>
    <t xml:space="preserve">BR-SC-06</t>
  </si>
  <si>
    <t xml:space="preserve">SC-015</t>
  </si>
  <si>
    <t xml:space="preserve">Create Low Priority Service Call</t>
  </si>
  <si>
    <t xml:space="preserve">SC-016</t>
  </si>
  <si>
    <t xml:space="preserve">Status transitions from Draft to Assigned to In Progress</t>
  </si>
  <si>
    <t xml:space="preserve">BR-SC-07</t>
  </si>
  <si>
    <t xml:space="preserve">SC-017</t>
  </si>
  <si>
    <t xml:space="preserve">Status transitions from In Progress to Completed</t>
  </si>
  <si>
    <t xml:space="preserve">SC-018</t>
  </si>
  <si>
    <t xml:space="preserve">Invalid status transition is rejected with error message</t>
  </si>
  <si>
    <t xml:space="preserve">SC-019</t>
  </si>
  <si>
    <t xml:space="preserve">Service Date &amp; Time</t>
  </si>
  <si>
    <t xml:space="preserve">Schedule Service Call with valid date &amp; time</t>
  </si>
  <si>
    <t xml:space="preserve">BR-SC-09</t>
  </si>
  <si>
    <t xml:space="preserve">SC-020</t>
  </si>
  <si>
    <t xml:space="preserve">Service date in past is rejected</t>
  </si>
  <si>
    <t xml:space="preserve">SC-021</t>
  </si>
  <si>
    <t xml:space="preserve">Service date cannot be left blank</t>
  </si>
  <si>
    <t xml:space="preserve">SC-022</t>
  </si>
  <si>
    <t xml:space="preserve">Service start time and end time are recorded correctly</t>
  </si>
  <si>
    <t xml:space="preserve">SC-023</t>
  </si>
  <si>
    <t xml:space="preserve">Service Items &amp; Inventory</t>
  </si>
  <si>
    <t xml:space="preserve">Add single Service Item to Service Call</t>
  </si>
  <si>
    <t xml:space="preserve">SC-024</t>
  </si>
  <si>
    <t xml:space="preserve">Add multiple Service Items to same Service Call</t>
  </si>
  <si>
    <t xml:space="preserve">SC-025</t>
  </si>
  <si>
    <t xml:space="preserve">Delete Service Item row from Service Call</t>
  </si>
  <si>
    <t xml:space="preserve">SC-026</t>
  </si>
  <si>
    <t xml:space="preserve">Service Item quantity can be updated</t>
  </si>
  <si>
    <t xml:space="preserve">SC-027</t>
  </si>
  <si>
    <t xml:space="preserve">Out-of-stock Service Item is flagged with warning</t>
  </si>
  <si>
    <t xml:space="preserve">SC-028</t>
  </si>
  <si>
    <t xml:space="preserve">Billing &amp; Cost Calculation</t>
  </si>
  <si>
    <t xml:space="preserve">Service Call total cost is calculated correctly</t>
  </si>
  <si>
    <t xml:space="preserve">BR-SC-10</t>
  </si>
  <si>
    <t xml:space="preserve">SC-029</t>
  </si>
  <si>
    <t xml:space="preserve">Discount applied to Service Call reduces total cost</t>
  </si>
  <si>
    <t xml:space="preserve">SC-030</t>
  </si>
  <si>
    <t xml:space="preserve">Additional charges increase Service Call total cost</t>
  </si>
  <si>
    <t xml:space="preserve">SC-031</t>
  </si>
  <si>
    <t xml:space="preserve">Billable flag determines invoice eligibility</t>
  </si>
  <si>
    <t xml:space="preserve">SC-032</t>
  </si>
  <si>
    <t xml:space="preserve">SLA &amp; Warranty</t>
  </si>
  <si>
    <t xml:space="preserve">Service Call within warranty period is marked correctly</t>
  </si>
  <si>
    <t xml:space="preserve">BR-SC-11</t>
  </si>
  <si>
    <t xml:space="preserve">SC-033</t>
  </si>
  <si>
    <t xml:space="preserve">Service Call outside warranty period is marked correctly</t>
  </si>
  <si>
    <t xml:space="preserve">SC-034</t>
  </si>
  <si>
    <t xml:space="preserve">SLA response time is tracked and validated</t>
  </si>
  <si>
    <t xml:space="preserve">SC-035</t>
  </si>
  <si>
    <t xml:space="preserve">Documentation</t>
  </si>
  <si>
    <t xml:space="preserve">Attach document (image/PDF) to Service Call</t>
  </si>
  <si>
    <t xml:space="preserve">BR-SC-12</t>
  </si>
  <si>
    <t xml:space="preserve">SC-036</t>
  </si>
  <si>
    <t xml:space="preserve">Add internal notes to Service Call</t>
  </si>
  <si>
    <t xml:space="preserve">SC-037</t>
  </si>
  <si>
    <t xml:space="preserve">Add customer-visible remarks to Service Call</t>
  </si>
  <si>
    <t xml:space="preserve">SC-038</t>
  </si>
  <si>
    <t xml:space="preserve">Delete attached document from Service Call</t>
  </si>
  <si>
    <t xml:space="preserve">SC-039</t>
  </si>
  <si>
    <t xml:space="preserve">Service Call with missing mandatory fields cannot be saved</t>
  </si>
  <si>
    <t xml:space="preserve">SC-040</t>
  </si>
  <si>
    <t xml:space="preserve">Invalid email format in contact field is rejected</t>
  </si>
  <si>
    <t xml:space="preserve">BR-SC-13</t>
  </si>
  <si>
    <t xml:space="preserve">SC-041</t>
  </si>
  <si>
    <t xml:space="preserve">SC-042</t>
  </si>
  <si>
    <t xml:space="preserve">Edit existing Service Call details</t>
  </si>
  <si>
    <t xml:space="preserve">BR-SC-14</t>
  </si>
  <si>
    <t xml:space="preserve">SC-043</t>
  </si>
  <si>
    <t xml:space="preserve">Edit Service Call after status change is restricted</t>
  </si>
  <si>
    <t xml:space="preserve">SC-044</t>
  </si>
  <si>
    <t xml:space="preserve">Edit Service Call technician assignment after creation</t>
  </si>
  <si>
    <t xml:space="preserve">SC-045</t>
  </si>
  <si>
    <t xml:space="preserve">Bulk Operations</t>
  </si>
  <si>
    <t xml:space="preserve">Duplicate existing Service Call</t>
  </si>
  <si>
    <t xml:space="preserve">BR-SC-15</t>
  </si>
  <si>
    <t xml:space="preserve">SC-046</t>
  </si>
  <si>
    <t xml:space="preserve">Delete Service Call (permitted status only)</t>
  </si>
  <si>
    <t xml:space="preserve">SC-047</t>
  </si>
  <si>
    <t xml:space="preserve">Bulk update Service Call status</t>
  </si>
  <si>
    <t xml:space="preserve">SC-048</t>
  </si>
  <si>
    <t xml:space="preserve">Permissions &amp; Access</t>
  </si>
  <si>
    <t xml:space="preserve">Technician views only assigned Service Calls</t>
  </si>
  <si>
    <t xml:space="preserve">BR-SC-16</t>
  </si>
  <si>
    <t xml:space="preserve">SC-049</t>
  </si>
  <si>
    <t xml:space="preserve">Customer views only their own Service Calls</t>
  </si>
  <si>
    <t xml:space="preserve">SC-050</t>
  </si>
  <si>
    <t xml:space="preserve">Manager can approve/reject Service Calls</t>
  </si>
  <si>
    <t xml:space="preserve">AMC Core — Master Test Execution Run Tracker</t>
  </si>
  <si>
    <t xml:space="preserve">Each Run column = one full execution cycle. Formulas auto-calculate pass rate per test case.</t>
  </si>
  <si>
    <t xml:space="preserve">Title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</si>
  <si>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</si>
  <si>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</si>
  <si>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</si>
  <si>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</si>
  <si>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</si>
  <si>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</si>
  <si>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Total Runs</t>
  </si>
  <si>
    <t xml:space="preserve">Pass</t>
  </si>
  <si>
    <t xml:space="preserve">Fail</t>
  </si>
  <si>
    <t xml:space="preserve">Pass Rate</t>
  </si>
  <si>
    <t xml:space="preserve">AMC Core — Master Execution Summary Dashboard</t>
  </si>
  <si>
    <t xml:space="preserve">Live dashboard — all metrics auto-update as Test Case Register statuses are filled in.</t>
  </si>
  <si>
    <t xml:space="preserve">Total TCs</t>
  </si>
  <si>
    <t xml:space="preserve">Blocked</t>
  </si>
  <si>
    <t xml:space="preserve">Results by DocType</t>
  </si>
  <si>
    <t xml:space="preserve">Total</t>
  </si>
  <si>
    <t xml:space="preserve">Results by Module</t>
  </si>
  <si>
    <t xml:space="preserve">Tests</t>
  </si>
  <si>
    <t xml:space="preserve">AMC Core — Master Priority &amp; Coverage Analysis</t>
  </si>
  <si>
    <t xml:space="preserve">All 320 test cases sorted by priority. Execute Critical first across all DocTypes.</t>
  </si>
  <si>
    <t xml:space="preserve">Priority Summary</t>
  </si>
  <si>
    <t xml:space="preserve">Count</t>
  </si>
  <si>
    <t xml:space="preserve">% of Total</t>
  </si>
  <si>
    <t xml:space="preserve">AMC Core — Master Business Rules Reference</t>
  </si>
  <si>
    <t xml:space="preserve">98 business rules across 7 DocTypes. Every test case traces to exactly one rule.</t>
  </si>
  <si>
    <t xml:space="preserve">Rule ID</t>
  </si>
  <si>
    <t xml:space="preserve">Category</t>
  </si>
  <si>
    <t xml:space="preserve">Rule Name</t>
  </si>
  <si>
    <t xml:space="preserve">Description / ERPNext v15 Field Details</t>
  </si>
  <si>
    <t xml:space="preserve">Test Cases</t>
  </si>
  <si>
    <t xml:space="preserve">Creation</t>
  </si>
  <si>
    <t xml:space="preserve">Customer Name is primary identifier</t>
  </si>
  <si>
    <t xml:space="preserve">Customer Name is core searchable field. Naming series CUST-.####. auto-assigns ID.</t>
  </si>
  <si>
    <t xml:space="preserve">CUST-001, CUST-002</t>
  </si>
  <si>
    <t xml:space="preserve">Customer Type classifies legal entity</t>
  </si>
  <si>
    <t xml:space="preserve">Must be Company, Individual, or Partnership. Determines tax and contact rules.</t>
  </si>
  <si>
    <t xml:space="preserve">CUST-003, CUST-004</t>
  </si>
  <si>
    <t xml:space="preserve">GST must match 15-char regex or be blank</t>
  </si>
  <si>
    <t xml:space="preserve">Regex: ^$|^[0-9]{2}[A-Z]{4}[A-Z0-9]{1}[0-9]{4}[A-Z]{1}[1-9A-Z]{1}[A-Z]{1}[A-Z0-9]{1}$. Error message shown on mismatch.</t>
  </si>
  <si>
    <t xml:space="preserve">CUST-005, CUST-006, CUST-008</t>
  </si>
  <si>
    <t xml:space="preserve">GST is unique across all customers</t>
  </si>
  <si>
    <t xml:space="preserve">unique:1 on GST field. Two customers cannot share same GSTIN.</t>
  </si>
  <si>
    <t xml:space="preserve">PAN Validation</t>
  </si>
  <si>
    <t xml:space="preserve">PAN is unique across all customers</t>
  </si>
  <si>
    <t xml:space="preserve">unique:1 on PAN field. Two customers cannot share same PAN.</t>
  </si>
  <si>
    <t xml:space="preserve">Branches</t>
  </si>
  <si>
    <t xml:space="preserve">Branch Locations define service sites</t>
  </si>
  <si>
    <t xml:space="preserve">Customer Branch Mapping child table: Branch + Address. Branches link to Contracts.</t>
  </si>
  <si>
    <t xml:space="preserve">CUST-010, CUST-011, CUST-012, CUST-013</t>
  </si>
  <si>
    <t xml:space="preserve">Contacts</t>
  </si>
  <si>
    <t xml:space="preserve">Contact Details store per-branch persons</t>
  </si>
  <si>
    <t xml:space="preserve">Customer Contact Mapping: Name, Mobile, Email, Branch, Is Primary. Drives contract contact selection.</t>
  </si>
  <si>
    <t xml:space="preserve">CUST-014, CUST-016, CUST-017</t>
  </si>
  <si>
    <t xml:space="preserve">Only one Is Primary contact per customer</t>
  </si>
  <si>
    <t xml:space="preserve">Business rule: Is Primary uniqueness per customer to avoid escalation ambiguity.</t>
  </si>
  <si>
    <t xml:space="preserve">Connections</t>
  </si>
  <si>
    <t xml:space="preserve">Customer links to Contracts and Service Calls</t>
  </si>
  <si>
    <t xml:space="preserve">links[]: AMC Contract.customer + Service Call.customer. Visible in Connections tab HTML.</t>
  </si>
  <si>
    <t xml:space="preserve">CUST-018, CUST-019</t>
  </si>
  <si>
    <t xml:space="preserve">Customer with active contracts cannot be deleted</t>
  </si>
  <si>
    <t xml:space="preserve">Referential integrity: deletion blocked if AMC Contracts reference this customer.</t>
  </si>
  <si>
    <t xml:space="preserve">CUST-021, CON-031</t>
  </si>
  <si>
    <t xml:space="preserve">Technician has read-only access to customers</t>
  </si>
  <si>
    <t xml:space="preserve">Permissions: Technician read:1 only. No create, write, delete on AMC Customers.</t>
  </si>
  <si>
    <t xml:space="preserve">Mandatory Fields</t>
  </si>
  <si>
    <t xml:space="preserve">Start Date, End Date, No of Services required</t>
  </si>
  <si>
    <t xml:space="preserve">reqd:1 on all three. Save is blocked without any of these fields.</t>
  </si>
  <si>
    <t xml:space="preserve">CON-001, CON-002, CON-003, CON-004</t>
  </si>
  <si>
    <t xml:space="preserve">Auto-Naming</t>
  </si>
  <si>
    <t xml:space="preserve">Contract name follows AMC-.YY.MM.-.#### series</t>
  </si>
  <si>
    <t xml:space="preserve">naming_series: "AMC-.YY.MM.-.####". Provides month-stamped, chronological IDs.</t>
  </si>
  <si>
    <t xml:space="preserve">Date Logic</t>
  </si>
  <si>
    <t xml:space="preserve">End Date must be &gt;= Start Date</t>
  </si>
  <si>
    <t xml:space="preserve">Business rule: end &lt; start must be rejected. Same-day and multi-year spans are valid.</t>
  </si>
  <si>
    <t xml:space="preserve">CON-006, CON-007, CON-008</t>
  </si>
  <si>
    <t xml:space="preserve">Service Count</t>
  </si>
  <si>
    <t xml:space="preserve">No of Services drives Maintenance Schedule rows</t>
  </si>
  <si>
    <t xml:space="preserve">Select 1-12. Must generate exactly that many rows in Maintenance Schedule child table.</t>
  </si>
  <si>
    <t xml:space="preserve">CON-009 to CON-013, CON-029</t>
  </si>
  <si>
    <t xml:space="preserve">Schedule dates must fall within contract period</t>
  </si>
  <si>
    <t xml:space="preserve">Each generated date &gt;= start_date and &lt;= end_date.</t>
  </si>
  <si>
    <t xml:space="preserve">Customer Linkage</t>
  </si>
  <si>
    <t xml:space="preserve">Branch filtered by selected Customer</t>
  </si>
  <si>
    <t xml:space="preserve">link_filters: Customer Branch.customer = doc.customer. Branch only shows that customer's branches.</t>
  </si>
  <si>
    <t xml:space="preserve">CON-015, CON-016, CON-017</t>
  </si>
  <si>
    <t xml:space="preserve">Contact Linkage</t>
  </si>
  <si>
    <t xml:space="preserve">Contact Person filtered by selected Branch</t>
  </si>
  <si>
    <t xml:space="preserve">link_filters: Customer Contact.branch = doc.branch. Mobile auto-fetched via fetch_from.</t>
  </si>
  <si>
    <t xml:space="preserve">CON-018, CUST-016, CUST-017</t>
  </si>
  <si>
    <t xml:space="preserve">Equipment</t>
  </si>
  <si>
    <t xml:space="preserve">Maintenance Schedule stores equipment per visit</t>
  </si>
  <si>
    <t xml:space="preserve">Child table columns: Equipment, Quantity, Unit, Description. Per-visit specification.</t>
  </si>
  <si>
    <t xml:space="preserve">CON-014, CON-026</t>
  </si>
  <si>
    <t xml:space="preserve">Status: blank / Active / Inactive</t>
  </si>
  <si>
    <t xml:space="preserve">Select field. Blank by default. Active enables service call dispatch; Inactive suspends it.</t>
  </si>
  <si>
    <t xml:space="preserve">CON-019, CON-020, CON-021</t>
  </si>
  <si>
    <t xml:space="preserve">Workflow</t>
  </si>
  <si>
    <t xml:space="preserve">is_submittable: Draft &gt; Submit &gt; Cancel</t>
  </si>
  <si>
    <t xml:space="preserve">is_submittable:1. Submitted = read-only. Cancelled = immutable. Technician cannot cancel.</t>
  </si>
  <si>
    <t xml:space="preserve">CON-022, CON-023, CON-025</t>
  </si>
  <si>
    <t xml:space="preserve">Submitted contract can be Amended</t>
  </si>
  <si>
    <t xml:space="preserve">amended_from field links to original. Amend creates new draft; original is cancelled on re-submit.</t>
  </si>
  <si>
    <t xml:space="preserve">Service Calls</t>
  </si>
  <si>
    <t xml:space="preserve">Service Calls tab shows generated calls</t>
  </si>
  <si>
    <t xml:space="preserve">service_calls_html renders calls. Count must equal No of Services after processing.</t>
  </si>
  <si>
    <t xml:space="preserve">CON-027, CON-028, CON-029</t>
  </si>
  <si>
    <t xml:space="preserve">Multi-Contract</t>
  </si>
  <si>
    <t xml:space="preserve">One customer can have contracts per branch</t>
  </si>
  <si>
    <t xml:space="preserve">No unique constraint on customer+branch. Multiple active contracts per customer allowed.</t>
  </si>
  <si>
    <t xml:space="preserve">Technician: create/write/submit, no cancel/delete</t>
  </si>
  <si>
    <t xml:space="preserve">Technician permissions: create, write, read, submit, email, export, print, share, select. No cancel or delete.</t>
  </si>
  <si>
    <t xml:space="preserve">CON-032, CUST-020</t>
  </si>
  <si>
    <t xml:space="preserve">Vendor Name is mandatory</t>
  </si>
  <si>
    <t xml:space="preserve">Vendor Name is the primary identifier. Save is blocked without it.</t>
  </si>
  <si>
    <t xml:space="preserve">VEN-001, VEN-002, VEN-027, VEN-036</t>
  </si>
  <si>
    <t xml:space="preserve">Vendor Type: Company or Individual</t>
  </si>
  <si>
    <t xml:space="preserve">Type field classifies the vendor entity. Defaults to Company if blank.</t>
  </si>
  <si>
    <t xml:space="preserve">VEN-003, VEN-004, VEN-029, VEN-030</t>
  </si>
  <si>
    <t xml:space="preserve">Primary Contact</t>
  </si>
  <si>
    <t xml:space="preserve">Contact details validated (phone, email)</t>
  </si>
  <si>
    <t xml:space="preserve">Mobile No and Email must match valid formats.</t>
  </si>
  <si>
    <t xml:space="preserve">VEN-005 to VEN-009</t>
  </si>
  <si>
    <t xml:space="preserve">Tax ID</t>
  </si>
  <si>
    <t xml:space="preserve">PAN must match valid format or be blank</t>
  </si>
  <si>
    <t xml:space="preserve">PAN: 10-char alphanumeric. Optional field — blank is allowed.</t>
  </si>
  <si>
    <t xml:space="preserve">VEN-010, VEN-011, VEN-013</t>
  </si>
  <si>
    <t xml:space="preserve">PAN is unique across all vendors</t>
  </si>
  <si>
    <t xml:space="preserve">unique:1 on PAN. Two vendors cannot share the same PAN.</t>
  </si>
  <si>
    <t xml:space="preserve">Address</t>
  </si>
  <si>
    <t xml:space="preserve">Registered Address is a free-text field</t>
  </si>
  <si>
    <t xml:space="preserve">Text area, accepts special characters. Saved as-is.</t>
  </si>
  <si>
    <t xml:space="preserve">VEN-014, VEN-015, VEN-016</t>
  </si>
  <si>
    <t xml:space="preserve">Address table stores multiple addresses</t>
  </si>
  <si>
    <t xml:space="preserve">Child table: Name, City, State, Mobile No per row.</t>
  </si>
  <si>
    <t xml:space="preserve">VEN-017 to VEN-022, VEN-025</t>
  </si>
  <si>
    <t xml:space="preserve">GST No in address row validated</t>
  </si>
  <si>
    <t xml:space="preserve">GST must be valid 15-char GSTIN format per address row.</t>
  </si>
  <si>
    <t xml:space="preserve">VEN-023, VEN-024</t>
  </si>
  <si>
    <t xml:space="preserve">Duplicate GST across address rows is blocked</t>
  </si>
  <si>
    <t xml:space="preserve">Each address row GST must be unique within the vendor.</t>
  </si>
  <si>
    <t xml:space="preserve">Editing</t>
  </si>
  <si>
    <t xml:space="preserve">All fields editable after creation</t>
  </si>
  <si>
    <t xml:space="preserve">Vendor records can be updated at any time.</t>
  </si>
  <si>
    <t xml:space="preserve">VEN-031 to VEN-035</t>
  </si>
  <si>
    <t xml:space="preserve">Standard form save/duplicate/delete actions</t>
  </si>
  <si>
    <t xml:space="preserve">ERPNext standard actions: Save, Duplicate, Delete apply to Vendor.</t>
  </si>
  <si>
    <t xml:space="preserve">VEN-036 to VEN-040</t>
  </si>
  <si>
    <t xml:space="preserve">Employee, Status, Date are mandatory</t>
  </si>
  <si>
    <t xml:space="preserve">ATT-001, ATT-002, ATT-041 to ATT-043, ATT-050</t>
  </si>
  <si>
    <t xml:space="preserve">BR-ATT-02</t>
  </si>
  <si>
    <t xml:space="preserve">Company and Shift are optional fields</t>
  </si>
  <si>
    <t xml:space="preserve">Company and Shift enhance the record but are not required for save.</t>
  </si>
  <si>
    <t xml:space="preserve">Status: Present/Absent/Leave/Half Day</t>
  </si>
  <si>
    <t xml:space="preserve">Select field with 4 options. Mandatory. Controls Late/Early flag validity.</t>
  </si>
  <si>
    <t xml:space="preserve">ATT-003 to ATT-006, ATT-019 to ATT-021, ATT-042</t>
  </si>
  <si>
    <t xml:space="preserve">Series auto-generated: HR-ATT-.YYYY.-</t>
  </si>
  <si>
    <t xml:space="preserve">Naming series produces unique, year-stamped attendance IDs. Read-only.</t>
  </si>
  <si>
    <t xml:space="preserve">ATT-007 to ATT-009</t>
  </si>
  <si>
    <t xml:space="preserve">Employee</t>
  </si>
  <si>
    <t xml:space="preserve">Employee must be a valid ERPNext Employee</t>
  </si>
  <si>
    <t xml:space="preserve">Link field — only existing Employee records accepted. Mandatory.</t>
  </si>
  <si>
    <t xml:space="preserve">ATT-010 to ATT-012, ATT-041</t>
  </si>
  <si>
    <t xml:space="preserve">Duplicate</t>
  </si>
  <si>
    <t xml:space="preserve">Duplicate Employee+Date combination blocked</t>
  </si>
  <si>
    <t xml:space="preserve">One attendance record per employee per date. Duplicate insert must fail.</t>
  </si>
  <si>
    <t xml:space="preserve">Date</t>
  </si>
  <si>
    <t xml:space="preserve">Attendance Date is mandatory, any date valid</t>
  </si>
  <si>
    <t xml:space="preserve">Date field: past, present, and future dates all accepted. Blank not allowed.</t>
  </si>
  <si>
    <t xml:space="preserve">ATT-014 to ATT-018, ATT-043</t>
  </si>
  <si>
    <t xml:space="preserve">Company</t>
  </si>
  <si>
    <t xml:space="preserve">Company auto-populates from employee record</t>
  </si>
  <si>
    <t xml:space="preserve">Company field fetched from Employee.company. Can be manually overridden.</t>
  </si>
  <si>
    <t xml:space="preserve">ATT-022 to ATT-024</t>
  </si>
  <si>
    <t xml:space="preserve">Shift</t>
  </si>
  <si>
    <t xml:space="preserve">Shift is optional, auto-populates if assigned</t>
  </si>
  <si>
    <t xml:space="preserve">Shift Type linked to employee assignment. Optional; blank is allowed.</t>
  </si>
  <si>
    <t xml:space="preserve">ATT-025 to ATT-028</t>
  </si>
  <si>
    <t xml:space="preserve">Late Entry</t>
  </si>
  <si>
    <t xml:space="preserve">Late Entry valid only with Present status</t>
  </si>
  <si>
    <t xml:space="preserve">Late Entry checkbox meaningful only when Status = Present. Invalid for Absent.</t>
  </si>
  <si>
    <t xml:space="preserve">ATT-029 to ATT-033</t>
  </si>
  <si>
    <t xml:space="preserve">Early Exit</t>
  </si>
  <si>
    <t xml:space="preserve">Early Exit valid only with Present status</t>
  </si>
  <si>
    <t xml:space="preserve">Early Exit checkbox meaningful only when Status = Present. Invalid for Absent.</t>
  </si>
  <si>
    <t xml:space="preserve">ATT-034 to ATT-038</t>
  </si>
  <si>
    <t xml:space="preserve">Combination</t>
  </si>
  <si>
    <t xml:space="preserve">Late Entry + Early Exit can combine (Present)</t>
  </si>
  <si>
    <t xml:space="preserve">Both flags can be set simultaneously only when Status = Present.</t>
  </si>
  <si>
    <t xml:space="preserve">ATT-039, ATT-040</t>
  </si>
  <si>
    <t xml:space="preserve">Attendance fields editable in draft state</t>
  </si>
  <si>
    <t xml:space="preserve">All fields can be updated before submission. Status change allowed.</t>
  </si>
  <si>
    <t xml:space="preserve">ATT-044 to ATT-049</t>
  </si>
  <si>
    <t xml:space="preserve">Standard save flow with status indicators</t>
  </si>
  <si>
    <t xml:space="preserve">ERPNext "Not Saved" / "Saved" status shown in form header.</t>
  </si>
  <si>
    <t xml:space="preserve">ATT-050 to ATT-052</t>
  </si>
  <si>
    <t xml:space="preserve">Employee + Company + Approver are core mandatory fields</t>
  </si>
  <si>
    <t xml:space="preserve">ERPNext v15: from_employee (reqd), company (reqd). Record saved as Draft. Series HR-EXP-.YYYY.- auto-assigned.</t>
  </si>
  <si>
    <t xml:space="preserve">EXP-001, EXP-002, EXP-047, EXP-048, EXP-055</t>
  </si>
  <si>
    <t xml:space="preserve">BR-EXP-02</t>
  </si>
  <si>
    <t xml:space="preserve">Department auto-fetches from Employee master</t>
  </si>
  <si>
    <t xml:space="preserve">department field: fetch_from = employee.department. Read-only after auto-fill; can be overridden.</t>
  </si>
  <si>
    <t xml:space="preserve">EXP-002, EXP-009</t>
  </si>
  <si>
    <t xml:space="preserve">Series: HR-EXP-.YYYY.- (year-based, read-only)</t>
  </si>
  <si>
    <t xml:space="preserve">naming_series default HR-EXP-.YYYY.-. Unique per record, auto-incremented. Cannot be manually edited.</t>
  </si>
  <si>
    <t xml:space="preserve">EXP-003, EXP-004, EXP-005</t>
  </si>
  <si>
    <t xml:space="preserve">from_employee: Link → Employee, mandatory</t>
  </si>
  <si>
    <t xml:space="preserve">reqd:1. Only active ERPNext v15 Employees accepted. Department and cost_center auto-fetched on select.</t>
  </si>
  <si>
    <t xml:space="preserve">EXP-006, EXP-007, EXP-008, EXP-009, EXP-047</t>
  </si>
  <si>
    <t xml:space="preserve">company: mandatory; GSTIN auto-fetched, read-only</t>
  </si>
  <si>
    <t xml:space="preserve">reqd:1. company_gstin fetch_from company.gstin. GSTIN field set as read_only:1 in v15.</t>
  </si>
  <si>
    <t xml:space="preserve">EXP-010, EXP-011, EXP-012, EXP-013, EXP-048</t>
  </si>
  <si>
    <t xml:space="preserve">Approver</t>
  </si>
  <si>
    <t xml:space="preserve">expense_approver: mandatory; must be valid HR user</t>
  </si>
  <si>
    <t xml:space="preserve">reqd:1. Link → User. Only users with Expense Approver role. Cannot approve own claim.</t>
  </si>
  <si>
    <t xml:space="preserve">EXP-014, EXP-015, EXP-016, EXP-049</t>
  </si>
  <si>
    <t xml:space="preserve">approval_status: Draft → Approved / Rejected / Returned</t>
  </si>
  <si>
    <t xml:space="preserve">Select field: Draft (default), Approved, Rejected, Returned. Only approver can change from Draft. Editing blocked once Approved.</t>
  </si>
  <si>
    <t xml:space="preserve">EXP-017, EXP-018, EXP-019, EXP-020, EXP-054</t>
  </si>
  <si>
    <t xml:space="preserve">expenses child table: expense_date, expense_type, amount are reqd</t>
  </si>
  <si>
    <t xml:space="preserve">Child table fieldname: expenses. reqd: expense_date, expense_claim_type, amount. amount must be &gt; 0. description optional.</t>
  </si>
  <si>
    <t xml:space="preserve">EXP-021 to EXP-030, EXP-033, EXP-050</t>
  </si>
  <si>
    <t xml:space="preserve">Expense Type</t>
  </si>
  <si>
    <t xml:space="preserve">expense_claim_type: Link → Expense Claim Type master</t>
  </si>
  <si>
    <t xml:space="preserve">Must exist in Expense Claim Type DocType. Controls default account and optional per-type limit.</t>
  </si>
  <si>
    <t xml:space="preserve">EXP-025, EXP-026</t>
  </si>
  <si>
    <t xml:space="preserve">Sanctioned Amount</t>
  </si>
  <si>
    <t xml:space="preserve">sanctioned_amount per row ≤ amount; auto-equals amount by default</t>
  </si>
  <si>
    <t xml:space="preserve">sanctioned_amount defaults to amount value. Validation blocks sanctioned &gt; claimed at row level.</t>
  </si>
  <si>
    <t xml:space="preserve">EXP-031, EXP-032</t>
  </si>
  <si>
    <t xml:space="preserve">Totals</t>
  </si>
  <si>
    <t xml:space="preserve">total_claimed_amount and grand_total auto-calculated</t>
  </si>
  <si>
    <t xml:space="preserve">total_claimed_amount = SUM(expenses.amount). grand_total = total_sanctioned + taxes. Both read-only calculated fields.</t>
  </si>
  <si>
    <t xml:space="preserve">EXP-033, EXP-040</t>
  </si>
  <si>
    <t xml:space="preserve">taxes child table: account_head and tax_amount required per row</t>
  </si>
  <si>
    <t xml:space="preserve">Child table fieldname: taxes. account_head (Link → Account) reqd. tax_amount reqd. Rows optional — no tax rows is valid.</t>
  </si>
  <si>
    <t xml:space="preserve">EXP-034 to EXP-040</t>
  </si>
  <si>
    <t xml:space="preserve">Accounting</t>
  </si>
  <si>
    <t xml:space="preserve">payable_account auto-set; cost_center, project, mode_of_payment optional</t>
  </si>
  <si>
    <t xml:space="preserve">payable_account fetched from Company default payable account. Can be overridden. cost_center and project for GL tagging.</t>
  </si>
  <si>
    <t xml:space="preserve">EXP-041, EXP-042, EXP-043, EXP-044, EXP-045</t>
  </si>
  <si>
    <t xml:space="preserve">Advances</t>
  </si>
  <si>
    <t xml:space="preserve">total_advance_amount reflects linked Employee Advances</t>
  </si>
  <si>
    <t xml:space="preserve">Employee Advance table on the form. total_advance_amount = SUM of linked advances. Reduces outstanding payable.</t>
  </si>
  <si>
    <t xml:space="preserve">All fields editable in Draft; locked after Approval Status = Approved</t>
  </si>
  <si>
    <t xml:space="preserve">ERPNext v15: approval_status controls editability. Draft = fully editable. Approved = read-only.</t>
  </si>
  <si>
    <t xml:space="preserve">EXP-051, EXP-052, EXP-053, EXP-054</t>
  </si>
  <si>
    <t xml:space="preserve">Submit/Cancel/Duplicate per ERPNext v15 workflow</t>
  </si>
  <si>
    <t xml:space="preserve">is_submittable:1. Submit creates JE when Approved. Cancel reverses JE. Duplicate creates new Draft copy.</t>
  </si>
  <si>
    <t xml:space="preserve">EXP-055, EXP-056, EXP-057, EXP-058, EXP-059, EXP-060</t>
  </si>
  <si>
    <t xml:space="preserve">Employee + Leave Type + Dates are core mandatory fields</t>
  </si>
  <si>
    <t xml:space="preserve">ERPNext v15: employee (reqd), leave_type (reqd), from_date (reqd), to_date (reqd). Defaults status = Open.</t>
  </si>
  <si>
    <t xml:space="preserve">LEA-001, LEA-002, LEA-049 to LEA-053, LEA-059</t>
  </si>
  <si>
    <t xml:space="preserve">BR-LEA-02</t>
  </si>
  <si>
    <t xml:space="preserve">Optional header fields: Company, Leave Approver, Reason</t>
  </si>
  <si>
    <t xml:space="preserve">company auto-populates. leave_approver mandatory in v15. description (reason) is optional.</t>
  </si>
  <si>
    <t xml:space="preserve">Series: HR-LAP-.YYYY.- (year-based, read-only)</t>
  </si>
  <si>
    <t xml:space="preserve">naming_series default HR-LAP-.YYYY.-. Unique per record, auto-incremented. Cannot be manually edited.</t>
  </si>
  <si>
    <t xml:space="preserve">LEA-003, LEA-004, LEA-005</t>
  </si>
  <si>
    <t xml:space="preserve">employee: Link → Employee, mandatory</t>
  </si>
  <si>
    <t xml:space="preserve">reqd:1. Only active Employees. Company and department auto-fetched on selection.</t>
  </si>
  <si>
    <t xml:space="preserve">LEA-006, LEA-007, LEA-008, LEA-049</t>
  </si>
  <si>
    <t xml:space="preserve">Leave Type</t>
  </si>
  <si>
    <t xml:space="preserve">leave_type: Link → Leave Type, mandatory</t>
  </si>
  <si>
    <t xml:space="preserve">reqd:1. Must exist in Leave Type master. Controls balance pool, LWP, allow_negative settings.</t>
  </si>
  <si>
    <t xml:space="preserve">LEA-009, LEA-010, LEA-011, LEA-050</t>
  </si>
  <si>
    <t xml:space="preserve">Leave balance checked on save; deducted on Approve; restored on Cancel</t>
  </si>
  <si>
    <t xml:space="preserve">total_leave_days checked against available allocation. balance_leaves displayed. Insufficient balance blocks submit (unless allow_negative_balance).</t>
  </si>
  <si>
    <t xml:space="preserve">LEA-012, LEA-039 to LEA-043</t>
  </si>
  <si>
    <t xml:space="preserve">company: mandatory; auto-fetched from Employee master</t>
  </si>
  <si>
    <t xml:space="preserve">reqd:1. fetch_from = employee.company. Determines holiday list for day calculation.</t>
  </si>
  <si>
    <t xml:space="preserve">LEA-013, LEA-014, LEA-015</t>
  </si>
  <si>
    <t xml:space="preserve">from_date and to_date: mandatory; from_date ≤ to_date</t>
  </si>
  <si>
    <t xml:space="preserve">reqd:1 on both. Validation: from_date cannot be after to_date. Past dates controlled by Leave Type settings in v15.</t>
  </si>
  <si>
    <t xml:space="preserve">LEA-016 to LEA-021, LEA-051 to LEA-053</t>
  </si>
  <si>
    <t xml:space="preserve">Duration</t>
  </si>
  <si>
    <t xml:space="preserve">total_leave_days auto-calculated; excludes holidays and weekly offs</t>
  </si>
  <si>
    <t xml:space="preserve">total_leave_days = working days between from_date and to_date per Holiday List. Half Day = 0.5.</t>
  </si>
  <si>
    <t xml:space="preserve">LEA-022, LEA-028</t>
  </si>
  <si>
    <t xml:space="preserve">Half Day</t>
  </si>
  <si>
    <t xml:space="preserve">half_day: Check field; valid only when from_date = to_date</t>
  </si>
  <si>
    <t xml:space="preserve">half_day = 1 sets total_leave_days = 0.5. ERPNext v15 blocks half_day when from_date ≠ to_date. Also requires half_day_date.</t>
  </si>
  <si>
    <t xml:space="preserve">LEA-023, LEA-024, LEA-025, LEA-026, LEA-027</t>
  </si>
  <si>
    <t xml:space="preserve">description (Reason): optional free-text field</t>
  </si>
  <si>
    <t xml:space="preserve">No format restriction. Accepts any text including special characters. Not required for save or submit.</t>
  </si>
  <si>
    <t xml:space="preserve">LEA-029, LEA-030, LEA-031</t>
  </si>
  <si>
    <t xml:space="preserve">leave_approver: mandatory; must hold approval authority</t>
  </si>
  <si>
    <t xml:space="preserve">reqd:1 in v15. Link → User. Approver must be assigned in Employee master or Leave Approver list. Cannot self-approve.</t>
  </si>
  <si>
    <t xml:space="preserve">LEA-032, LEA-033, LEA-034, LEA-035, LEA-048</t>
  </si>
  <si>
    <t xml:space="preserve">posting_date: auto-set to today; read-only in v15</t>
  </si>
  <si>
    <t xml:space="preserve">Defaults to current date on form open. Set as read_only:1 in ERPNext v15 — cannot be manually changed.</t>
  </si>
  <si>
    <t xml:space="preserve">LEA-036, LEA-037, LEA-038</t>
  </si>
  <si>
    <t xml:space="preserve">status: Open → Approved / Rejected / Cancelled</t>
  </si>
  <si>
    <t xml:space="preserve">Select: Open (default), Approved, Rejected, Cancelled. is_submittable:1. Approved status locks all fields.</t>
  </si>
  <si>
    <t xml:space="preserve">LEA-044, LEA-045, LEA-046, LEA-047, LEA-048, LEA-058</t>
  </si>
  <si>
    <t xml:space="preserve">All fields editable in Open/Draft; locked after Approved</t>
  </si>
  <si>
    <t xml:space="preserve">Open = fully editable. Approved = read-only. total_leave_days recalculates when dates or half_day changes.</t>
  </si>
  <si>
    <t xml:space="preserve">LEA-054, LEA-055, LEA-056, LEA-057, LEA-058</t>
  </si>
  <si>
    <t xml:space="preserve">Submit/Cancel/Duplicate/Delete per ERPNext v15</t>
  </si>
  <si>
    <t xml:space="preserve">Submit changes status per workflow. Cancel restores balance and attendance. Delete only on Open draft. Duplicate creates new copy.</t>
  </si>
  <si>
    <t xml:space="preserve">LEA-059, LEA-060, LEA-061, LEA-062, LEA-063, LEA-064, LEA-065</t>
  </si>
  <si>
    <t xml:space="preserve">Customer and Service Type are mandatory</t>
  </si>
  <si>
    <t xml:space="preserve">customer (Link → AMC Customers, reqd:1) and service_type are the minimum required fields. Save blocked without them.</t>
  </si>
  <si>
    <t xml:space="preserve">SC-001, SC-002, SC-039</t>
  </si>
  <si>
    <t xml:space="preserve">BR-SC-02</t>
  </si>
  <si>
    <t xml:space="preserve">Title, Description, Priority are optional header fields</t>
  </si>
  <si>
    <t xml:space="preserve">title (Data), description (Text Area), and priority (Select) enhance the record but are not required for save.</t>
  </si>
  <si>
    <t xml:space="preserve">Customer Validation</t>
  </si>
  <si>
    <t xml:space="preserve">Customer must be a valid AMC Customer; branch auto-populates</t>
  </si>
  <si>
    <t xml:space="preserve">Link field to AMC Customers DocType. Invalid entries rejected. Branch Locations child table populates based on selected customer.</t>
  </si>
  <si>
    <t xml:space="preserve">SC-004, SC-005, SC-006, SC-007</t>
  </si>
  <si>
    <t xml:space="preserve">Location</t>
  </si>
  <si>
    <t xml:space="preserve">Branch filtered by customer; Contact Person filtered by branch</t>
  </si>
  <si>
    <t xml:space="preserve">branch link_filters: Customer Branch.customer = doc.customer. contact_person further filtered by selected branch.</t>
  </si>
  <si>
    <t xml:space="preserve">SC-008, SC-009</t>
  </si>
  <si>
    <t xml:space="preserve">Technician</t>
  </si>
  <si>
    <t xml:space="preserve">Technician assignment is optional but must be unique per Service Call</t>
  </si>
  <si>
    <t xml:space="preserve">technician (Link → Employee with Technician role). Optional at creation. Duplicate assignment (same tech on same SC) blocked.</t>
  </si>
  <si>
    <t xml:space="preserve">SC-010, SC-011, SC-012, SC-013, SC-044</t>
  </si>
  <si>
    <t xml:space="preserve">Priority: High / Medium / Low (Select field)</t>
  </si>
  <si>
    <t xml:space="preserve">priority Select field with options: High, Medium, Low. Controls SLA tracking and escalation rules.</t>
  </si>
  <si>
    <t xml:space="preserve">SC-014, SC-015</t>
  </si>
  <si>
    <t xml:space="preserve">Status Workflow</t>
  </si>
  <si>
    <t xml:space="preserve">Status: Draft → Assigned → In Progress → Completed; invalid transitions blocked</t>
  </si>
  <si>
    <t xml:space="preserve">Workflow states: Draft, Assigned, In Progress, Completed, Cancelled. Transitions validated — skipping states rejected. Completed/Cancelled restrict edits.</t>
  </si>
  <si>
    <t xml:space="preserve">SC-016, SC-017, SC-018, SC-047</t>
  </si>
  <si>
    <t xml:space="preserve">Service Items</t>
  </si>
  <si>
    <t xml:space="preserve">service_items child table: Item, Qty required per row; stock checked</t>
  </si>
  <si>
    <t xml:space="preserve">Child table with item (Link → Item), qty (mandatory, &gt; 0), rate, amount. Out-of-stock item flags warning. Row operations: add, edit, delete.</t>
  </si>
  <si>
    <t xml:space="preserve">SC-003, SC-023, SC-024, SC-025, SC-026, SC-027</t>
  </si>
  <si>
    <t xml:space="preserve">service_date is mandatory; past dates rejected; start/end time tracked</t>
  </si>
  <si>
    <t xml:space="preserve">service_date (reqd:1). Past dates blocked by validation. service_start_time and service_end_time recorded for duration calculation.</t>
  </si>
  <si>
    <t xml:space="preserve">SC-019, SC-020, SC-021, SC-022</t>
  </si>
  <si>
    <t xml:space="preserve">Billing</t>
  </si>
  <si>
    <t xml:space="preserve">total_cost auto-calculated; discount and charges adjust total; billable flag controls invoicing</t>
  </si>
  <si>
    <t xml:space="preserve">total_cost = SUM(service_items.amount) + additional_charges - discount. is_billable checkbox determines if SC can generate a Sales Invoice.</t>
  </si>
  <si>
    <t xml:space="preserve">SC-028, SC-029, SC-030, SC-031</t>
  </si>
  <si>
    <t xml:space="preserve">Warranty status and SLA response time tracked per Service Call</t>
  </si>
  <si>
    <t xml:space="preserve">under_warranty (Check) flag set based on Customer warranty records. sla_response_time tracked from creation timestamp. Overdue SLA flagged.</t>
  </si>
  <si>
    <t xml:space="preserve">SC-032, SC-033, SC-034</t>
  </si>
  <si>
    <t xml:space="preserve">Attachments, internal notes, and customer remarks supported</t>
  </si>
  <si>
    <t xml:space="preserve">Standard Frappe file attachments per record. internal_notes (Text, not visible to customer). customer_remarks (Text, customer-visible).</t>
  </si>
  <si>
    <t xml:space="preserve">SC-035, SC-036, SC-037, SC-038</t>
  </si>
  <si>
    <t xml:space="preserve">Email and phone formats validated on contact fields</t>
  </si>
  <si>
    <t xml:space="preserve">contact email field: format validation (must contain @). contact_phone: numeric format with length check. Both reject invalid formats.</t>
  </si>
  <si>
    <t xml:space="preserve">SC-040, SC-041</t>
  </si>
  <si>
    <t xml:space="preserve">Editable in Draft/Assigned; restricted after In Progress or Completed</t>
  </si>
  <si>
    <t xml:space="preserve">Draft and Assigned status allow full edits. In Progress restricts key fields. Completed/Cancelled makes record fully read-only.</t>
  </si>
  <si>
    <t xml:space="preserve">SC-042, SC-043</t>
  </si>
  <si>
    <t xml:space="preserve">Duplicate creates new Draft copy; Delete permitted on Draft status only</t>
  </si>
  <si>
    <t xml:space="preserve">Duplicate: creates new SC in Draft with same header and items. Delete: only permitted when status = Draft. Submitted/Completed records require Cancel first.</t>
  </si>
  <si>
    <t xml:space="preserve">SC-045, SC-046</t>
  </si>
  <si>
    <t xml:space="preserve">Role-based access: Technician (own), Customer (own), Manager (all)</t>
  </si>
  <si>
    <t xml:space="preserve">Technician role: list view filtered to assigned SCs only. Customer portal: own SCs only. Service Manager: full access including approve/reject.</t>
  </si>
  <si>
    <t xml:space="preserve">SC-048, SC-049, SC-050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</si>
</sst>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2471A3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1A5E6A"/>
      <name val="Arial"/>
      <family val="0"/>
      <charset val="1"/>
    </font>
    <font>
      <b val="true"/>
      <sz val="22"/>
      <color rgb="FF666666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22"/>
      <color rgb="FFC0392B"/>
      <name val="Arial"/>
      <family val="0"/>
      <charset val="1"/>
    </font>
    <font>
      <b val="true"/>
      <sz val="22"/>
      <color rgb="FFE67E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A5E6A"/>
      <name val="Arial"/>
      <family val="0"/>
      <charset val="1"/>
    </font>
    <font>
      <b val="true"/>
      <sz val="10"/>
      <color rgb="FF1A5E6A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5E6A"/>
        <bgColor rgb="FF237080"/>
      </patternFill>
    </fill>
    <fill>
      <patternFill patternType="solid">
        <fgColor rgb="FFE3F4F7"/>
        <bgColor rgb="FFE8F7F8"/>
      </patternFill>
    </fill>
    <fill>
      <patternFill patternType="solid">
        <fgColor rgb="FF237080"/>
        <bgColor rgb="FF2471A3"/>
      </patternFill>
    </fill>
    <fill>
      <patternFill patternType="solid">
        <fgColor rgb="FFFFFFFF"/>
        <bgColor rgb="FFF0FAFB"/>
      </patternFill>
    </fill>
    <fill>
      <patternFill patternType="solid">
        <fgColor rgb="FFF0FAFB"/>
        <bgColor rgb="FFEFF9F0"/>
      </patternFill>
    </fill>
    <fill>
      <patternFill patternType="solid">
        <fgColor rgb="FFFADBD8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rgb="FFF5F5F5"/>
        <bgColor rgb="FFEFF9F0"/>
      </patternFill>
    </fill>
    <fill>
      <patternFill patternType="solid">
        <fgColor rgb="FFFEF5E7"/>
        <bgColor rgb="FFFFF4E6"/>
      </patternFill>
    </fill>
    <fill>
      <patternFill patternType="solid">
        <fgColor rgb="FFD6EAF8"/>
        <bgColor rgb="FFD6EEF8"/>
      </patternFill>
    </fill>
    <fill>
      <patternFill patternType="solid">
        <fgColor rgb="FFE8F7F8"/>
        <bgColor rgb="FFEBF5FB"/>
      </patternFill>
    </fill>
    <fill>
      <patternFill patternType="solid">
        <fgColor rgb="FFFFF0F5"/>
        <bgColor rgb="FFFFF4E6"/>
      </patternFill>
    </fill>
    <fill>
      <patternFill patternType="solid">
        <fgColor rgb="FFEFF9F0"/>
        <bgColor rgb="FFF0FAFB"/>
      </patternFill>
    </fill>
    <fill>
      <patternFill patternType="solid">
        <fgColor rgb="FFFFF4E6"/>
        <bgColor rgb="FFFEF5E7"/>
      </patternFill>
    </fill>
    <fill>
      <patternFill patternType="solid">
        <fgColor rgb="FFEBF5FB"/>
        <bgColor rgb="FFE8F7F8"/>
      </patternFill>
    </fill>
    <fill>
      <patternFill patternType="solid">
        <fgColor rgb="FFD6EEF8"/>
        <bgColor rgb="FFD6EAF8"/>
      </patternFill>
    </fill>
    <fill>
      <patternFill patternType="solid">
        <fgColor rgb="FFD5F5E3"/>
        <bgColor rgb="FFD6EEF8"/>
      </patternFill>
    </fill>
    <fill>
      <patternFill patternType="solid">
        <fgColor rgb="FF888888"/>
        <bgColor rgb="FF999999"/>
      </patternFill>
    </fill>
    <fill>
      <patternFill patternType="solid">
        <fgColor rgb="FF27AE60"/>
        <bgColor rgb="FF33CCCC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237080"/>
      </left>
      <right style="thin">
        <color rgb="FF237080"/>
      </right>
      <top style="thin">
        <color rgb="FF237080"/>
      </top>
      <bottom style="thin">
        <color rgb="FF23708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5E6A"/>
      </left>
      <right style="medium">
        <color rgb="FF1A5E6A"/>
      </right>
      <top style="medium">
        <color rgb="FF1A5E6A"/>
      </top>
      <bottom style="medium">
        <color rgb="FF1A5E6A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 diagonalUp="false" diagonalDown="false"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 diagonalUp="false" diagonalDown="false"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27AE60"/>
        <sz val="1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10"/>
      </font>
      <fill>
        <patternFill>
          <bgColor rgb="FFFEF5E7"/>
        </patternFill>
      </fill>
    </dxf>
    <dxf>
      <font>
        <name val="Arial"/>
        <charset val="1"/>
        <family val="0"/>
        <b val="1"/>
        <color rgb="FF555555"/>
        <sz val="10"/>
      </font>
      <fill>
        <patternFill>
          <bgColor rgb="FFF0F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FF9F0"/>
      <rgbColor rgb="FFFF00FF"/>
      <rgbColor rgb="FF00FFFF"/>
      <rgbColor rgb="FF800000"/>
      <rgbColor rgb="FF008000"/>
      <rgbColor rgb="FF000080"/>
      <rgbColor rgb="FF808000"/>
      <rgbColor rgb="FF800080"/>
      <rgbColor rgb="FF237080"/>
      <rgbColor rgb="FFCCCCCC"/>
      <rgbColor rgb="FF888888"/>
      <rgbColor rgb="FFEBF5FB"/>
      <rgbColor rgb="FF993366"/>
      <rgbColor rgb="FFFEF5E7"/>
      <rgbColor rgb="FFD6EEF8"/>
      <rgbColor rgb="FF660066"/>
      <rgbColor rgb="FFFF8080"/>
      <rgbColor rgb="FF2471A3"/>
      <rgbColor rgb="FFD6EAF8"/>
      <rgbColor rgb="FF000080"/>
      <rgbColor rgb="FFFF00FF"/>
      <rgbColor rgb="FFF5F5F5"/>
      <rgbColor rgb="FF00FFFF"/>
      <rgbColor rgb="FF800080"/>
      <rgbColor rgb="FF800000"/>
      <rgbColor rgb="FF1A5E6A"/>
      <rgbColor rgb="FF0000FF"/>
      <rgbColor rgb="FF00CCFF"/>
      <rgbColor rgb="FFE3F4F7"/>
      <rgbColor rgb="FFD5F5E3"/>
      <rgbColor rgb="FFFFF4E6"/>
      <rgbColor rgb="FFE8F7F8"/>
      <rgbColor rgb="FFFFF0F5"/>
      <rgbColor rgb="FFF0F0F0"/>
      <rgbColor rgb="FFFADBD8"/>
      <rgbColor rgb="FF3366FF"/>
      <rgbColor rgb="FF33CCCC"/>
      <rgbColor rgb="FF99CC00"/>
      <rgbColor rgb="FFF0FAFB"/>
      <rgbColor rgb="FFFF9900"/>
      <rgbColor rgb="FFE67E22"/>
      <rgbColor rgb="FF666666"/>
      <rgbColor rgb="FF999999"/>
      <rgbColor rgb="FF003366"/>
      <rgbColor rgb="FF27AE60"/>
      <rgbColor rgb="FF003300"/>
      <rgbColor rgb="FF333300"/>
      <rgbColor rgb="FFC0392B"/>
      <rgbColor rgb="FF993366"/>
      <rgbColor rgb="FF555555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28"/>
    <col collapsed="false" customWidth="true" hidden="false" outlineLevel="0" max="11" min="11" style="0" width="13"/>
    <col collapsed="false" customWidth="true" hidden="false" outlineLevel="0" max="12" min="12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8" hidden="false" customHeight="true" outlineLevel="0" collapsed="false">
      <c r="A5" s="4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9.5" hidden="false" customHeight="true" outlineLevel="0" collapsed="false">
      <c r="A6" s="5" t="s">
        <v>15</v>
      </c>
      <c r="B6" s="6" t="s">
        <v>16</v>
      </c>
      <c r="C6" s="7" t="s">
        <v>17</v>
      </c>
      <c r="D6" s="7" t="s">
        <v>18</v>
      </c>
      <c r="E6" s="8" t="s">
        <v>19</v>
      </c>
      <c r="F6" s="9" t="s">
        <v>20</v>
      </c>
      <c r="G6" s="10" t="s">
        <v>21</v>
      </c>
      <c r="H6" s="7"/>
      <c r="I6" s="7"/>
      <c r="J6" s="7"/>
      <c r="K6" s="7"/>
      <c r="L6" s="7"/>
    </row>
    <row r="7" customFormat="false" ht="19.5" hidden="false" customHeight="true" outlineLevel="0" collapsed="false">
      <c r="A7" s="11" t="s">
        <v>22</v>
      </c>
      <c r="B7" s="6" t="s">
        <v>16</v>
      </c>
      <c r="C7" s="12" t="s">
        <v>17</v>
      </c>
      <c r="D7" s="12" t="s">
        <v>23</v>
      </c>
      <c r="E7" s="8" t="s">
        <v>19</v>
      </c>
      <c r="F7" s="13" t="s">
        <v>24</v>
      </c>
      <c r="G7" s="10" t="s">
        <v>21</v>
      </c>
      <c r="H7" s="12"/>
      <c r="I7" s="12"/>
      <c r="J7" s="12"/>
      <c r="K7" s="12"/>
      <c r="L7" s="12"/>
    </row>
    <row r="8" customFormat="false" ht="19.5" hidden="false" customHeight="true" outlineLevel="0" collapsed="false">
      <c r="A8" s="5" t="s">
        <v>25</v>
      </c>
      <c r="B8" s="6" t="s">
        <v>16</v>
      </c>
      <c r="C8" s="7" t="s">
        <v>17</v>
      </c>
      <c r="D8" s="7" t="s">
        <v>26</v>
      </c>
      <c r="E8" s="14" t="s">
        <v>27</v>
      </c>
      <c r="F8" s="9" t="s">
        <v>28</v>
      </c>
      <c r="G8" s="10" t="s">
        <v>21</v>
      </c>
      <c r="H8" s="7"/>
      <c r="I8" s="7"/>
      <c r="J8" s="7"/>
      <c r="K8" s="7"/>
      <c r="L8" s="7"/>
    </row>
    <row r="9" customFormat="false" ht="19.5" hidden="false" customHeight="true" outlineLevel="0" collapsed="false">
      <c r="A9" s="11" t="s">
        <v>29</v>
      </c>
      <c r="B9" s="6" t="s">
        <v>16</v>
      </c>
      <c r="C9" s="12" t="s">
        <v>17</v>
      </c>
      <c r="D9" s="12" t="s">
        <v>30</v>
      </c>
      <c r="E9" s="14" t="s">
        <v>27</v>
      </c>
      <c r="F9" s="13" t="s">
        <v>28</v>
      </c>
      <c r="G9" s="10" t="s">
        <v>21</v>
      </c>
      <c r="H9" s="12"/>
      <c r="I9" s="12"/>
      <c r="J9" s="12"/>
      <c r="K9" s="12"/>
      <c r="L9" s="12"/>
    </row>
    <row r="10" customFormat="false" ht="19.5" hidden="false" customHeight="true" outlineLevel="0" collapsed="false">
      <c r="A10" s="5" t="s">
        <v>31</v>
      </c>
      <c r="B10" s="6" t="s">
        <v>16</v>
      </c>
      <c r="C10" s="7" t="s">
        <v>32</v>
      </c>
      <c r="D10" s="7" t="s">
        <v>33</v>
      </c>
      <c r="E10" s="8" t="s">
        <v>19</v>
      </c>
      <c r="F10" s="9" t="s">
        <v>34</v>
      </c>
      <c r="G10" s="10" t="s">
        <v>21</v>
      </c>
      <c r="H10" s="7"/>
      <c r="I10" s="7"/>
      <c r="J10" s="7"/>
      <c r="K10" s="7"/>
      <c r="L10" s="7"/>
    </row>
    <row r="11" customFormat="false" ht="19.5" hidden="false" customHeight="true" outlineLevel="0" collapsed="false">
      <c r="A11" s="11" t="s">
        <v>35</v>
      </c>
      <c r="B11" s="6" t="s">
        <v>16</v>
      </c>
      <c r="C11" s="12" t="s">
        <v>32</v>
      </c>
      <c r="D11" s="12" t="s">
        <v>36</v>
      </c>
      <c r="E11" s="8" t="s">
        <v>19</v>
      </c>
      <c r="F11" s="13" t="s">
        <v>34</v>
      </c>
      <c r="G11" s="10" t="s">
        <v>21</v>
      </c>
      <c r="H11" s="12"/>
      <c r="I11" s="12"/>
      <c r="J11" s="12"/>
      <c r="K11" s="12"/>
      <c r="L11" s="12"/>
    </row>
    <row r="12" customFormat="false" ht="19.5" hidden="false" customHeight="true" outlineLevel="0" collapsed="false">
      <c r="A12" s="5" t="s">
        <v>37</v>
      </c>
      <c r="B12" s="6" t="s">
        <v>16</v>
      </c>
      <c r="C12" s="7" t="s">
        <v>32</v>
      </c>
      <c r="D12" s="7" t="s">
        <v>38</v>
      </c>
      <c r="E12" s="8" t="s">
        <v>19</v>
      </c>
      <c r="F12" s="9" t="s">
        <v>39</v>
      </c>
      <c r="G12" s="10" t="s">
        <v>21</v>
      </c>
      <c r="H12" s="7"/>
      <c r="I12" s="7"/>
      <c r="J12" s="7"/>
      <c r="K12" s="7"/>
      <c r="L12" s="7"/>
    </row>
    <row r="13" customFormat="false" ht="19.5" hidden="false" customHeight="true" outlineLevel="0" collapsed="false">
      <c r="A13" s="11" t="s">
        <v>40</v>
      </c>
      <c r="B13" s="6" t="s">
        <v>16</v>
      </c>
      <c r="C13" s="12" t="s">
        <v>32</v>
      </c>
      <c r="D13" s="12" t="s">
        <v>41</v>
      </c>
      <c r="E13" s="14" t="s">
        <v>27</v>
      </c>
      <c r="F13" s="13" t="s">
        <v>34</v>
      </c>
      <c r="G13" s="10" t="s">
        <v>21</v>
      </c>
      <c r="H13" s="12"/>
      <c r="I13" s="12"/>
      <c r="J13" s="12"/>
      <c r="K13" s="12"/>
      <c r="L13" s="12"/>
    </row>
    <row r="14" customFormat="false" ht="19.5" hidden="false" customHeight="true" outlineLevel="0" collapsed="false">
      <c r="A14" s="5" t="s">
        <v>42</v>
      </c>
      <c r="B14" s="6" t="s">
        <v>16</v>
      </c>
      <c r="C14" s="7" t="s">
        <v>32</v>
      </c>
      <c r="D14" s="7" t="s">
        <v>43</v>
      </c>
      <c r="E14" s="14" t="s">
        <v>27</v>
      </c>
      <c r="F14" s="9" t="s">
        <v>44</v>
      </c>
      <c r="G14" s="10" t="s">
        <v>21</v>
      </c>
      <c r="H14" s="7"/>
      <c r="I14" s="7"/>
      <c r="J14" s="7"/>
      <c r="K14" s="7"/>
      <c r="L14" s="7"/>
    </row>
    <row r="15" customFormat="false" ht="19.5" hidden="false" customHeight="true" outlineLevel="0" collapsed="false">
      <c r="A15" s="11" t="s">
        <v>45</v>
      </c>
      <c r="B15" s="6" t="s">
        <v>16</v>
      </c>
      <c r="C15" s="12" t="s">
        <v>46</v>
      </c>
      <c r="D15" s="12" t="s">
        <v>47</v>
      </c>
      <c r="E15" s="8" t="s">
        <v>19</v>
      </c>
      <c r="F15" s="13" t="s">
        <v>48</v>
      </c>
      <c r="G15" s="10" t="s">
        <v>21</v>
      </c>
      <c r="H15" s="12"/>
      <c r="I15" s="12"/>
      <c r="J15" s="12"/>
      <c r="K15" s="12"/>
      <c r="L15" s="12"/>
    </row>
    <row r="16" customFormat="false" ht="19.5" hidden="false" customHeight="true" outlineLevel="0" collapsed="false">
      <c r="A16" s="5" t="s">
        <v>49</v>
      </c>
      <c r="B16" s="6" t="s">
        <v>16</v>
      </c>
      <c r="C16" s="7" t="s">
        <v>46</v>
      </c>
      <c r="D16" s="7" t="s">
        <v>50</v>
      </c>
      <c r="E16" s="14" t="s">
        <v>27</v>
      </c>
      <c r="F16" s="9" t="s">
        <v>48</v>
      </c>
      <c r="G16" s="10" t="s">
        <v>21</v>
      </c>
      <c r="H16" s="7"/>
      <c r="I16" s="7"/>
      <c r="J16" s="7"/>
      <c r="K16" s="7"/>
      <c r="L16" s="7"/>
    </row>
    <row r="17" customFormat="false" ht="19.5" hidden="false" customHeight="true" outlineLevel="0" collapsed="false">
      <c r="A17" s="11" t="s">
        <v>51</v>
      </c>
      <c r="B17" s="6" t="s">
        <v>16</v>
      </c>
      <c r="C17" s="12" t="s">
        <v>46</v>
      </c>
      <c r="D17" s="12" t="s">
        <v>52</v>
      </c>
      <c r="E17" s="15" t="s">
        <v>53</v>
      </c>
      <c r="F17" s="13" t="s">
        <v>48</v>
      </c>
      <c r="G17" s="10" t="s">
        <v>21</v>
      </c>
      <c r="H17" s="12"/>
      <c r="I17" s="12"/>
      <c r="J17" s="12"/>
      <c r="K17" s="12"/>
      <c r="L17" s="12"/>
    </row>
    <row r="18" customFormat="false" ht="19.5" hidden="false" customHeight="true" outlineLevel="0" collapsed="false">
      <c r="A18" s="5" t="s">
        <v>54</v>
      </c>
      <c r="B18" s="6" t="s">
        <v>16</v>
      </c>
      <c r="C18" s="7" t="s">
        <v>46</v>
      </c>
      <c r="D18" s="7" t="s">
        <v>55</v>
      </c>
      <c r="E18" s="14" t="s">
        <v>27</v>
      </c>
      <c r="F18" s="9" t="s">
        <v>56</v>
      </c>
      <c r="G18" s="10" t="s">
        <v>21</v>
      </c>
      <c r="H18" s="7"/>
      <c r="I18" s="7"/>
      <c r="J18" s="7"/>
      <c r="K18" s="7"/>
      <c r="L18" s="7"/>
    </row>
    <row r="19" customFormat="false" ht="19.5" hidden="false" customHeight="true" outlineLevel="0" collapsed="false">
      <c r="A19" s="11" t="s">
        <v>57</v>
      </c>
      <c r="B19" s="6" t="s">
        <v>16</v>
      </c>
      <c r="C19" s="12" t="s">
        <v>58</v>
      </c>
      <c r="D19" s="12" t="s">
        <v>59</v>
      </c>
      <c r="E19" s="8" t="s">
        <v>19</v>
      </c>
      <c r="F19" s="13" t="s">
        <v>60</v>
      </c>
      <c r="G19" s="10" t="s">
        <v>21</v>
      </c>
      <c r="H19" s="12"/>
      <c r="I19" s="12"/>
      <c r="J19" s="12"/>
      <c r="K19" s="12"/>
      <c r="L19" s="12"/>
    </row>
    <row r="20" customFormat="false" ht="19.5" hidden="false" customHeight="true" outlineLevel="0" collapsed="false">
      <c r="A20" s="5" t="s">
        <v>61</v>
      </c>
      <c r="B20" s="6" t="s">
        <v>16</v>
      </c>
      <c r="C20" s="7" t="s">
        <v>58</v>
      </c>
      <c r="D20" s="7" t="s">
        <v>62</v>
      </c>
      <c r="E20" s="14" t="s">
        <v>27</v>
      </c>
      <c r="F20" s="9" t="s">
        <v>63</v>
      </c>
      <c r="G20" s="10" t="s">
        <v>21</v>
      </c>
      <c r="H20" s="7"/>
      <c r="I20" s="7"/>
      <c r="J20" s="7"/>
      <c r="K20" s="7"/>
      <c r="L20" s="7"/>
    </row>
    <row r="21" customFormat="false" ht="19.5" hidden="false" customHeight="true" outlineLevel="0" collapsed="false">
      <c r="A21" s="11" t="s">
        <v>64</v>
      </c>
      <c r="B21" s="6" t="s">
        <v>16</v>
      </c>
      <c r="C21" s="12" t="s">
        <v>58</v>
      </c>
      <c r="D21" s="12" t="s">
        <v>65</v>
      </c>
      <c r="E21" s="14" t="s">
        <v>27</v>
      </c>
      <c r="F21" s="13" t="s">
        <v>66</v>
      </c>
      <c r="G21" s="10" t="s">
        <v>21</v>
      </c>
      <c r="H21" s="12"/>
      <c r="I21" s="12"/>
      <c r="J21" s="12"/>
      <c r="K21" s="12"/>
      <c r="L21" s="12"/>
    </row>
    <row r="22" customFormat="false" ht="19.5" hidden="false" customHeight="true" outlineLevel="0" collapsed="false">
      <c r="A22" s="5" t="s">
        <v>67</v>
      </c>
      <c r="B22" s="6" t="s">
        <v>16</v>
      </c>
      <c r="C22" s="7" t="s">
        <v>58</v>
      </c>
      <c r="D22" s="7" t="s">
        <v>68</v>
      </c>
      <c r="E22" s="15" t="s">
        <v>53</v>
      </c>
      <c r="F22" s="9" t="s">
        <v>69</v>
      </c>
      <c r="G22" s="10" t="s">
        <v>21</v>
      </c>
      <c r="H22" s="7"/>
      <c r="I22" s="7"/>
      <c r="J22" s="7"/>
      <c r="K22" s="7"/>
      <c r="L22" s="7"/>
    </row>
    <row r="23" customFormat="false" ht="19.5" hidden="false" customHeight="true" outlineLevel="0" collapsed="false">
      <c r="A23" s="11" t="s">
        <v>70</v>
      </c>
      <c r="B23" s="6" t="s">
        <v>16</v>
      </c>
      <c r="C23" s="12" t="s">
        <v>71</v>
      </c>
      <c r="D23" s="12" t="s">
        <v>72</v>
      </c>
      <c r="E23" s="14" t="s">
        <v>27</v>
      </c>
      <c r="F23" s="13" t="s">
        <v>73</v>
      </c>
      <c r="G23" s="10" t="s">
        <v>21</v>
      </c>
      <c r="H23" s="12"/>
      <c r="I23" s="12"/>
      <c r="J23" s="12"/>
      <c r="K23" s="12"/>
      <c r="L23" s="12"/>
    </row>
    <row r="24" customFormat="false" ht="19.5" hidden="false" customHeight="true" outlineLevel="0" collapsed="false">
      <c r="A24" s="5" t="s">
        <v>74</v>
      </c>
      <c r="B24" s="6" t="s">
        <v>16</v>
      </c>
      <c r="C24" s="7" t="s">
        <v>71</v>
      </c>
      <c r="D24" s="7" t="s">
        <v>75</v>
      </c>
      <c r="E24" s="15" t="s">
        <v>53</v>
      </c>
      <c r="F24" s="9" t="s">
        <v>73</v>
      </c>
      <c r="G24" s="10" t="s">
        <v>21</v>
      </c>
      <c r="H24" s="7"/>
      <c r="I24" s="7"/>
      <c r="J24" s="7"/>
      <c r="K24" s="7"/>
      <c r="L24" s="7"/>
    </row>
    <row r="25" customFormat="false" ht="19.5" hidden="false" customHeight="true" outlineLevel="0" collapsed="false">
      <c r="A25" s="11" t="s">
        <v>76</v>
      </c>
      <c r="B25" s="6" t="s">
        <v>16</v>
      </c>
      <c r="C25" s="12" t="s">
        <v>77</v>
      </c>
      <c r="D25" s="12" t="s">
        <v>78</v>
      </c>
      <c r="E25" s="8" t="s">
        <v>19</v>
      </c>
      <c r="F25" s="13" t="s">
        <v>79</v>
      </c>
      <c r="G25" s="10" t="s">
        <v>21</v>
      </c>
      <c r="H25" s="12"/>
      <c r="I25" s="12"/>
      <c r="J25" s="12"/>
      <c r="K25" s="12"/>
      <c r="L25" s="12"/>
    </row>
    <row r="26" customFormat="false" ht="19.5" hidden="false" customHeight="true" outlineLevel="0" collapsed="false">
      <c r="A26" s="5" t="s">
        <v>80</v>
      </c>
      <c r="B26" s="6" t="s">
        <v>16</v>
      </c>
      <c r="C26" s="7" t="s">
        <v>81</v>
      </c>
      <c r="D26" s="7" t="s">
        <v>82</v>
      </c>
      <c r="E26" s="14" t="s">
        <v>27</v>
      </c>
      <c r="F26" s="9" t="s">
        <v>83</v>
      </c>
      <c r="G26" s="10" t="s">
        <v>21</v>
      </c>
      <c r="H26" s="7"/>
      <c r="I26" s="7"/>
      <c r="J26" s="7"/>
      <c r="K26" s="7"/>
      <c r="L26" s="7"/>
    </row>
    <row r="27" customFormat="false" ht="18" hidden="false" customHeight="true" outlineLevel="0" collapsed="false">
      <c r="A27" s="4" t="s">
        <v>84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9.5" hidden="false" customHeight="true" outlineLevel="0" collapsed="false">
      <c r="A28" s="5" t="s">
        <v>85</v>
      </c>
      <c r="B28" s="16" t="s">
        <v>86</v>
      </c>
      <c r="C28" s="7" t="s">
        <v>87</v>
      </c>
      <c r="D28" s="7" t="s">
        <v>88</v>
      </c>
      <c r="E28" s="8" t="s">
        <v>19</v>
      </c>
      <c r="F28" s="9" t="s">
        <v>89</v>
      </c>
      <c r="G28" s="10" t="s">
        <v>21</v>
      </c>
      <c r="H28" s="7"/>
      <c r="I28" s="7"/>
      <c r="J28" s="7"/>
      <c r="K28" s="7"/>
      <c r="L28" s="7"/>
    </row>
    <row r="29" customFormat="false" ht="19.5" hidden="false" customHeight="true" outlineLevel="0" collapsed="false">
      <c r="A29" s="11" t="s">
        <v>90</v>
      </c>
      <c r="B29" s="16" t="s">
        <v>86</v>
      </c>
      <c r="C29" s="12" t="s">
        <v>87</v>
      </c>
      <c r="D29" s="12" t="s">
        <v>91</v>
      </c>
      <c r="E29" s="8" t="s">
        <v>19</v>
      </c>
      <c r="F29" s="13" t="s">
        <v>89</v>
      </c>
      <c r="G29" s="10" t="s">
        <v>21</v>
      </c>
      <c r="H29" s="12"/>
      <c r="I29" s="12"/>
      <c r="J29" s="12"/>
      <c r="K29" s="12"/>
      <c r="L29" s="12"/>
    </row>
    <row r="30" customFormat="false" ht="19.5" hidden="false" customHeight="true" outlineLevel="0" collapsed="false">
      <c r="A30" s="5" t="s">
        <v>92</v>
      </c>
      <c r="B30" s="16" t="s">
        <v>86</v>
      </c>
      <c r="C30" s="7" t="s">
        <v>87</v>
      </c>
      <c r="D30" s="7" t="s">
        <v>93</v>
      </c>
      <c r="E30" s="8" t="s">
        <v>19</v>
      </c>
      <c r="F30" s="9" t="s">
        <v>89</v>
      </c>
      <c r="G30" s="10" t="s">
        <v>21</v>
      </c>
      <c r="H30" s="7"/>
      <c r="I30" s="7"/>
      <c r="J30" s="7"/>
      <c r="K30" s="7"/>
      <c r="L30" s="7"/>
    </row>
    <row r="31" customFormat="false" ht="19.5" hidden="false" customHeight="true" outlineLevel="0" collapsed="false">
      <c r="A31" s="11" t="s">
        <v>94</v>
      </c>
      <c r="B31" s="16" t="s">
        <v>86</v>
      </c>
      <c r="C31" s="12" t="s">
        <v>87</v>
      </c>
      <c r="D31" s="12" t="s">
        <v>95</v>
      </c>
      <c r="E31" s="8" t="s">
        <v>19</v>
      </c>
      <c r="F31" s="13" t="s">
        <v>89</v>
      </c>
      <c r="G31" s="10" t="s">
        <v>21</v>
      </c>
      <c r="H31" s="12"/>
      <c r="I31" s="12"/>
      <c r="J31" s="12"/>
      <c r="K31" s="12"/>
      <c r="L31" s="12"/>
    </row>
    <row r="32" customFormat="false" ht="19.5" hidden="false" customHeight="true" outlineLevel="0" collapsed="false">
      <c r="A32" s="5" t="s">
        <v>96</v>
      </c>
      <c r="B32" s="16" t="s">
        <v>86</v>
      </c>
      <c r="C32" s="7" t="s">
        <v>87</v>
      </c>
      <c r="D32" s="7" t="s">
        <v>97</v>
      </c>
      <c r="E32" s="14" t="s">
        <v>27</v>
      </c>
      <c r="F32" s="9" t="s">
        <v>98</v>
      </c>
      <c r="G32" s="10" t="s">
        <v>21</v>
      </c>
      <c r="H32" s="7"/>
      <c r="I32" s="7"/>
      <c r="J32" s="7"/>
      <c r="K32" s="7"/>
      <c r="L32" s="7"/>
    </row>
    <row r="33" customFormat="false" ht="19.5" hidden="false" customHeight="true" outlineLevel="0" collapsed="false">
      <c r="A33" s="11" t="s">
        <v>99</v>
      </c>
      <c r="B33" s="16" t="s">
        <v>86</v>
      </c>
      <c r="C33" s="12" t="s">
        <v>100</v>
      </c>
      <c r="D33" s="12" t="s">
        <v>101</v>
      </c>
      <c r="E33" s="8" t="s">
        <v>19</v>
      </c>
      <c r="F33" s="13" t="s">
        <v>102</v>
      </c>
      <c r="G33" s="10" t="s">
        <v>21</v>
      </c>
      <c r="H33" s="12"/>
      <c r="I33" s="12"/>
      <c r="J33" s="12"/>
      <c r="K33" s="12"/>
      <c r="L33" s="12"/>
    </row>
    <row r="34" customFormat="false" ht="19.5" hidden="false" customHeight="true" outlineLevel="0" collapsed="false">
      <c r="A34" s="5" t="s">
        <v>103</v>
      </c>
      <c r="B34" s="16" t="s">
        <v>86</v>
      </c>
      <c r="C34" s="7" t="s">
        <v>100</v>
      </c>
      <c r="D34" s="7" t="s">
        <v>104</v>
      </c>
      <c r="E34" s="14" t="s">
        <v>27</v>
      </c>
      <c r="F34" s="9" t="s">
        <v>102</v>
      </c>
      <c r="G34" s="10" t="s">
        <v>21</v>
      </c>
      <c r="H34" s="7"/>
      <c r="I34" s="7"/>
      <c r="J34" s="7"/>
      <c r="K34" s="7"/>
      <c r="L34" s="7"/>
    </row>
    <row r="35" customFormat="false" ht="19.5" hidden="false" customHeight="true" outlineLevel="0" collapsed="false">
      <c r="A35" s="11" t="s">
        <v>105</v>
      </c>
      <c r="B35" s="16" t="s">
        <v>86</v>
      </c>
      <c r="C35" s="12" t="s">
        <v>100</v>
      </c>
      <c r="D35" s="12" t="s">
        <v>106</v>
      </c>
      <c r="E35" s="14" t="s">
        <v>27</v>
      </c>
      <c r="F35" s="13" t="s">
        <v>102</v>
      </c>
      <c r="G35" s="10" t="s">
        <v>21</v>
      </c>
      <c r="H35" s="12"/>
      <c r="I35" s="12"/>
      <c r="J35" s="12"/>
      <c r="K35" s="12"/>
      <c r="L35" s="12"/>
    </row>
    <row r="36" customFormat="false" ht="19.5" hidden="false" customHeight="true" outlineLevel="0" collapsed="false">
      <c r="A36" s="5" t="s">
        <v>107</v>
      </c>
      <c r="B36" s="16" t="s">
        <v>86</v>
      </c>
      <c r="C36" s="7" t="s">
        <v>108</v>
      </c>
      <c r="D36" s="7" t="s">
        <v>109</v>
      </c>
      <c r="E36" s="8" t="s">
        <v>19</v>
      </c>
      <c r="F36" s="9" t="s">
        <v>110</v>
      </c>
      <c r="G36" s="10" t="s">
        <v>21</v>
      </c>
      <c r="H36" s="7"/>
      <c r="I36" s="7"/>
      <c r="J36" s="7"/>
      <c r="K36" s="7"/>
      <c r="L36" s="7"/>
    </row>
    <row r="37" customFormat="false" ht="19.5" hidden="false" customHeight="true" outlineLevel="0" collapsed="false">
      <c r="A37" s="11" t="s">
        <v>111</v>
      </c>
      <c r="B37" s="16" t="s">
        <v>86</v>
      </c>
      <c r="C37" s="12" t="s">
        <v>108</v>
      </c>
      <c r="D37" s="12" t="s">
        <v>112</v>
      </c>
      <c r="E37" s="8" t="s">
        <v>19</v>
      </c>
      <c r="F37" s="13" t="s">
        <v>110</v>
      </c>
      <c r="G37" s="10" t="s">
        <v>21</v>
      </c>
      <c r="H37" s="12"/>
      <c r="I37" s="12"/>
      <c r="J37" s="12"/>
      <c r="K37" s="12"/>
      <c r="L37" s="12"/>
    </row>
    <row r="38" customFormat="false" ht="19.5" hidden="false" customHeight="true" outlineLevel="0" collapsed="false">
      <c r="A38" s="5" t="s">
        <v>113</v>
      </c>
      <c r="B38" s="16" t="s">
        <v>86</v>
      </c>
      <c r="C38" s="7" t="s">
        <v>108</v>
      </c>
      <c r="D38" s="7" t="s">
        <v>114</v>
      </c>
      <c r="E38" s="8" t="s">
        <v>19</v>
      </c>
      <c r="F38" s="9" t="s">
        <v>110</v>
      </c>
      <c r="G38" s="10" t="s">
        <v>21</v>
      </c>
      <c r="H38" s="7"/>
      <c r="I38" s="7"/>
      <c r="J38" s="7"/>
      <c r="K38" s="7"/>
      <c r="L38" s="7"/>
    </row>
    <row r="39" customFormat="false" ht="19.5" hidden="false" customHeight="true" outlineLevel="0" collapsed="false">
      <c r="A39" s="11" t="s">
        <v>115</v>
      </c>
      <c r="B39" s="16" t="s">
        <v>86</v>
      </c>
      <c r="C39" s="12" t="s">
        <v>108</v>
      </c>
      <c r="D39" s="12" t="s">
        <v>116</v>
      </c>
      <c r="E39" s="8" t="s">
        <v>19</v>
      </c>
      <c r="F39" s="13" t="s">
        <v>117</v>
      </c>
      <c r="G39" s="10" t="s">
        <v>21</v>
      </c>
      <c r="H39" s="12"/>
      <c r="I39" s="12"/>
      <c r="J39" s="12"/>
      <c r="K39" s="12"/>
      <c r="L39" s="12"/>
    </row>
    <row r="40" customFormat="false" ht="19.5" hidden="false" customHeight="true" outlineLevel="0" collapsed="false">
      <c r="A40" s="5" t="s">
        <v>118</v>
      </c>
      <c r="B40" s="16" t="s">
        <v>86</v>
      </c>
      <c r="C40" s="7" t="s">
        <v>108</v>
      </c>
      <c r="D40" s="7" t="s">
        <v>119</v>
      </c>
      <c r="E40" s="14" t="s">
        <v>27</v>
      </c>
      <c r="F40" s="9" t="s">
        <v>110</v>
      </c>
      <c r="G40" s="10" t="s">
        <v>21</v>
      </c>
      <c r="H40" s="7"/>
      <c r="I40" s="7"/>
      <c r="J40" s="7"/>
      <c r="K40" s="7"/>
      <c r="L40" s="7"/>
    </row>
    <row r="41" customFormat="false" ht="19.5" hidden="false" customHeight="true" outlineLevel="0" collapsed="false">
      <c r="A41" s="11" t="s">
        <v>120</v>
      </c>
      <c r="B41" s="16" t="s">
        <v>86</v>
      </c>
      <c r="C41" s="12" t="s">
        <v>108</v>
      </c>
      <c r="D41" s="12" t="s">
        <v>121</v>
      </c>
      <c r="E41" s="14" t="s">
        <v>27</v>
      </c>
      <c r="F41" s="13" t="s">
        <v>122</v>
      </c>
      <c r="G41" s="10" t="s">
        <v>21</v>
      </c>
      <c r="H41" s="12"/>
      <c r="I41" s="12"/>
      <c r="J41" s="12"/>
      <c r="K41" s="12"/>
      <c r="L41" s="12"/>
    </row>
    <row r="42" customFormat="false" ht="19.5" hidden="false" customHeight="true" outlineLevel="0" collapsed="false">
      <c r="A42" s="5" t="s">
        <v>123</v>
      </c>
      <c r="B42" s="16" t="s">
        <v>86</v>
      </c>
      <c r="C42" s="7" t="s">
        <v>124</v>
      </c>
      <c r="D42" s="7" t="s">
        <v>125</v>
      </c>
      <c r="E42" s="8" t="s">
        <v>19</v>
      </c>
      <c r="F42" s="9" t="s">
        <v>126</v>
      </c>
      <c r="G42" s="10" t="s">
        <v>21</v>
      </c>
      <c r="H42" s="7"/>
      <c r="I42" s="7"/>
      <c r="J42" s="7"/>
      <c r="K42" s="7"/>
      <c r="L42" s="7"/>
    </row>
    <row r="43" customFormat="false" ht="19.5" hidden="false" customHeight="true" outlineLevel="0" collapsed="false">
      <c r="A43" s="11" t="s">
        <v>127</v>
      </c>
      <c r="B43" s="16" t="s">
        <v>86</v>
      </c>
      <c r="C43" s="12" t="s">
        <v>124</v>
      </c>
      <c r="D43" s="12" t="s">
        <v>128</v>
      </c>
      <c r="E43" s="14" t="s">
        <v>27</v>
      </c>
      <c r="F43" s="13" t="s">
        <v>126</v>
      </c>
      <c r="G43" s="10" t="s">
        <v>21</v>
      </c>
      <c r="H43" s="12"/>
      <c r="I43" s="12"/>
      <c r="J43" s="12"/>
      <c r="K43" s="12"/>
      <c r="L43" s="12"/>
    </row>
    <row r="44" customFormat="false" ht="19.5" hidden="false" customHeight="true" outlineLevel="0" collapsed="false">
      <c r="A44" s="5" t="s">
        <v>129</v>
      </c>
      <c r="B44" s="16" t="s">
        <v>86</v>
      </c>
      <c r="C44" s="7" t="s">
        <v>124</v>
      </c>
      <c r="D44" s="7" t="s">
        <v>130</v>
      </c>
      <c r="E44" s="14" t="s">
        <v>27</v>
      </c>
      <c r="F44" s="9" t="s">
        <v>126</v>
      </c>
      <c r="G44" s="10" t="s">
        <v>21</v>
      </c>
      <c r="H44" s="7"/>
      <c r="I44" s="7"/>
      <c r="J44" s="7"/>
      <c r="K44" s="7"/>
      <c r="L44" s="7"/>
    </row>
    <row r="45" customFormat="false" ht="19.5" hidden="false" customHeight="true" outlineLevel="0" collapsed="false">
      <c r="A45" s="11" t="s">
        <v>131</v>
      </c>
      <c r="B45" s="16" t="s">
        <v>86</v>
      </c>
      <c r="C45" s="12" t="s">
        <v>124</v>
      </c>
      <c r="D45" s="12" t="s">
        <v>132</v>
      </c>
      <c r="E45" s="14" t="s">
        <v>27</v>
      </c>
      <c r="F45" s="13" t="s">
        <v>69</v>
      </c>
      <c r="G45" s="10" t="s">
        <v>21</v>
      </c>
      <c r="H45" s="12"/>
      <c r="I45" s="12"/>
      <c r="J45" s="12"/>
      <c r="K45" s="12"/>
      <c r="L45" s="12"/>
    </row>
    <row r="46" customFormat="false" ht="19.5" hidden="false" customHeight="true" outlineLevel="0" collapsed="false">
      <c r="A46" s="5" t="s">
        <v>133</v>
      </c>
      <c r="B46" s="16" t="s">
        <v>86</v>
      </c>
      <c r="C46" s="7" t="s">
        <v>134</v>
      </c>
      <c r="D46" s="7" t="s">
        <v>135</v>
      </c>
      <c r="E46" s="14" t="s">
        <v>27</v>
      </c>
      <c r="F46" s="9" t="s">
        <v>136</v>
      </c>
      <c r="G46" s="10" t="s">
        <v>21</v>
      </c>
      <c r="H46" s="7"/>
      <c r="I46" s="7"/>
      <c r="J46" s="7"/>
      <c r="K46" s="7"/>
      <c r="L46" s="7"/>
    </row>
    <row r="47" customFormat="false" ht="19.5" hidden="false" customHeight="true" outlineLevel="0" collapsed="false">
      <c r="A47" s="11" t="s">
        <v>137</v>
      </c>
      <c r="B47" s="16" t="s">
        <v>86</v>
      </c>
      <c r="C47" s="12" t="s">
        <v>134</v>
      </c>
      <c r="D47" s="12" t="s">
        <v>138</v>
      </c>
      <c r="E47" s="14" t="s">
        <v>27</v>
      </c>
      <c r="F47" s="13" t="s">
        <v>136</v>
      </c>
      <c r="G47" s="10" t="s">
        <v>21</v>
      </c>
      <c r="H47" s="12"/>
      <c r="I47" s="12"/>
      <c r="J47" s="12"/>
      <c r="K47" s="12"/>
      <c r="L47" s="12"/>
    </row>
    <row r="48" customFormat="false" ht="19.5" hidden="false" customHeight="true" outlineLevel="0" collapsed="false">
      <c r="A48" s="5" t="s">
        <v>139</v>
      </c>
      <c r="B48" s="16" t="s">
        <v>86</v>
      </c>
      <c r="C48" s="7" t="s">
        <v>134</v>
      </c>
      <c r="D48" s="7" t="s">
        <v>140</v>
      </c>
      <c r="E48" s="15" t="s">
        <v>53</v>
      </c>
      <c r="F48" s="9" t="s">
        <v>136</v>
      </c>
      <c r="G48" s="10" t="s">
        <v>21</v>
      </c>
      <c r="H48" s="7"/>
      <c r="I48" s="7"/>
      <c r="J48" s="7"/>
      <c r="K48" s="7"/>
      <c r="L48" s="7"/>
    </row>
    <row r="49" customFormat="false" ht="19.5" hidden="false" customHeight="true" outlineLevel="0" collapsed="false">
      <c r="A49" s="11" t="s">
        <v>141</v>
      </c>
      <c r="B49" s="16" t="s">
        <v>86</v>
      </c>
      <c r="C49" s="12" t="s">
        <v>142</v>
      </c>
      <c r="D49" s="12" t="s">
        <v>143</v>
      </c>
      <c r="E49" s="8" t="s">
        <v>19</v>
      </c>
      <c r="F49" s="13" t="s">
        <v>144</v>
      </c>
      <c r="G49" s="10" t="s">
        <v>21</v>
      </c>
      <c r="H49" s="12"/>
      <c r="I49" s="12"/>
      <c r="J49" s="12"/>
      <c r="K49" s="12"/>
      <c r="L49" s="12"/>
    </row>
    <row r="50" customFormat="false" ht="19.5" hidden="false" customHeight="true" outlineLevel="0" collapsed="false">
      <c r="A50" s="5" t="s">
        <v>145</v>
      </c>
      <c r="B50" s="16" t="s">
        <v>86</v>
      </c>
      <c r="C50" s="7" t="s">
        <v>142</v>
      </c>
      <c r="D50" s="7" t="s">
        <v>146</v>
      </c>
      <c r="E50" s="8" t="s">
        <v>19</v>
      </c>
      <c r="F50" s="9" t="s">
        <v>144</v>
      </c>
      <c r="G50" s="10" t="s">
        <v>21</v>
      </c>
      <c r="H50" s="7"/>
      <c r="I50" s="7"/>
      <c r="J50" s="7"/>
      <c r="K50" s="7"/>
      <c r="L50" s="7"/>
    </row>
    <row r="51" customFormat="false" ht="19.5" hidden="false" customHeight="true" outlineLevel="0" collapsed="false">
      <c r="A51" s="11" t="s">
        <v>147</v>
      </c>
      <c r="B51" s="16" t="s">
        <v>86</v>
      </c>
      <c r="C51" s="12" t="s">
        <v>142</v>
      </c>
      <c r="D51" s="12" t="s">
        <v>148</v>
      </c>
      <c r="E51" s="8" t="s">
        <v>19</v>
      </c>
      <c r="F51" s="13" t="s">
        <v>149</v>
      </c>
      <c r="G51" s="10" t="s">
        <v>21</v>
      </c>
      <c r="H51" s="12"/>
      <c r="I51" s="12"/>
      <c r="J51" s="12"/>
      <c r="K51" s="12"/>
      <c r="L51" s="12"/>
    </row>
    <row r="52" customFormat="false" ht="19.5" hidden="false" customHeight="true" outlineLevel="0" collapsed="false">
      <c r="A52" s="5" t="s">
        <v>150</v>
      </c>
      <c r="B52" s="16" t="s">
        <v>86</v>
      </c>
      <c r="C52" s="7" t="s">
        <v>142</v>
      </c>
      <c r="D52" s="7" t="s">
        <v>151</v>
      </c>
      <c r="E52" s="14" t="s">
        <v>27</v>
      </c>
      <c r="F52" s="9" t="s">
        <v>144</v>
      </c>
      <c r="G52" s="10" t="s">
        <v>21</v>
      </c>
      <c r="H52" s="7"/>
      <c r="I52" s="7"/>
      <c r="J52" s="7"/>
      <c r="K52" s="7"/>
      <c r="L52" s="7"/>
    </row>
    <row r="53" customFormat="false" ht="19.5" hidden="false" customHeight="true" outlineLevel="0" collapsed="false">
      <c r="A53" s="11" t="s">
        <v>152</v>
      </c>
      <c r="B53" s="16" t="s">
        <v>86</v>
      </c>
      <c r="C53" s="12" t="s">
        <v>153</v>
      </c>
      <c r="D53" s="12" t="s">
        <v>154</v>
      </c>
      <c r="E53" s="14" t="s">
        <v>27</v>
      </c>
      <c r="F53" s="13" t="s">
        <v>122</v>
      </c>
      <c r="G53" s="10" t="s">
        <v>21</v>
      </c>
      <c r="H53" s="12"/>
      <c r="I53" s="12"/>
      <c r="J53" s="12"/>
      <c r="K53" s="12"/>
      <c r="L53" s="12"/>
    </row>
    <row r="54" customFormat="false" ht="19.5" hidden="false" customHeight="true" outlineLevel="0" collapsed="false">
      <c r="A54" s="5" t="s">
        <v>155</v>
      </c>
      <c r="B54" s="16" t="s">
        <v>86</v>
      </c>
      <c r="C54" s="7" t="s">
        <v>156</v>
      </c>
      <c r="D54" s="7" t="s">
        <v>157</v>
      </c>
      <c r="E54" s="8" t="s">
        <v>19</v>
      </c>
      <c r="F54" s="9" t="s">
        <v>158</v>
      </c>
      <c r="G54" s="10" t="s">
        <v>21</v>
      </c>
      <c r="H54" s="7"/>
      <c r="I54" s="7"/>
      <c r="J54" s="7"/>
      <c r="K54" s="7"/>
      <c r="L54" s="7"/>
    </row>
    <row r="55" customFormat="false" ht="19.5" hidden="false" customHeight="true" outlineLevel="0" collapsed="false">
      <c r="A55" s="11" t="s">
        <v>159</v>
      </c>
      <c r="B55" s="16" t="s">
        <v>86</v>
      </c>
      <c r="C55" s="12" t="s">
        <v>156</v>
      </c>
      <c r="D55" s="12" t="s">
        <v>160</v>
      </c>
      <c r="E55" s="14" t="s">
        <v>27</v>
      </c>
      <c r="F55" s="13" t="s">
        <v>158</v>
      </c>
      <c r="G55" s="10" t="s">
        <v>21</v>
      </c>
      <c r="H55" s="12"/>
      <c r="I55" s="12"/>
      <c r="J55" s="12"/>
      <c r="K55" s="12"/>
      <c r="L55" s="12"/>
    </row>
    <row r="56" customFormat="false" ht="19.5" hidden="false" customHeight="true" outlineLevel="0" collapsed="false">
      <c r="A56" s="5" t="s">
        <v>161</v>
      </c>
      <c r="B56" s="16" t="s">
        <v>86</v>
      </c>
      <c r="C56" s="7" t="s">
        <v>156</v>
      </c>
      <c r="D56" s="7" t="s">
        <v>162</v>
      </c>
      <c r="E56" s="8" t="s">
        <v>19</v>
      </c>
      <c r="F56" s="9" t="s">
        <v>163</v>
      </c>
      <c r="G56" s="10" t="s">
        <v>21</v>
      </c>
      <c r="H56" s="7"/>
      <c r="I56" s="7"/>
      <c r="J56" s="7"/>
      <c r="K56" s="7"/>
      <c r="L56" s="7"/>
    </row>
    <row r="57" customFormat="false" ht="19.5" hidden="false" customHeight="true" outlineLevel="0" collapsed="false">
      <c r="A57" s="11" t="s">
        <v>164</v>
      </c>
      <c r="B57" s="16" t="s">
        <v>86</v>
      </c>
      <c r="C57" s="12" t="s">
        <v>165</v>
      </c>
      <c r="D57" s="12" t="s">
        <v>166</v>
      </c>
      <c r="E57" s="8" t="s">
        <v>19</v>
      </c>
      <c r="F57" s="13" t="s">
        <v>167</v>
      </c>
      <c r="G57" s="10" t="s">
        <v>21</v>
      </c>
      <c r="H57" s="12"/>
      <c r="I57" s="12"/>
      <c r="J57" s="12"/>
      <c r="K57" s="12"/>
      <c r="L57" s="12"/>
    </row>
    <row r="58" customFormat="false" ht="19.5" hidden="false" customHeight="true" outlineLevel="0" collapsed="false">
      <c r="A58" s="5" t="s">
        <v>168</v>
      </c>
      <c r="B58" s="16" t="s">
        <v>86</v>
      </c>
      <c r="C58" s="7" t="s">
        <v>165</v>
      </c>
      <c r="D58" s="7" t="s">
        <v>82</v>
      </c>
      <c r="E58" s="14" t="s">
        <v>27</v>
      </c>
      <c r="F58" s="9" t="s">
        <v>83</v>
      </c>
      <c r="G58" s="10" t="s">
        <v>21</v>
      </c>
      <c r="H58" s="7"/>
      <c r="I58" s="7"/>
      <c r="J58" s="7"/>
      <c r="K58" s="7"/>
      <c r="L58" s="7"/>
    </row>
    <row r="59" customFormat="false" ht="19.5" hidden="false" customHeight="true" outlineLevel="0" collapsed="false">
      <c r="A59" s="11" t="s">
        <v>169</v>
      </c>
      <c r="B59" s="16" t="s">
        <v>86</v>
      </c>
      <c r="C59" s="12" t="s">
        <v>165</v>
      </c>
      <c r="D59" s="12" t="s">
        <v>170</v>
      </c>
      <c r="E59" s="8" t="s">
        <v>19</v>
      </c>
      <c r="F59" s="13" t="s">
        <v>171</v>
      </c>
      <c r="G59" s="10" t="s">
        <v>21</v>
      </c>
      <c r="H59" s="12"/>
      <c r="I59" s="12"/>
      <c r="J59" s="12"/>
      <c r="K59" s="12"/>
      <c r="L59" s="12"/>
    </row>
    <row r="60" customFormat="false" ht="18" hidden="false" customHeight="true" outlineLevel="0" collapsed="false">
      <c r="A60" s="4" t="s">
        <v>172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9.5" hidden="false" customHeight="true" outlineLevel="0" collapsed="false">
      <c r="A61" s="5" t="s">
        <v>173</v>
      </c>
      <c r="B61" s="17" t="s">
        <v>174</v>
      </c>
      <c r="C61" s="7" t="s">
        <v>175</v>
      </c>
      <c r="D61" s="7" t="s">
        <v>176</v>
      </c>
      <c r="E61" s="8" t="s">
        <v>19</v>
      </c>
      <c r="F61" s="9" t="s">
        <v>177</v>
      </c>
      <c r="G61" s="10" t="s">
        <v>21</v>
      </c>
      <c r="H61" s="7"/>
      <c r="I61" s="7"/>
      <c r="J61" s="7"/>
      <c r="K61" s="7"/>
      <c r="L61" s="7"/>
    </row>
    <row r="62" customFormat="false" ht="19.5" hidden="false" customHeight="true" outlineLevel="0" collapsed="false">
      <c r="A62" s="11" t="s">
        <v>178</v>
      </c>
      <c r="B62" s="17" t="s">
        <v>174</v>
      </c>
      <c r="C62" s="12" t="s">
        <v>175</v>
      </c>
      <c r="D62" s="12" t="s">
        <v>179</v>
      </c>
      <c r="E62" s="8" t="s">
        <v>19</v>
      </c>
      <c r="F62" s="13" t="s">
        <v>180</v>
      </c>
      <c r="G62" s="10" t="s">
        <v>21</v>
      </c>
      <c r="H62" s="12"/>
      <c r="I62" s="12"/>
      <c r="J62" s="12"/>
      <c r="K62" s="12"/>
      <c r="L62" s="12"/>
    </row>
    <row r="63" customFormat="false" ht="19.5" hidden="false" customHeight="true" outlineLevel="0" collapsed="false">
      <c r="A63" s="5" t="s">
        <v>181</v>
      </c>
      <c r="B63" s="17" t="s">
        <v>174</v>
      </c>
      <c r="C63" s="7" t="s">
        <v>175</v>
      </c>
      <c r="D63" s="7" t="s">
        <v>182</v>
      </c>
      <c r="E63" s="14" t="s">
        <v>27</v>
      </c>
      <c r="F63" s="9" t="s">
        <v>183</v>
      </c>
      <c r="G63" s="10" t="s">
        <v>21</v>
      </c>
      <c r="H63" s="7"/>
      <c r="I63" s="7"/>
      <c r="J63" s="7"/>
      <c r="K63" s="7"/>
      <c r="L63" s="7"/>
    </row>
    <row r="64" customFormat="false" ht="19.5" hidden="false" customHeight="true" outlineLevel="0" collapsed="false">
      <c r="A64" s="11" t="s">
        <v>184</v>
      </c>
      <c r="B64" s="17" t="s">
        <v>174</v>
      </c>
      <c r="C64" s="12" t="s">
        <v>175</v>
      </c>
      <c r="D64" s="12" t="s">
        <v>185</v>
      </c>
      <c r="E64" s="14" t="s">
        <v>27</v>
      </c>
      <c r="F64" s="13" t="s">
        <v>183</v>
      </c>
      <c r="G64" s="10" t="s">
        <v>21</v>
      </c>
      <c r="H64" s="12"/>
      <c r="I64" s="12"/>
      <c r="J64" s="12"/>
      <c r="K64" s="12"/>
      <c r="L64" s="12"/>
    </row>
    <row r="65" customFormat="false" ht="19.5" hidden="false" customHeight="true" outlineLevel="0" collapsed="false">
      <c r="A65" s="5" t="s">
        <v>186</v>
      </c>
      <c r="B65" s="17" t="s">
        <v>174</v>
      </c>
      <c r="C65" s="7" t="s">
        <v>187</v>
      </c>
      <c r="D65" s="7" t="s">
        <v>188</v>
      </c>
      <c r="E65" s="8" t="s">
        <v>19</v>
      </c>
      <c r="F65" s="9" t="s">
        <v>189</v>
      </c>
      <c r="G65" s="10" t="s">
        <v>21</v>
      </c>
      <c r="H65" s="7"/>
      <c r="I65" s="7"/>
      <c r="J65" s="7"/>
      <c r="K65" s="7"/>
      <c r="L65" s="7"/>
    </row>
    <row r="66" customFormat="false" ht="19.5" hidden="false" customHeight="true" outlineLevel="0" collapsed="false">
      <c r="A66" s="11" t="s">
        <v>190</v>
      </c>
      <c r="B66" s="17" t="s">
        <v>174</v>
      </c>
      <c r="C66" s="12" t="s">
        <v>187</v>
      </c>
      <c r="D66" s="12" t="s">
        <v>191</v>
      </c>
      <c r="E66" s="14" t="s">
        <v>27</v>
      </c>
      <c r="F66" s="13" t="s">
        <v>189</v>
      </c>
      <c r="G66" s="10" t="s">
        <v>21</v>
      </c>
      <c r="H66" s="12"/>
      <c r="I66" s="12"/>
      <c r="J66" s="12"/>
      <c r="K66" s="12"/>
      <c r="L66" s="12"/>
    </row>
    <row r="67" customFormat="false" ht="19.5" hidden="false" customHeight="true" outlineLevel="0" collapsed="false">
      <c r="A67" s="5" t="s">
        <v>192</v>
      </c>
      <c r="B67" s="17" t="s">
        <v>174</v>
      </c>
      <c r="C67" s="7" t="s">
        <v>187</v>
      </c>
      <c r="D67" s="7" t="s">
        <v>193</v>
      </c>
      <c r="E67" s="8" t="s">
        <v>19</v>
      </c>
      <c r="F67" s="9" t="s">
        <v>189</v>
      </c>
      <c r="G67" s="10" t="s">
        <v>21</v>
      </c>
      <c r="H67" s="7"/>
      <c r="I67" s="7"/>
      <c r="J67" s="7"/>
      <c r="K67" s="7"/>
      <c r="L67" s="7"/>
    </row>
    <row r="68" customFormat="false" ht="19.5" hidden="false" customHeight="true" outlineLevel="0" collapsed="false">
      <c r="A68" s="11" t="s">
        <v>194</v>
      </c>
      <c r="B68" s="17" t="s">
        <v>174</v>
      </c>
      <c r="C68" s="12" t="s">
        <v>187</v>
      </c>
      <c r="D68" s="12" t="s">
        <v>195</v>
      </c>
      <c r="E68" s="14" t="s">
        <v>27</v>
      </c>
      <c r="F68" s="13" t="s">
        <v>189</v>
      </c>
      <c r="G68" s="10" t="s">
        <v>21</v>
      </c>
      <c r="H68" s="12"/>
      <c r="I68" s="12"/>
      <c r="J68" s="12"/>
      <c r="K68" s="12"/>
      <c r="L68" s="12"/>
    </row>
    <row r="69" customFormat="false" ht="19.5" hidden="false" customHeight="true" outlineLevel="0" collapsed="false">
      <c r="A69" s="5" t="s">
        <v>196</v>
      </c>
      <c r="B69" s="17" t="s">
        <v>174</v>
      </c>
      <c r="C69" s="7" t="s">
        <v>187</v>
      </c>
      <c r="D69" s="7" t="s">
        <v>197</v>
      </c>
      <c r="E69" s="8" t="s">
        <v>19</v>
      </c>
      <c r="F69" s="9" t="s">
        <v>189</v>
      </c>
      <c r="G69" s="10" t="s">
        <v>21</v>
      </c>
      <c r="H69" s="7"/>
      <c r="I69" s="7"/>
      <c r="J69" s="7"/>
      <c r="K69" s="7"/>
      <c r="L69" s="7"/>
    </row>
    <row r="70" customFormat="false" ht="19.5" hidden="false" customHeight="true" outlineLevel="0" collapsed="false">
      <c r="A70" s="11" t="s">
        <v>198</v>
      </c>
      <c r="B70" s="17" t="s">
        <v>174</v>
      </c>
      <c r="C70" s="12" t="s">
        <v>199</v>
      </c>
      <c r="D70" s="12" t="s">
        <v>200</v>
      </c>
      <c r="E70" s="8" t="s">
        <v>19</v>
      </c>
      <c r="F70" s="13" t="s">
        <v>201</v>
      </c>
      <c r="G70" s="10" t="s">
        <v>21</v>
      </c>
      <c r="H70" s="12"/>
      <c r="I70" s="12"/>
      <c r="J70" s="12"/>
      <c r="K70" s="12"/>
      <c r="L70" s="12"/>
    </row>
    <row r="71" customFormat="false" ht="19.5" hidden="false" customHeight="true" outlineLevel="0" collapsed="false">
      <c r="A71" s="5" t="s">
        <v>202</v>
      </c>
      <c r="B71" s="17" t="s">
        <v>174</v>
      </c>
      <c r="C71" s="7" t="s">
        <v>199</v>
      </c>
      <c r="D71" s="7" t="s">
        <v>203</v>
      </c>
      <c r="E71" s="8" t="s">
        <v>19</v>
      </c>
      <c r="F71" s="9" t="s">
        <v>201</v>
      </c>
      <c r="G71" s="10" t="s">
        <v>21</v>
      </c>
      <c r="H71" s="7"/>
      <c r="I71" s="7"/>
      <c r="J71" s="7"/>
      <c r="K71" s="7"/>
      <c r="L71" s="7"/>
    </row>
    <row r="72" customFormat="false" ht="19.5" hidden="false" customHeight="true" outlineLevel="0" collapsed="false">
      <c r="A72" s="11" t="s">
        <v>204</v>
      </c>
      <c r="B72" s="17" t="s">
        <v>174</v>
      </c>
      <c r="C72" s="12" t="s">
        <v>199</v>
      </c>
      <c r="D72" s="12" t="s">
        <v>205</v>
      </c>
      <c r="E72" s="8" t="s">
        <v>19</v>
      </c>
      <c r="F72" s="13" t="s">
        <v>206</v>
      </c>
      <c r="G72" s="10" t="s">
        <v>21</v>
      </c>
      <c r="H72" s="12"/>
      <c r="I72" s="12"/>
      <c r="J72" s="12"/>
      <c r="K72" s="12"/>
      <c r="L72" s="12"/>
    </row>
    <row r="73" customFormat="false" ht="19.5" hidden="false" customHeight="true" outlineLevel="0" collapsed="false">
      <c r="A73" s="5" t="s">
        <v>207</v>
      </c>
      <c r="B73" s="17" t="s">
        <v>174</v>
      </c>
      <c r="C73" s="7" t="s">
        <v>199</v>
      </c>
      <c r="D73" s="7" t="s">
        <v>208</v>
      </c>
      <c r="E73" s="14" t="s">
        <v>27</v>
      </c>
      <c r="F73" s="9" t="s">
        <v>201</v>
      </c>
      <c r="G73" s="10" t="s">
        <v>21</v>
      </c>
      <c r="H73" s="7"/>
      <c r="I73" s="7"/>
      <c r="J73" s="7"/>
      <c r="K73" s="7"/>
      <c r="L73" s="7"/>
    </row>
    <row r="74" customFormat="false" ht="19.5" hidden="false" customHeight="true" outlineLevel="0" collapsed="false">
      <c r="A74" s="11" t="s">
        <v>209</v>
      </c>
      <c r="B74" s="17" t="s">
        <v>174</v>
      </c>
      <c r="C74" s="12" t="s">
        <v>210</v>
      </c>
      <c r="D74" s="12" t="s">
        <v>211</v>
      </c>
      <c r="E74" s="14" t="s">
        <v>27</v>
      </c>
      <c r="F74" s="13" t="s">
        <v>212</v>
      </c>
      <c r="G74" s="10" t="s">
        <v>21</v>
      </c>
      <c r="H74" s="12"/>
      <c r="I74" s="12"/>
      <c r="J74" s="12"/>
      <c r="K74" s="12"/>
      <c r="L74" s="12"/>
    </row>
    <row r="75" customFormat="false" ht="19.5" hidden="false" customHeight="true" outlineLevel="0" collapsed="false">
      <c r="A75" s="5" t="s">
        <v>213</v>
      </c>
      <c r="B75" s="17" t="s">
        <v>174</v>
      </c>
      <c r="C75" s="7" t="s">
        <v>210</v>
      </c>
      <c r="D75" s="7" t="s">
        <v>214</v>
      </c>
      <c r="E75" s="14" t="s">
        <v>27</v>
      </c>
      <c r="F75" s="9" t="s">
        <v>212</v>
      </c>
      <c r="G75" s="10" t="s">
        <v>21</v>
      </c>
      <c r="H75" s="7"/>
      <c r="I75" s="7"/>
      <c r="J75" s="7"/>
      <c r="K75" s="7"/>
      <c r="L75" s="7"/>
    </row>
    <row r="76" customFormat="false" ht="19.5" hidden="false" customHeight="true" outlineLevel="0" collapsed="false">
      <c r="A76" s="11" t="s">
        <v>215</v>
      </c>
      <c r="B76" s="17" t="s">
        <v>174</v>
      </c>
      <c r="C76" s="12" t="s">
        <v>210</v>
      </c>
      <c r="D76" s="12" t="s">
        <v>216</v>
      </c>
      <c r="E76" s="15" t="s">
        <v>53</v>
      </c>
      <c r="F76" s="13" t="s">
        <v>212</v>
      </c>
      <c r="G76" s="10" t="s">
        <v>21</v>
      </c>
      <c r="H76" s="12"/>
      <c r="I76" s="12"/>
      <c r="J76" s="12"/>
      <c r="K76" s="12"/>
      <c r="L76" s="12"/>
    </row>
    <row r="77" customFormat="false" ht="19.5" hidden="false" customHeight="true" outlineLevel="0" collapsed="false">
      <c r="A77" s="5" t="s">
        <v>217</v>
      </c>
      <c r="B77" s="17" t="s">
        <v>174</v>
      </c>
      <c r="C77" s="7" t="s">
        <v>218</v>
      </c>
      <c r="D77" s="7" t="s">
        <v>219</v>
      </c>
      <c r="E77" s="8" t="s">
        <v>19</v>
      </c>
      <c r="F77" s="9" t="s">
        <v>220</v>
      </c>
      <c r="G77" s="10" t="s">
        <v>21</v>
      </c>
      <c r="H77" s="7"/>
      <c r="I77" s="7"/>
      <c r="J77" s="7"/>
      <c r="K77" s="7"/>
      <c r="L77" s="7"/>
    </row>
    <row r="78" customFormat="false" ht="19.5" hidden="false" customHeight="true" outlineLevel="0" collapsed="false">
      <c r="A78" s="11" t="s">
        <v>221</v>
      </c>
      <c r="B78" s="17" t="s">
        <v>174</v>
      </c>
      <c r="C78" s="12" t="s">
        <v>218</v>
      </c>
      <c r="D78" s="12" t="s">
        <v>222</v>
      </c>
      <c r="E78" s="14" t="s">
        <v>27</v>
      </c>
      <c r="F78" s="13" t="s">
        <v>220</v>
      </c>
      <c r="G78" s="10" t="s">
        <v>21</v>
      </c>
      <c r="H78" s="12"/>
      <c r="I78" s="12"/>
      <c r="J78" s="12"/>
      <c r="K78" s="12"/>
      <c r="L78" s="12"/>
    </row>
    <row r="79" customFormat="false" ht="19.5" hidden="false" customHeight="true" outlineLevel="0" collapsed="false">
      <c r="A79" s="5" t="s">
        <v>223</v>
      </c>
      <c r="B79" s="17" t="s">
        <v>174</v>
      </c>
      <c r="C79" s="7" t="s">
        <v>218</v>
      </c>
      <c r="D79" s="7" t="s">
        <v>224</v>
      </c>
      <c r="E79" s="15" t="s">
        <v>53</v>
      </c>
      <c r="F79" s="9" t="s">
        <v>220</v>
      </c>
      <c r="G79" s="10" t="s">
        <v>21</v>
      </c>
      <c r="H79" s="7"/>
      <c r="I79" s="7"/>
      <c r="J79" s="7"/>
      <c r="K79" s="7"/>
      <c r="L79" s="7"/>
    </row>
    <row r="80" customFormat="false" ht="19.5" hidden="false" customHeight="true" outlineLevel="0" collapsed="false">
      <c r="A80" s="11" t="s">
        <v>225</v>
      </c>
      <c r="B80" s="17" t="s">
        <v>174</v>
      </c>
      <c r="C80" s="12" t="s">
        <v>218</v>
      </c>
      <c r="D80" s="12" t="s">
        <v>226</v>
      </c>
      <c r="E80" s="14" t="s">
        <v>27</v>
      </c>
      <c r="F80" s="13" t="s">
        <v>220</v>
      </c>
      <c r="G80" s="10" t="s">
        <v>21</v>
      </c>
      <c r="H80" s="12"/>
      <c r="I80" s="12"/>
      <c r="J80" s="12"/>
      <c r="K80" s="12"/>
      <c r="L80" s="12"/>
    </row>
    <row r="81" customFormat="false" ht="19.5" hidden="false" customHeight="true" outlineLevel="0" collapsed="false">
      <c r="A81" s="5" t="s">
        <v>227</v>
      </c>
      <c r="B81" s="17" t="s">
        <v>174</v>
      </c>
      <c r="C81" s="7" t="s">
        <v>218</v>
      </c>
      <c r="D81" s="7" t="s">
        <v>228</v>
      </c>
      <c r="E81" s="14" t="s">
        <v>27</v>
      </c>
      <c r="F81" s="9" t="s">
        <v>220</v>
      </c>
      <c r="G81" s="10" t="s">
        <v>21</v>
      </c>
      <c r="H81" s="7"/>
      <c r="I81" s="7"/>
      <c r="J81" s="7"/>
      <c r="K81" s="7"/>
      <c r="L81" s="7"/>
    </row>
    <row r="82" customFormat="false" ht="19.5" hidden="false" customHeight="true" outlineLevel="0" collapsed="false">
      <c r="A82" s="11" t="s">
        <v>229</v>
      </c>
      <c r="B82" s="17" t="s">
        <v>174</v>
      </c>
      <c r="C82" s="12" t="s">
        <v>218</v>
      </c>
      <c r="D82" s="12" t="s">
        <v>230</v>
      </c>
      <c r="E82" s="14" t="s">
        <v>27</v>
      </c>
      <c r="F82" s="13" t="s">
        <v>220</v>
      </c>
      <c r="G82" s="10" t="s">
        <v>21</v>
      </c>
      <c r="H82" s="12"/>
      <c r="I82" s="12"/>
      <c r="J82" s="12"/>
      <c r="K82" s="12"/>
      <c r="L82" s="12"/>
    </row>
    <row r="83" customFormat="false" ht="19.5" hidden="false" customHeight="true" outlineLevel="0" collapsed="false">
      <c r="A83" s="5" t="s">
        <v>231</v>
      </c>
      <c r="B83" s="17" t="s">
        <v>174</v>
      </c>
      <c r="C83" s="7" t="s">
        <v>218</v>
      </c>
      <c r="D83" s="7" t="s">
        <v>232</v>
      </c>
      <c r="E83" s="8" t="s">
        <v>19</v>
      </c>
      <c r="F83" s="9" t="s">
        <v>233</v>
      </c>
      <c r="G83" s="10" t="s">
        <v>21</v>
      </c>
      <c r="H83" s="7"/>
      <c r="I83" s="7"/>
      <c r="J83" s="7"/>
      <c r="K83" s="7"/>
      <c r="L83" s="7"/>
    </row>
    <row r="84" customFormat="false" ht="19.5" hidden="false" customHeight="true" outlineLevel="0" collapsed="false">
      <c r="A84" s="11" t="s">
        <v>234</v>
      </c>
      <c r="B84" s="17" t="s">
        <v>174</v>
      </c>
      <c r="C84" s="12" t="s">
        <v>218</v>
      </c>
      <c r="D84" s="12" t="s">
        <v>235</v>
      </c>
      <c r="E84" s="8" t="s">
        <v>19</v>
      </c>
      <c r="F84" s="13" t="s">
        <v>233</v>
      </c>
      <c r="G84" s="10" t="s">
        <v>21</v>
      </c>
      <c r="H84" s="12"/>
      <c r="I84" s="12"/>
      <c r="J84" s="12"/>
      <c r="K84" s="12"/>
      <c r="L84" s="12"/>
    </row>
    <row r="85" customFormat="false" ht="19.5" hidden="false" customHeight="true" outlineLevel="0" collapsed="false">
      <c r="A85" s="5" t="s">
        <v>236</v>
      </c>
      <c r="B85" s="17" t="s">
        <v>174</v>
      </c>
      <c r="C85" s="7" t="s">
        <v>218</v>
      </c>
      <c r="D85" s="7" t="s">
        <v>237</v>
      </c>
      <c r="E85" s="14" t="s">
        <v>27</v>
      </c>
      <c r="F85" s="9" t="s">
        <v>220</v>
      </c>
      <c r="G85" s="10" t="s">
        <v>21</v>
      </c>
      <c r="H85" s="7"/>
      <c r="I85" s="7"/>
      <c r="J85" s="7"/>
      <c r="K85" s="7"/>
      <c r="L85" s="7"/>
    </row>
    <row r="86" customFormat="false" ht="19.5" hidden="false" customHeight="true" outlineLevel="0" collapsed="false">
      <c r="A86" s="11" t="s">
        <v>238</v>
      </c>
      <c r="B86" s="17" t="s">
        <v>174</v>
      </c>
      <c r="C86" s="12" t="s">
        <v>218</v>
      </c>
      <c r="D86" s="12" t="s">
        <v>239</v>
      </c>
      <c r="E86" s="8" t="s">
        <v>19</v>
      </c>
      <c r="F86" s="13" t="s">
        <v>240</v>
      </c>
      <c r="G86" s="10" t="s">
        <v>21</v>
      </c>
      <c r="H86" s="12"/>
      <c r="I86" s="12"/>
      <c r="J86" s="12"/>
      <c r="K86" s="12"/>
      <c r="L86" s="12"/>
    </row>
    <row r="87" customFormat="false" ht="19.5" hidden="false" customHeight="true" outlineLevel="0" collapsed="false">
      <c r="A87" s="5" t="s">
        <v>241</v>
      </c>
      <c r="B87" s="17" t="s">
        <v>174</v>
      </c>
      <c r="C87" s="7" t="s">
        <v>242</v>
      </c>
      <c r="D87" s="7" t="s">
        <v>243</v>
      </c>
      <c r="E87" s="8" t="s">
        <v>19</v>
      </c>
      <c r="F87" s="9" t="s">
        <v>177</v>
      </c>
      <c r="G87" s="10" t="s">
        <v>21</v>
      </c>
      <c r="H87" s="7"/>
      <c r="I87" s="7"/>
      <c r="J87" s="7"/>
      <c r="K87" s="7"/>
      <c r="L87" s="7"/>
    </row>
    <row r="88" customFormat="false" ht="19.5" hidden="false" customHeight="true" outlineLevel="0" collapsed="false">
      <c r="A88" s="11" t="s">
        <v>244</v>
      </c>
      <c r="B88" s="17" t="s">
        <v>174</v>
      </c>
      <c r="C88" s="12" t="s">
        <v>242</v>
      </c>
      <c r="D88" s="12" t="s">
        <v>245</v>
      </c>
      <c r="E88" s="15" t="s">
        <v>53</v>
      </c>
      <c r="F88" s="13" t="s">
        <v>177</v>
      </c>
      <c r="G88" s="10" t="s">
        <v>21</v>
      </c>
      <c r="H88" s="12"/>
      <c r="I88" s="12"/>
      <c r="J88" s="12"/>
      <c r="K88" s="12"/>
      <c r="L88" s="12"/>
    </row>
    <row r="89" customFormat="false" ht="19.5" hidden="false" customHeight="true" outlineLevel="0" collapsed="false">
      <c r="A89" s="5" t="s">
        <v>246</v>
      </c>
      <c r="B89" s="17" t="s">
        <v>174</v>
      </c>
      <c r="C89" s="7" t="s">
        <v>242</v>
      </c>
      <c r="D89" s="7" t="s">
        <v>247</v>
      </c>
      <c r="E89" s="15" t="s">
        <v>53</v>
      </c>
      <c r="F89" s="9" t="s">
        <v>183</v>
      </c>
      <c r="G89" s="10" t="s">
        <v>21</v>
      </c>
      <c r="H89" s="7"/>
      <c r="I89" s="7"/>
      <c r="J89" s="7"/>
      <c r="K89" s="7"/>
      <c r="L89" s="7"/>
    </row>
    <row r="90" customFormat="false" ht="19.5" hidden="false" customHeight="true" outlineLevel="0" collapsed="false">
      <c r="A90" s="11" t="s">
        <v>248</v>
      </c>
      <c r="B90" s="17" t="s">
        <v>174</v>
      </c>
      <c r="C90" s="12" t="s">
        <v>242</v>
      </c>
      <c r="D90" s="12" t="s">
        <v>249</v>
      </c>
      <c r="E90" s="14" t="s">
        <v>27</v>
      </c>
      <c r="F90" s="13" t="s">
        <v>183</v>
      </c>
      <c r="G90" s="10" t="s">
        <v>21</v>
      </c>
      <c r="H90" s="12"/>
      <c r="I90" s="12"/>
      <c r="J90" s="12"/>
      <c r="K90" s="12"/>
      <c r="L90" s="12"/>
    </row>
    <row r="91" customFormat="false" ht="19.5" hidden="false" customHeight="true" outlineLevel="0" collapsed="false">
      <c r="A91" s="5" t="s">
        <v>250</v>
      </c>
      <c r="B91" s="17" t="s">
        <v>174</v>
      </c>
      <c r="C91" s="7" t="s">
        <v>251</v>
      </c>
      <c r="D91" s="7" t="s">
        <v>252</v>
      </c>
      <c r="E91" s="14" t="s">
        <v>27</v>
      </c>
      <c r="F91" s="9" t="s">
        <v>253</v>
      </c>
      <c r="G91" s="10" t="s">
        <v>21</v>
      </c>
      <c r="H91" s="7"/>
      <c r="I91" s="7"/>
      <c r="J91" s="7"/>
      <c r="K91" s="7"/>
      <c r="L91" s="7"/>
    </row>
    <row r="92" customFormat="false" ht="19.5" hidden="false" customHeight="true" outlineLevel="0" collapsed="false">
      <c r="A92" s="11" t="s">
        <v>254</v>
      </c>
      <c r="B92" s="17" t="s">
        <v>174</v>
      </c>
      <c r="C92" s="12" t="s">
        <v>251</v>
      </c>
      <c r="D92" s="12" t="s">
        <v>255</v>
      </c>
      <c r="E92" s="14" t="s">
        <v>27</v>
      </c>
      <c r="F92" s="13" t="s">
        <v>253</v>
      </c>
      <c r="G92" s="10" t="s">
        <v>21</v>
      </c>
      <c r="H92" s="12"/>
      <c r="I92" s="12"/>
      <c r="J92" s="12"/>
      <c r="K92" s="12"/>
      <c r="L92" s="12"/>
    </row>
    <row r="93" customFormat="false" ht="19.5" hidden="false" customHeight="true" outlineLevel="0" collapsed="false">
      <c r="A93" s="5" t="s">
        <v>256</v>
      </c>
      <c r="B93" s="17" t="s">
        <v>174</v>
      </c>
      <c r="C93" s="7" t="s">
        <v>251</v>
      </c>
      <c r="D93" s="7" t="s">
        <v>257</v>
      </c>
      <c r="E93" s="14" t="s">
        <v>27</v>
      </c>
      <c r="F93" s="9" t="s">
        <v>253</v>
      </c>
      <c r="G93" s="10" t="s">
        <v>21</v>
      </c>
      <c r="H93" s="7"/>
      <c r="I93" s="7"/>
      <c r="J93" s="7"/>
      <c r="K93" s="7"/>
      <c r="L93" s="7"/>
    </row>
    <row r="94" customFormat="false" ht="19.5" hidden="false" customHeight="true" outlineLevel="0" collapsed="false">
      <c r="A94" s="11" t="s">
        <v>258</v>
      </c>
      <c r="B94" s="17" t="s">
        <v>174</v>
      </c>
      <c r="C94" s="12" t="s">
        <v>251</v>
      </c>
      <c r="D94" s="12" t="s">
        <v>259</v>
      </c>
      <c r="E94" s="15" t="s">
        <v>53</v>
      </c>
      <c r="F94" s="13" t="s">
        <v>253</v>
      </c>
      <c r="G94" s="10" t="s">
        <v>21</v>
      </c>
      <c r="H94" s="12"/>
      <c r="I94" s="12"/>
      <c r="J94" s="12"/>
      <c r="K94" s="12"/>
      <c r="L94" s="12"/>
    </row>
    <row r="95" customFormat="false" ht="19.5" hidden="false" customHeight="true" outlineLevel="0" collapsed="false">
      <c r="A95" s="5" t="s">
        <v>260</v>
      </c>
      <c r="B95" s="17" t="s">
        <v>174</v>
      </c>
      <c r="C95" s="7" t="s">
        <v>251</v>
      </c>
      <c r="D95" s="7" t="s">
        <v>261</v>
      </c>
      <c r="E95" s="15" t="s">
        <v>53</v>
      </c>
      <c r="F95" s="9" t="s">
        <v>253</v>
      </c>
      <c r="G95" s="10" t="s">
        <v>21</v>
      </c>
      <c r="H95" s="7"/>
      <c r="I95" s="7"/>
      <c r="J95" s="7"/>
      <c r="K95" s="7"/>
      <c r="L95" s="7"/>
    </row>
    <row r="96" customFormat="false" ht="19.5" hidden="false" customHeight="true" outlineLevel="0" collapsed="false">
      <c r="A96" s="11" t="s">
        <v>262</v>
      </c>
      <c r="B96" s="17" t="s">
        <v>174</v>
      </c>
      <c r="C96" s="12" t="s">
        <v>263</v>
      </c>
      <c r="D96" s="12" t="s">
        <v>264</v>
      </c>
      <c r="E96" s="8" t="s">
        <v>19</v>
      </c>
      <c r="F96" s="13" t="s">
        <v>177</v>
      </c>
      <c r="G96" s="10" t="s">
        <v>21</v>
      </c>
      <c r="H96" s="12"/>
      <c r="I96" s="12"/>
      <c r="J96" s="12"/>
      <c r="K96" s="12"/>
      <c r="L96" s="12"/>
    </row>
    <row r="97" customFormat="false" ht="19.5" hidden="false" customHeight="true" outlineLevel="0" collapsed="false">
      <c r="A97" s="5" t="s">
        <v>265</v>
      </c>
      <c r="B97" s="17" t="s">
        <v>174</v>
      </c>
      <c r="C97" s="7" t="s">
        <v>263</v>
      </c>
      <c r="D97" s="7" t="s">
        <v>266</v>
      </c>
      <c r="E97" s="15" t="s">
        <v>53</v>
      </c>
      <c r="F97" s="9" t="s">
        <v>267</v>
      </c>
      <c r="G97" s="10" t="s">
        <v>21</v>
      </c>
      <c r="H97" s="7"/>
      <c r="I97" s="7"/>
      <c r="J97" s="7"/>
      <c r="K97" s="7"/>
      <c r="L97" s="7"/>
    </row>
    <row r="98" customFormat="false" ht="19.5" hidden="false" customHeight="true" outlineLevel="0" collapsed="false">
      <c r="A98" s="11" t="s">
        <v>268</v>
      </c>
      <c r="B98" s="17" t="s">
        <v>174</v>
      </c>
      <c r="C98" s="12" t="s">
        <v>263</v>
      </c>
      <c r="D98" s="12" t="s">
        <v>269</v>
      </c>
      <c r="E98" s="15" t="s">
        <v>53</v>
      </c>
      <c r="F98" s="13" t="s">
        <v>267</v>
      </c>
      <c r="G98" s="10" t="s">
        <v>21</v>
      </c>
      <c r="H98" s="12"/>
      <c r="I98" s="12"/>
      <c r="J98" s="12"/>
      <c r="K98" s="12"/>
      <c r="L98" s="12"/>
    </row>
    <row r="99" customFormat="false" ht="19.5" hidden="false" customHeight="true" outlineLevel="0" collapsed="false">
      <c r="A99" s="5" t="s">
        <v>270</v>
      </c>
      <c r="B99" s="17" t="s">
        <v>174</v>
      </c>
      <c r="C99" s="7" t="s">
        <v>263</v>
      </c>
      <c r="D99" s="7" t="s">
        <v>271</v>
      </c>
      <c r="E99" s="14" t="s">
        <v>27</v>
      </c>
      <c r="F99" s="9" t="s">
        <v>267</v>
      </c>
      <c r="G99" s="10" t="s">
        <v>21</v>
      </c>
      <c r="H99" s="7"/>
      <c r="I99" s="7"/>
      <c r="J99" s="7"/>
      <c r="K99" s="7"/>
      <c r="L99" s="7"/>
    </row>
    <row r="100" customFormat="false" ht="19.5" hidden="false" customHeight="true" outlineLevel="0" collapsed="false">
      <c r="A100" s="11" t="s">
        <v>272</v>
      </c>
      <c r="B100" s="17" t="s">
        <v>174</v>
      </c>
      <c r="C100" s="12" t="s">
        <v>263</v>
      </c>
      <c r="D100" s="12" t="s">
        <v>273</v>
      </c>
      <c r="E100" s="14" t="s">
        <v>27</v>
      </c>
      <c r="F100" s="13" t="s">
        <v>267</v>
      </c>
      <c r="G100" s="10" t="s">
        <v>21</v>
      </c>
      <c r="H100" s="12"/>
      <c r="I100" s="12"/>
      <c r="J100" s="12"/>
      <c r="K100" s="12"/>
      <c r="L100" s="12"/>
    </row>
    <row r="101" customFormat="false" ht="18" hidden="false" customHeight="true" outlineLevel="0" collapsed="false">
      <c r="A101" s="4" t="s">
        <v>274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9.5" hidden="false" customHeight="true" outlineLevel="0" collapsed="false">
      <c r="A102" s="5" t="s">
        <v>275</v>
      </c>
      <c r="B102" s="18" t="s">
        <v>276</v>
      </c>
      <c r="C102" s="7" t="s">
        <v>277</v>
      </c>
      <c r="D102" s="7" t="s">
        <v>278</v>
      </c>
      <c r="E102" s="8" t="s">
        <v>19</v>
      </c>
      <c r="F102" s="9" t="s">
        <v>279</v>
      </c>
      <c r="G102" s="10" t="s">
        <v>21</v>
      </c>
      <c r="H102" s="7"/>
      <c r="I102" s="7"/>
      <c r="J102" s="7"/>
      <c r="K102" s="7"/>
      <c r="L102" s="7"/>
    </row>
    <row r="103" customFormat="false" ht="19.5" hidden="false" customHeight="true" outlineLevel="0" collapsed="false">
      <c r="A103" s="11" t="s">
        <v>280</v>
      </c>
      <c r="B103" s="18" t="s">
        <v>276</v>
      </c>
      <c r="C103" s="12" t="s">
        <v>277</v>
      </c>
      <c r="D103" s="12" t="s">
        <v>281</v>
      </c>
      <c r="E103" s="8" t="s">
        <v>19</v>
      </c>
      <c r="F103" s="13" t="s">
        <v>282</v>
      </c>
      <c r="G103" s="10" t="s">
        <v>21</v>
      </c>
      <c r="H103" s="12"/>
      <c r="I103" s="12"/>
      <c r="J103" s="12"/>
      <c r="K103" s="12"/>
      <c r="L103" s="12"/>
    </row>
    <row r="104" customFormat="false" ht="19.5" hidden="false" customHeight="true" outlineLevel="0" collapsed="false">
      <c r="A104" s="5" t="s">
        <v>283</v>
      </c>
      <c r="B104" s="18" t="s">
        <v>276</v>
      </c>
      <c r="C104" s="7" t="s">
        <v>277</v>
      </c>
      <c r="D104" s="7" t="s">
        <v>284</v>
      </c>
      <c r="E104" s="8" t="s">
        <v>19</v>
      </c>
      <c r="F104" s="9" t="s">
        <v>285</v>
      </c>
      <c r="G104" s="10" t="s">
        <v>21</v>
      </c>
      <c r="H104" s="7"/>
      <c r="I104" s="7"/>
      <c r="J104" s="7"/>
      <c r="K104" s="7"/>
      <c r="L104" s="7"/>
    </row>
    <row r="105" customFormat="false" ht="19.5" hidden="false" customHeight="true" outlineLevel="0" collapsed="false">
      <c r="A105" s="11" t="s">
        <v>286</v>
      </c>
      <c r="B105" s="18" t="s">
        <v>276</v>
      </c>
      <c r="C105" s="12" t="s">
        <v>277</v>
      </c>
      <c r="D105" s="12" t="s">
        <v>287</v>
      </c>
      <c r="E105" s="8" t="s">
        <v>19</v>
      </c>
      <c r="F105" s="13" t="s">
        <v>285</v>
      </c>
      <c r="G105" s="10" t="s">
        <v>21</v>
      </c>
      <c r="H105" s="12"/>
      <c r="I105" s="12"/>
      <c r="J105" s="12"/>
      <c r="K105" s="12"/>
      <c r="L105" s="12"/>
    </row>
    <row r="106" customFormat="false" ht="19.5" hidden="false" customHeight="true" outlineLevel="0" collapsed="false">
      <c r="A106" s="5" t="s">
        <v>288</v>
      </c>
      <c r="B106" s="18" t="s">
        <v>276</v>
      </c>
      <c r="C106" s="7" t="s">
        <v>277</v>
      </c>
      <c r="D106" s="7" t="s">
        <v>289</v>
      </c>
      <c r="E106" s="14" t="s">
        <v>27</v>
      </c>
      <c r="F106" s="9" t="s">
        <v>285</v>
      </c>
      <c r="G106" s="10" t="s">
        <v>21</v>
      </c>
      <c r="H106" s="7"/>
      <c r="I106" s="7"/>
      <c r="J106" s="7"/>
      <c r="K106" s="7"/>
      <c r="L106" s="7"/>
    </row>
    <row r="107" customFormat="false" ht="19.5" hidden="false" customHeight="true" outlineLevel="0" collapsed="false">
      <c r="A107" s="11" t="s">
        <v>290</v>
      </c>
      <c r="B107" s="18" t="s">
        <v>276</v>
      </c>
      <c r="C107" s="12" t="s">
        <v>277</v>
      </c>
      <c r="D107" s="12" t="s">
        <v>291</v>
      </c>
      <c r="E107" s="14" t="s">
        <v>27</v>
      </c>
      <c r="F107" s="13" t="s">
        <v>285</v>
      </c>
      <c r="G107" s="10" t="s">
        <v>21</v>
      </c>
      <c r="H107" s="12"/>
      <c r="I107" s="12"/>
      <c r="J107" s="12"/>
      <c r="K107" s="12"/>
      <c r="L107" s="12"/>
    </row>
    <row r="108" customFormat="false" ht="19.5" hidden="false" customHeight="true" outlineLevel="0" collapsed="false">
      <c r="A108" s="5" t="s">
        <v>292</v>
      </c>
      <c r="B108" s="18" t="s">
        <v>276</v>
      </c>
      <c r="C108" s="7" t="s">
        <v>293</v>
      </c>
      <c r="D108" s="7" t="s">
        <v>294</v>
      </c>
      <c r="E108" s="8" t="s">
        <v>19</v>
      </c>
      <c r="F108" s="9" t="s">
        <v>295</v>
      </c>
      <c r="G108" s="10" t="s">
        <v>21</v>
      </c>
      <c r="H108" s="7"/>
      <c r="I108" s="7"/>
      <c r="J108" s="7"/>
      <c r="K108" s="7"/>
      <c r="L108" s="7"/>
    </row>
    <row r="109" customFormat="false" ht="19.5" hidden="false" customHeight="true" outlineLevel="0" collapsed="false">
      <c r="A109" s="11" t="s">
        <v>296</v>
      </c>
      <c r="B109" s="18" t="s">
        <v>276</v>
      </c>
      <c r="C109" s="12" t="s">
        <v>293</v>
      </c>
      <c r="D109" s="12" t="s">
        <v>297</v>
      </c>
      <c r="E109" s="14" t="s">
        <v>27</v>
      </c>
      <c r="F109" s="13" t="s">
        <v>295</v>
      </c>
      <c r="G109" s="10" t="s">
        <v>21</v>
      </c>
      <c r="H109" s="12"/>
      <c r="I109" s="12"/>
      <c r="J109" s="12"/>
      <c r="K109" s="12"/>
      <c r="L109" s="12"/>
    </row>
    <row r="110" customFormat="false" ht="19.5" hidden="false" customHeight="true" outlineLevel="0" collapsed="false">
      <c r="A110" s="5" t="s">
        <v>298</v>
      </c>
      <c r="B110" s="18" t="s">
        <v>276</v>
      </c>
      <c r="C110" s="7" t="s">
        <v>293</v>
      </c>
      <c r="D110" s="7" t="s">
        <v>299</v>
      </c>
      <c r="E110" s="8" t="s">
        <v>19</v>
      </c>
      <c r="F110" s="9" t="s">
        <v>295</v>
      </c>
      <c r="G110" s="10" t="s">
        <v>21</v>
      </c>
      <c r="H110" s="7"/>
      <c r="I110" s="7"/>
      <c r="J110" s="7"/>
      <c r="K110" s="7"/>
      <c r="L110" s="7"/>
    </row>
    <row r="111" customFormat="false" ht="19.5" hidden="false" customHeight="true" outlineLevel="0" collapsed="false">
      <c r="A111" s="11" t="s">
        <v>300</v>
      </c>
      <c r="B111" s="18" t="s">
        <v>276</v>
      </c>
      <c r="C111" s="12" t="s">
        <v>301</v>
      </c>
      <c r="D111" s="12" t="s">
        <v>302</v>
      </c>
      <c r="E111" s="8" t="s">
        <v>19</v>
      </c>
      <c r="F111" s="13" t="s">
        <v>303</v>
      </c>
      <c r="G111" s="10" t="s">
        <v>21</v>
      </c>
      <c r="H111" s="12"/>
      <c r="I111" s="12"/>
      <c r="J111" s="12"/>
      <c r="K111" s="12"/>
      <c r="L111" s="12"/>
    </row>
    <row r="112" customFormat="false" ht="19.5" hidden="false" customHeight="true" outlineLevel="0" collapsed="false">
      <c r="A112" s="5" t="s">
        <v>304</v>
      </c>
      <c r="B112" s="18" t="s">
        <v>276</v>
      </c>
      <c r="C112" s="7" t="s">
        <v>301</v>
      </c>
      <c r="D112" s="7" t="s">
        <v>305</v>
      </c>
      <c r="E112" s="8" t="s">
        <v>19</v>
      </c>
      <c r="F112" s="9" t="s">
        <v>303</v>
      </c>
      <c r="G112" s="10" t="s">
        <v>21</v>
      </c>
      <c r="H112" s="7"/>
      <c r="I112" s="7"/>
      <c r="J112" s="7"/>
      <c r="K112" s="7"/>
      <c r="L112" s="7"/>
    </row>
    <row r="113" customFormat="false" ht="19.5" hidden="false" customHeight="true" outlineLevel="0" collapsed="false">
      <c r="A113" s="11" t="s">
        <v>306</v>
      </c>
      <c r="B113" s="18" t="s">
        <v>276</v>
      </c>
      <c r="C113" s="12" t="s">
        <v>301</v>
      </c>
      <c r="D113" s="12" t="s">
        <v>307</v>
      </c>
      <c r="E113" s="8" t="s">
        <v>19</v>
      </c>
      <c r="F113" s="13" t="s">
        <v>303</v>
      </c>
      <c r="G113" s="10" t="s">
        <v>21</v>
      </c>
      <c r="H113" s="12"/>
      <c r="I113" s="12"/>
      <c r="J113" s="12"/>
      <c r="K113" s="12"/>
      <c r="L113" s="12"/>
    </row>
    <row r="114" customFormat="false" ht="19.5" hidden="false" customHeight="true" outlineLevel="0" collapsed="false">
      <c r="A114" s="5" t="s">
        <v>308</v>
      </c>
      <c r="B114" s="18" t="s">
        <v>276</v>
      </c>
      <c r="C114" s="7" t="s">
        <v>301</v>
      </c>
      <c r="D114" s="7" t="s">
        <v>309</v>
      </c>
      <c r="E114" s="8" t="s">
        <v>19</v>
      </c>
      <c r="F114" s="9" t="s">
        <v>310</v>
      </c>
      <c r="G114" s="10" t="s">
        <v>21</v>
      </c>
      <c r="H114" s="7"/>
      <c r="I114" s="7"/>
      <c r="J114" s="7"/>
      <c r="K114" s="7"/>
      <c r="L114" s="7"/>
    </row>
    <row r="115" customFormat="false" ht="19.5" hidden="false" customHeight="true" outlineLevel="0" collapsed="false">
      <c r="A115" s="11" t="s">
        <v>311</v>
      </c>
      <c r="B115" s="18" t="s">
        <v>276</v>
      </c>
      <c r="C115" s="12" t="s">
        <v>312</v>
      </c>
      <c r="D115" s="12" t="s">
        <v>313</v>
      </c>
      <c r="E115" s="8" t="s">
        <v>19</v>
      </c>
      <c r="F115" s="13" t="s">
        <v>314</v>
      </c>
      <c r="G115" s="10" t="s">
        <v>21</v>
      </c>
      <c r="H115" s="12"/>
      <c r="I115" s="12"/>
      <c r="J115" s="12"/>
      <c r="K115" s="12"/>
      <c r="L115" s="12"/>
    </row>
    <row r="116" customFormat="false" ht="19.5" hidden="false" customHeight="true" outlineLevel="0" collapsed="false">
      <c r="A116" s="5" t="s">
        <v>315</v>
      </c>
      <c r="B116" s="18" t="s">
        <v>276</v>
      </c>
      <c r="C116" s="7" t="s">
        <v>312</v>
      </c>
      <c r="D116" s="7" t="s">
        <v>316</v>
      </c>
      <c r="E116" s="8" t="s">
        <v>19</v>
      </c>
      <c r="F116" s="9" t="s">
        <v>314</v>
      </c>
      <c r="G116" s="10" t="s">
        <v>21</v>
      </c>
      <c r="H116" s="7"/>
      <c r="I116" s="7"/>
      <c r="J116" s="7"/>
      <c r="K116" s="7"/>
      <c r="L116" s="7"/>
    </row>
    <row r="117" customFormat="false" ht="19.5" hidden="false" customHeight="true" outlineLevel="0" collapsed="false">
      <c r="A117" s="11" t="s">
        <v>317</v>
      </c>
      <c r="B117" s="18" t="s">
        <v>276</v>
      </c>
      <c r="C117" s="12" t="s">
        <v>312</v>
      </c>
      <c r="D117" s="12" t="s">
        <v>318</v>
      </c>
      <c r="E117" s="15" t="s">
        <v>53</v>
      </c>
      <c r="F117" s="13" t="s">
        <v>314</v>
      </c>
      <c r="G117" s="10" t="s">
        <v>21</v>
      </c>
      <c r="H117" s="12"/>
      <c r="I117" s="12"/>
      <c r="J117" s="12"/>
      <c r="K117" s="12"/>
      <c r="L117" s="12"/>
    </row>
    <row r="118" customFormat="false" ht="19.5" hidden="false" customHeight="true" outlineLevel="0" collapsed="false">
      <c r="A118" s="5" t="s">
        <v>319</v>
      </c>
      <c r="B118" s="18" t="s">
        <v>276</v>
      </c>
      <c r="C118" s="7" t="s">
        <v>312</v>
      </c>
      <c r="D118" s="7" t="s">
        <v>320</v>
      </c>
      <c r="E118" s="14" t="s">
        <v>27</v>
      </c>
      <c r="F118" s="9" t="s">
        <v>314</v>
      </c>
      <c r="G118" s="10" t="s">
        <v>21</v>
      </c>
      <c r="H118" s="7"/>
      <c r="I118" s="7"/>
      <c r="J118" s="7"/>
      <c r="K118" s="7"/>
      <c r="L118" s="7"/>
    </row>
    <row r="119" customFormat="false" ht="19.5" hidden="false" customHeight="true" outlineLevel="0" collapsed="false">
      <c r="A119" s="11" t="s">
        <v>321</v>
      </c>
      <c r="B119" s="18" t="s">
        <v>276</v>
      </c>
      <c r="C119" s="12" t="s">
        <v>312</v>
      </c>
      <c r="D119" s="12" t="s">
        <v>322</v>
      </c>
      <c r="E119" s="8" t="s">
        <v>19</v>
      </c>
      <c r="F119" s="13" t="s">
        <v>314</v>
      </c>
      <c r="G119" s="10" t="s">
        <v>21</v>
      </c>
      <c r="H119" s="12"/>
      <c r="I119" s="12"/>
      <c r="J119" s="12"/>
      <c r="K119" s="12"/>
      <c r="L119" s="12"/>
    </row>
    <row r="120" customFormat="false" ht="19.5" hidden="false" customHeight="true" outlineLevel="0" collapsed="false">
      <c r="A120" s="5" t="s">
        <v>323</v>
      </c>
      <c r="B120" s="18" t="s">
        <v>276</v>
      </c>
      <c r="C120" s="7" t="s">
        <v>324</v>
      </c>
      <c r="D120" s="7" t="s">
        <v>325</v>
      </c>
      <c r="E120" s="14" t="s">
        <v>27</v>
      </c>
      <c r="F120" s="9" t="s">
        <v>285</v>
      </c>
      <c r="G120" s="10" t="s">
        <v>21</v>
      </c>
      <c r="H120" s="7"/>
      <c r="I120" s="7"/>
      <c r="J120" s="7"/>
      <c r="K120" s="7"/>
      <c r="L120" s="7"/>
    </row>
    <row r="121" customFormat="false" ht="19.5" hidden="false" customHeight="true" outlineLevel="0" collapsed="false">
      <c r="A121" s="11" t="s">
        <v>326</v>
      </c>
      <c r="B121" s="18" t="s">
        <v>276</v>
      </c>
      <c r="C121" s="12" t="s">
        <v>324</v>
      </c>
      <c r="D121" s="12" t="s">
        <v>327</v>
      </c>
      <c r="E121" s="8" t="s">
        <v>19</v>
      </c>
      <c r="F121" s="13" t="s">
        <v>285</v>
      </c>
      <c r="G121" s="10" t="s">
        <v>21</v>
      </c>
      <c r="H121" s="12"/>
      <c r="I121" s="12"/>
      <c r="J121" s="12"/>
      <c r="K121" s="12"/>
      <c r="L121" s="12"/>
    </row>
    <row r="122" customFormat="false" ht="19.5" hidden="false" customHeight="true" outlineLevel="0" collapsed="false">
      <c r="A122" s="5" t="s">
        <v>328</v>
      </c>
      <c r="B122" s="18" t="s">
        <v>276</v>
      </c>
      <c r="C122" s="7" t="s">
        <v>324</v>
      </c>
      <c r="D122" s="7" t="s">
        <v>329</v>
      </c>
      <c r="E122" s="14" t="s">
        <v>27</v>
      </c>
      <c r="F122" s="9" t="s">
        <v>285</v>
      </c>
      <c r="G122" s="10" t="s">
        <v>21</v>
      </c>
      <c r="H122" s="7"/>
      <c r="I122" s="7"/>
      <c r="J122" s="7"/>
      <c r="K122" s="7"/>
      <c r="L122" s="7"/>
    </row>
    <row r="123" customFormat="false" ht="19.5" hidden="false" customHeight="true" outlineLevel="0" collapsed="false">
      <c r="A123" s="11" t="s">
        <v>330</v>
      </c>
      <c r="B123" s="18" t="s">
        <v>276</v>
      </c>
      <c r="C123" s="12" t="s">
        <v>331</v>
      </c>
      <c r="D123" s="12" t="s">
        <v>332</v>
      </c>
      <c r="E123" s="14" t="s">
        <v>27</v>
      </c>
      <c r="F123" s="13" t="s">
        <v>333</v>
      </c>
      <c r="G123" s="10" t="s">
        <v>21</v>
      </c>
      <c r="H123" s="12"/>
      <c r="I123" s="12"/>
      <c r="J123" s="12"/>
      <c r="K123" s="12"/>
      <c r="L123" s="12"/>
    </row>
    <row r="124" customFormat="false" ht="19.5" hidden="false" customHeight="true" outlineLevel="0" collapsed="false">
      <c r="A124" s="5" t="s">
        <v>334</v>
      </c>
      <c r="B124" s="18" t="s">
        <v>276</v>
      </c>
      <c r="C124" s="7" t="s">
        <v>331</v>
      </c>
      <c r="D124" s="7" t="s">
        <v>335</v>
      </c>
      <c r="E124" s="14" t="s">
        <v>27</v>
      </c>
      <c r="F124" s="9" t="s">
        <v>333</v>
      </c>
      <c r="G124" s="10" t="s">
        <v>21</v>
      </c>
      <c r="H124" s="7"/>
      <c r="I124" s="7"/>
      <c r="J124" s="7"/>
      <c r="K124" s="7"/>
      <c r="L124" s="7"/>
    </row>
    <row r="125" customFormat="false" ht="19.5" hidden="false" customHeight="true" outlineLevel="0" collapsed="false">
      <c r="A125" s="11" t="s">
        <v>336</v>
      </c>
      <c r="B125" s="18" t="s">
        <v>276</v>
      </c>
      <c r="C125" s="12" t="s">
        <v>331</v>
      </c>
      <c r="D125" s="12" t="s">
        <v>337</v>
      </c>
      <c r="E125" s="15" t="s">
        <v>53</v>
      </c>
      <c r="F125" s="13" t="s">
        <v>333</v>
      </c>
      <c r="G125" s="10" t="s">
        <v>21</v>
      </c>
      <c r="H125" s="12"/>
      <c r="I125" s="12"/>
      <c r="J125" s="12"/>
      <c r="K125" s="12"/>
      <c r="L125" s="12"/>
    </row>
    <row r="126" customFormat="false" ht="19.5" hidden="false" customHeight="true" outlineLevel="0" collapsed="false">
      <c r="A126" s="5" t="s">
        <v>338</v>
      </c>
      <c r="B126" s="18" t="s">
        <v>276</v>
      </c>
      <c r="C126" s="7" t="s">
        <v>339</v>
      </c>
      <c r="D126" s="7" t="s">
        <v>340</v>
      </c>
      <c r="E126" s="14" t="s">
        <v>27</v>
      </c>
      <c r="F126" s="9" t="s">
        <v>341</v>
      </c>
      <c r="G126" s="10" t="s">
        <v>21</v>
      </c>
      <c r="H126" s="7"/>
      <c r="I126" s="7"/>
      <c r="J126" s="7"/>
      <c r="K126" s="7"/>
      <c r="L126" s="7"/>
    </row>
    <row r="127" customFormat="false" ht="19.5" hidden="false" customHeight="true" outlineLevel="0" collapsed="false">
      <c r="A127" s="11" t="s">
        <v>342</v>
      </c>
      <c r="B127" s="18" t="s">
        <v>276</v>
      </c>
      <c r="C127" s="12" t="s">
        <v>339</v>
      </c>
      <c r="D127" s="12" t="s">
        <v>343</v>
      </c>
      <c r="E127" s="15" t="s">
        <v>53</v>
      </c>
      <c r="F127" s="13" t="s">
        <v>341</v>
      </c>
      <c r="G127" s="10" t="s">
        <v>21</v>
      </c>
      <c r="H127" s="12"/>
      <c r="I127" s="12"/>
      <c r="J127" s="12"/>
      <c r="K127" s="12"/>
      <c r="L127" s="12"/>
    </row>
    <row r="128" customFormat="false" ht="19.5" hidden="false" customHeight="true" outlineLevel="0" collapsed="false">
      <c r="A128" s="5" t="s">
        <v>344</v>
      </c>
      <c r="B128" s="18" t="s">
        <v>276</v>
      </c>
      <c r="C128" s="7" t="s">
        <v>339</v>
      </c>
      <c r="D128" s="7" t="s">
        <v>345</v>
      </c>
      <c r="E128" s="14" t="s">
        <v>27</v>
      </c>
      <c r="F128" s="9" t="s">
        <v>341</v>
      </c>
      <c r="G128" s="10" t="s">
        <v>21</v>
      </c>
      <c r="H128" s="7"/>
      <c r="I128" s="7"/>
      <c r="J128" s="7"/>
      <c r="K128" s="7"/>
      <c r="L128" s="7"/>
    </row>
    <row r="129" customFormat="false" ht="19.5" hidden="false" customHeight="true" outlineLevel="0" collapsed="false">
      <c r="A129" s="11" t="s">
        <v>346</v>
      </c>
      <c r="B129" s="18" t="s">
        <v>276</v>
      </c>
      <c r="C129" s="12" t="s">
        <v>339</v>
      </c>
      <c r="D129" s="12" t="s">
        <v>347</v>
      </c>
      <c r="E129" s="15" t="s">
        <v>53</v>
      </c>
      <c r="F129" s="13" t="s">
        <v>341</v>
      </c>
      <c r="G129" s="10" t="s">
        <v>21</v>
      </c>
      <c r="H129" s="12"/>
      <c r="I129" s="12"/>
      <c r="J129" s="12"/>
      <c r="K129" s="12"/>
      <c r="L129" s="12"/>
    </row>
    <row r="130" customFormat="false" ht="19.5" hidden="false" customHeight="true" outlineLevel="0" collapsed="false">
      <c r="A130" s="5" t="s">
        <v>348</v>
      </c>
      <c r="B130" s="18" t="s">
        <v>276</v>
      </c>
      <c r="C130" s="7" t="s">
        <v>349</v>
      </c>
      <c r="D130" s="7" t="s">
        <v>350</v>
      </c>
      <c r="E130" s="14" t="s">
        <v>27</v>
      </c>
      <c r="F130" s="9" t="s">
        <v>351</v>
      </c>
      <c r="G130" s="10" t="s">
        <v>21</v>
      </c>
      <c r="H130" s="7"/>
      <c r="I130" s="7"/>
      <c r="J130" s="7"/>
      <c r="K130" s="7"/>
      <c r="L130" s="7"/>
    </row>
    <row r="131" customFormat="false" ht="19.5" hidden="false" customHeight="true" outlineLevel="0" collapsed="false">
      <c r="A131" s="11" t="s">
        <v>352</v>
      </c>
      <c r="B131" s="18" t="s">
        <v>276</v>
      </c>
      <c r="C131" s="12" t="s">
        <v>349</v>
      </c>
      <c r="D131" s="12" t="s">
        <v>353</v>
      </c>
      <c r="E131" s="14" t="s">
        <v>27</v>
      </c>
      <c r="F131" s="13" t="s">
        <v>351</v>
      </c>
      <c r="G131" s="10" t="s">
        <v>21</v>
      </c>
      <c r="H131" s="12"/>
      <c r="I131" s="12"/>
      <c r="J131" s="12"/>
      <c r="K131" s="12"/>
      <c r="L131" s="12"/>
    </row>
    <row r="132" customFormat="false" ht="19.5" hidden="false" customHeight="true" outlineLevel="0" collapsed="false">
      <c r="A132" s="5" t="s">
        <v>354</v>
      </c>
      <c r="B132" s="18" t="s">
        <v>276</v>
      </c>
      <c r="C132" s="7" t="s">
        <v>349</v>
      </c>
      <c r="D132" s="7" t="s">
        <v>355</v>
      </c>
      <c r="E132" s="8" t="s">
        <v>19</v>
      </c>
      <c r="F132" s="9" t="s">
        <v>351</v>
      </c>
      <c r="G132" s="10" t="s">
        <v>21</v>
      </c>
      <c r="H132" s="7"/>
      <c r="I132" s="7"/>
      <c r="J132" s="7"/>
      <c r="K132" s="7"/>
      <c r="L132" s="7"/>
    </row>
    <row r="133" customFormat="false" ht="19.5" hidden="false" customHeight="true" outlineLevel="0" collapsed="false">
      <c r="A133" s="11" t="s">
        <v>356</v>
      </c>
      <c r="B133" s="18" t="s">
        <v>276</v>
      </c>
      <c r="C133" s="12" t="s">
        <v>349</v>
      </c>
      <c r="D133" s="12" t="s">
        <v>357</v>
      </c>
      <c r="E133" s="8" t="s">
        <v>19</v>
      </c>
      <c r="F133" s="13" t="s">
        <v>351</v>
      </c>
      <c r="G133" s="10" t="s">
        <v>21</v>
      </c>
      <c r="H133" s="12"/>
      <c r="I133" s="12"/>
      <c r="J133" s="12"/>
      <c r="K133" s="12"/>
      <c r="L133" s="12"/>
    </row>
    <row r="134" customFormat="false" ht="19.5" hidden="false" customHeight="true" outlineLevel="0" collapsed="false">
      <c r="A134" s="5" t="s">
        <v>358</v>
      </c>
      <c r="B134" s="18" t="s">
        <v>276</v>
      </c>
      <c r="C134" s="7" t="s">
        <v>349</v>
      </c>
      <c r="D134" s="7" t="s">
        <v>359</v>
      </c>
      <c r="E134" s="15" t="s">
        <v>53</v>
      </c>
      <c r="F134" s="9" t="s">
        <v>351</v>
      </c>
      <c r="G134" s="10" t="s">
        <v>21</v>
      </c>
      <c r="H134" s="7"/>
      <c r="I134" s="7"/>
      <c r="J134" s="7"/>
      <c r="K134" s="7"/>
      <c r="L134" s="7"/>
    </row>
    <row r="135" customFormat="false" ht="19.5" hidden="false" customHeight="true" outlineLevel="0" collapsed="false">
      <c r="A135" s="11" t="s">
        <v>360</v>
      </c>
      <c r="B135" s="18" t="s">
        <v>276</v>
      </c>
      <c r="C135" s="12" t="s">
        <v>361</v>
      </c>
      <c r="D135" s="12" t="s">
        <v>362</v>
      </c>
      <c r="E135" s="14" t="s">
        <v>27</v>
      </c>
      <c r="F135" s="13" t="s">
        <v>363</v>
      </c>
      <c r="G135" s="10" t="s">
        <v>21</v>
      </c>
      <c r="H135" s="12"/>
      <c r="I135" s="12"/>
      <c r="J135" s="12"/>
      <c r="K135" s="12"/>
      <c r="L135" s="12"/>
    </row>
    <row r="136" customFormat="false" ht="19.5" hidden="false" customHeight="true" outlineLevel="0" collapsed="false">
      <c r="A136" s="5" t="s">
        <v>364</v>
      </c>
      <c r="B136" s="18" t="s">
        <v>276</v>
      </c>
      <c r="C136" s="7" t="s">
        <v>361</v>
      </c>
      <c r="D136" s="7" t="s">
        <v>365</v>
      </c>
      <c r="E136" s="14" t="s">
        <v>27</v>
      </c>
      <c r="F136" s="9" t="s">
        <v>363</v>
      </c>
      <c r="G136" s="10" t="s">
        <v>21</v>
      </c>
      <c r="H136" s="7"/>
      <c r="I136" s="7"/>
      <c r="J136" s="7"/>
      <c r="K136" s="7"/>
      <c r="L136" s="7"/>
    </row>
    <row r="137" customFormat="false" ht="19.5" hidden="false" customHeight="true" outlineLevel="0" collapsed="false">
      <c r="A137" s="11" t="s">
        <v>366</v>
      </c>
      <c r="B137" s="18" t="s">
        <v>276</v>
      </c>
      <c r="C137" s="12" t="s">
        <v>361</v>
      </c>
      <c r="D137" s="12" t="s">
        <v>367</v>
      </c>
      <c r="E137" s="8" t="s">
        <v>19</v>
      </c>
      <c r="F137" s="13" t="s">
        <v>363</v>
      </c>
      <c r="G137" s="10" t="s">
        <v>21</v>
      </c>
      <c r="H137" s="12"/>
      <c r="I137" s="12"/>
      <c r="J137" s="12"/>
      <c r="K137" s="12"/>
      <c r="L137" s="12"/>
    </row>
    <row r="138" customFormat="false" ht="19.5" hidden="false" customHeight="true" outlineLevel="0" collapsed="false">
      <c r="A138" s="5" t="s">
        <v>368</v>
      </c>
      <c r="B138" s="18" t="s">
        <v>276</v>
      </c>
      <c r="C138" s="7" t="s">
        <v>361</v>
      </c>
      <c r="D138" s="7" t="s">
        <v>369</v>
      </c>
      <c r="E138" s="8" t="s">
        <v>19</v>
      </c>
      <c r="F138" s="9" t="s">
        <v>363</v>
      </c>
      <c r="G138" s="10" t="s">
        <v>21</v>
      </c>
      <c r="H138" s="7"/>
      <c r="I138" s="7"/>
      <c r="J138" s="7"/>
      <c r="K138" s="7"/>
      <c r="L138" s="7"/>
    </row>
    <row r="139" customFormat="false" ht="19.5" hidden="false" customHeight="true" outlineLevel="0" collapsed="false">
      <c r="A139" s="11" t="s">
        <v>370</v>
      </c>
      <c r="B139" s="18" t="s">
        <v>276</v>
      </c>
      <c r="C139" s="12" t="s">
        <v>361</v>
      </c>
      <c r="D139" s="12" t="s">
        <v>371</v>
      </c>
      <c r="E139" s="15" t="s">
        <v>53</v>
      </c>
      <c r="F139" s="13" t="s">
        <v>363</v>
      </c>
      <c r="G139" s="10" t="s">
        <v>21</v>
      </c>
      <c r="H139" s="12"/>
      <c r="I139" s="12"/>
      <c r="J139" s="12"/>
      <c r="K139" s="12"/>
      <c r="L139" s="12"/>
    </row>
    <row r="140" customFormat="false" ht="19.5" hidden="false" customHeight="true" outlineLevel="0" collapsed="false">
      <c r="A140" s="5" t="s">
        <v>372</v>
      </c>
      <c r="B140" s="18" t="s">
        <v>276</v>
      </c>
      <c r="C140" s="7" t="s">
        <v>373</v>
      </c>
      <c r="D140" s="7" t="s">
        <v>374</v>
      </c>
      <c r="E140" s="14" t="s">
        <v>27</v>
      </c>
      <c r="F140" s="9" t="s">
        <v>375</v>
      </c>
      <c r="G140" s="10" t="s">
        <v>21</v>
      </c>
      <c r="H140" s="7"/>
      <c r="I140" s="7"/>
      <c r="J140" s="7"/>
      <c r="K140" s="7"/>
      <c r="L140" s="7"/>
    </row>
    <row r="141" customFormat="false" ht="19.5" hidden="false" customHeight="true" outlineLevel="0" collapsed="false">
      <c r="A141" s="11" t="s">
        <v>376</v>
      </c>
      <c r="B141" s="18" t="s">
        <v>276</v>
      </c>
      <c r="C141" s="12" t="s">
        <v>373</v>
      </c>
      <c r="D141" s="12" t="s">
        <v>377</v>
      </c>
      <c r="E141" s="8" t="s">
        <v>19</v>
      </c>
      <c r="F141" s="13" t="s">
        <v>375</v>
      </c>
      <c r="G141" s="10" t="s">
        <v>21</v>
      </c>
      <c r="H141" s="12"/>
      <c r="I141" s="12"/>
      <c r="J141" s="12"/>
      <c r="K141" s="12"/>
      <c r="L141" s="12"/>
    </row>
    <row r="142" customFormat="false" ht="19.5" hidden="false" customHeight="true" outlineLevel="0" collapsed="false">
      <c r="A142" s="5" t="s">
        <v>378</v>
      </c>
      <c r="B142" s="18" t="s">
        <v>276</v>
      </c>
      <c r="C142" s="7" t="s">
        <v>242</v>
      </c>
      <c r="D142" s="7" t="s">
        <v>379</v>
      </c>
      <c r="E142" s="8" t="s">
        <v>19</v>
      </c>
      <c r="F142" s="9" t="s">
        <v>303</v>
      </c>
      <c r="G142" s="10" t="s">
        <v>21</v>
      </c>
      <c r="H142" s="7"/>
      <c r="I142" s="7"/>
      <c r="J142" s="7"/>
      <c r="K142" s="7"/>
      <c r="L142" s="7"/>
    </row>
    <row r="143" customFormat="false" ht="19.5" hidden="false" customHeight="true" outlineLevel="0" collapsed="false">
      <c r="A143" s="11" t="s">
        <v>380</v>
      </c>
      <c r="B143" s="18" t="s">
        <v>276</v>
      </c>
      <c r="C143" s="12" t="s">
        <v>242</v>
      </c>
      <c r="D143" s="12" t="s">
        <v>381</v>
      </c>
      <c r="E143" s="8" t="s">
        <v>19</v>
      </c>
      <c r="F143" s="13" t="s">
        <v>285</v>
      </c>
      <c r="G143" s="10" t="s">
        <v>21</v>
      </c>
      <c r="H143" s="12"/>
      <c r="I143" s="12"/>
      <c r="J143" s="12"/>
      <c r="K143" s="12"/>
      <c r="L143" s="12"/>
    </row>
    <row r="144" customFormat="false" ht="19.5" hidden="false" customHeight="true" outlineLevel="0" collapsed="false">
      <c r="A144" s="5" t="s">
        <v>382</v>
      </c>
      <c r="B144" s="18" t="s">
        <v>276</v>
      </c>
      <c r="C144" s="7" t="s">
        <v>242</v>
      </c>
      <c r="D144" s="7" t="s">
        <v>383</v>
      </c>
      <c r="E144" s="8" t="s">
        <v>19</v>
      </c>
      <c r="F144" s="9" t="s">
        <v>314</v>
      </c>
      <c r="G144" s="10" t="s">
        <v>21</v>
      </c>
      <c r="H144" s="7"/>
      <c r="I144" s="7"/>
      <c r="J144" s="7"/>
      <c r="K144" s="7"/>
      <c r="L144" s="7"/>
    </row>
    <row r="145" customFormat="false" ht="19.5" hidden="false" customHeight="true" outlineLevel="0" collapsed="false">
      <c r="A145" s="11" t="s">
        <v>384</v>
      </c>
      <c r="B145" s="18" t="s">
        <v>276</v>
      </c>
      <c r="C145" s="12" t="s">
        <v>251</v>
      </c>
      <c r="D145" s="12" t="s">
        <v>385</v>
      </c>
      <c r="E145" s="14" t="s">
        <v>27</v>
      </c>
      <c r="F145" s="13" t="s">
        <v>386</v>
      </c>
      <c r="G145" s="10" t="s">
        <v>21</v>
      </c>
      <c r="H145" s="12"/>
      <c r="I145" s="12"/>
      <c r="J145" s="12"/>
      <c r="K145" s="12"/>
      <c r="L145" s="12"/>
    </row>
    <row r="146" customFormat="false" ht="19.5" hidden="false" customHeight="true" outlineLevel="0" collapsed="false">
      <c r="A146" s="5" t="s">
        <v>387</v>
      </c>
      <c r="B146" s="18" t="s">
        <v>276</v>
      </c>
      <c r="C146" s="7" t="s">
        <v>251</v>
      </c>
      <c r="D146" s="7" t="s">
        <v>388</v>
      </c>
      <c r="E146" s="14" t="s">
        <v>27</v>
      </c>
      <c r="F146" s="9" t="s">
        <v>386</v>
      </c>
      <c r="G146" s="10" t="s">
        <v>21</v>
      </c>
      <c r="H146" s="7"/>
      <c r="I146" s="7"/>
      <c r="J146" s="7"/>
      <c r="K146" s="7"/>
      <c r="L146" s="7"/>
    </row>
    <row r="147" customFormat="false" ht="19.5" hidden="false" customHeight="true" outlineLevel="0" collapsed="false">
      <c r="A147" s="11" t="s">
        <v>389</v>
      </c>
      <c r="B147" s="18" t="s">
        <v>276</v>
      </c>
      <c r="C147" s="12" t="s">
        <v>251</v>
      </c>
      <c r="D147" s="12" t="s">
        <v>390</v>
      </c>
      <c r="E147" s="14" t="s">
        <v>27</v>
      </c>
      <c r="F147" s="13" t="s">
        <v>386</v>
      </c>
      <c r="G147" s="10" t="s">
        <v>21</v>
      </c>
      <c r="H147" s="12"/>
      <c r="I147" s="12"/>
      <c r="J147" s="12"/>
      <c r="K147" s="12"/>
      <c r="L147" s="12"/>
    </row>
    <row r="148" customFormat="false" ht="19.5" hidden="false" customHeight="true" outlineLevel="0" collapsed="false">
      <c r="A148" s="5" t="s">
        <v>391</v>
      </c>
      <c r="B148" s="18" t="s">
        <v>276</v>
      </c>
      <c r="C148" s="7" t="s">
        <v>251</v>
      </c>
      <c r="D148" s="7" t="s">
        <v>392</v>
      </c>
      <c r="E148" s="15" t="s">
        <v>53</v>
      </c>
      <c r="F148" s="9" t="s">
        <v>386</v>
      </c>
      <c r="G148" s="10" t="s">
        <v>21</v>
      </c>
      <c r="H148" s="7"/>
      <c r="I148" s="7"/>
      <c r="J148" s="7"/>
      <c r="K148" s="7"/>
      <c r="L148" s="7"/>
    </row>
    <row r="149" customFormat="false" ht="19.5" hidden="false" customHeight="true" outlineLevel="0" collapsed="false">
      <c r="A149" s="11" t="s">
        <v>393</v>
      </c>
      <c r="B149" s="18" t="s">
        <v>276</v>
      </c>
      <c r="C149" s="12" t="s">
        <v>251</v>
      </c>
      <c r="D149" s="12" t="s">
        <v>394</v>
      </c>
      <c r="E149" s="15" t="s">
        <v>53</v>
      </c>
      <c r="F149" s="13" t="s">
        <v>386</v>
      </c>
      <c r="G149" s="10" t="s">
        <v>21</v>
      </c>
      <c r="H149" s="12"/>
      <c r="I149" s="12"/>
      <c r="J149" s="12"/>
      <c r="K149" s="12"/>
      <c r="L149" s="12"/>
    </row>
    <row r="150" customFormat="false" ht="19.5" hidden="false" customHeight="true" outlineLevel="0" collapsed="false">
      <c r="A150" s="5" t="s">
        <v>395</v>
      </c>
      <c r="B150" s="18" t="s">
        <v>276</v>
      </c>
      <c r="C150" s="7" t="s">
        <v>251</v>
      </c>
      <c r="D150" s="7" t="s">
        <v>396</v>
      </c>
      <c r="E150" s="15" t="s">
        <v>53</v>
      </c>
      <c r="F150" s="9" t="s">
        <v>386</v>
      </c>
      <c r="G150" s="10" t="s">
        <v>21</v>
      </c>
      <c r="H150" s="7"/>
      <c r="I150" s="7"/>
      <c r="J150" s="7"/>
      <c r="K150" s="7"/>
      <c r="L150" s="7"/>
    </row>
    <row r="151" customFormat="false" ht="19.5" hidden="false" customHeight="true" outlineLevel="0" collapsed="false">
      <c r="A151" s="11" t="s">
        <v>397</v>
      </c>
      <c r="B151" s="18" t="s">
        <v>276</v>
      </c>
      <c r="C151" s="12" t="s">
        <v>263</v>
      </c>
      <c r="D151" s="12" t="s">
        <v>398</v>
      </c>
      <c r="E151" s="8" t="s">
        <v>19</v>
      </c>
      <c r="F151" s="13" t="s">
        <v>279</v>
      </c>
      <c r="G151" s="10" t="s">
        <v>21</v>
      </c>
      <c r="H151" s="12"/>
      <c r="I151" s="12"/>
      <c r="J151" s="12"/>
      <c r="K151" s="12"/>
      <c r="L151" s="12"/>
    </row>
    <row r="152" customFormat="false" ht="19.5" hidden="false" customHeight="true" outlineLevel="0" collapsed="false">
      <c r="A152" s="5" t="s">
        <v>399</v>
      </c>
      <c r="B152" s="18" t="s">
        <v>276</v>
      </c>
      <c r="C152" s="7" t="s">
        <v>263</v>
      </c>
      <c r="D152" s="7" t="s">
        <v>266</v>
      </c>
      <c r="E152" s="15" t="s">
        <v>53</v>
      </c>
      <c r="F152" s="9" t="s">
        <v>400</v>
      </c>
      <c r="G152" s="10" t="s">
        <v>21</v>
      </c>
      <c r="H152" s="7"/>
      <c r="I152" s="7"/>
      <c r="J152" s="7"/>
      <c r="K152" s="7"/>
      <c r="L152" s="7"/>
    </row>
    <row r="153" customFormat="false" ht="19.5" hidden="false" customHeight="true" outlineLevel="0" collapsed="false">
      <c r="A153" s="11" t="s">
        <v>401</v>
      </c>
      <c r="B153" s="18" t="s">
        <v>276</v>
      </c>
      <c r="C153" s="12" t="s">
        <v>263</v>
      </c>
      <c r="D153" s="12" t="s">
        <v>269</v>
      </c>
      <c r="E153" s="15" t="s">
        <v>53</v>
      </c>
      <c r="F153" s="13" t="s">
        <v>400</v>
      </c>
      <c r="G153" s="10" t="s">
        <v>21</v>
      </c>
      <c r="H153" s="12"/>
      <c r="I153" s="12"/>
      <c r="J153" s="12"/>
      <c r="K153" s="12"/>
      <c r="L153" s="12"/>
    </row>
    <row r="154" customFormat="false" ht="18" hidden="false" customHeight="true" outlineLevel="0" collapsed="false">
      <c r="A154" s="4" t="s">
        <v>402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9.5" hidden="false" customHeight="true" outlineLevel="0" collapsed="false">
      <c r="A155" s="5" t="s">
        <v>403</v>
      </c>
      <c r="B155" s="19" t="s">
        <v>404</v>
      </c>
      <c r="C155" s="7" t="s">
        <v>405</v>
      </c>
      <c r="D155" s="7" t="s">
        <v>406</v>
      </c>
      <c r="E155" s="8" t="s">
        <v>19</v>
      </c>
      <c r="F155" s="9" t="s">
        <v>407</v>
      </c>
      <c r="G155" s="10" t="s">
        <v>21</v>
      </c>
      <c r="H155" s="7"/>
      <c r="I155" s="7"/>
      <c r="J155" s="7"/>
      <c r="K155" s="7"/>
      <c r="L155" s="7"/>
    </row>
    <row r="156" customFormat="false" ht="19.5" hidden="false" customHeight="true" outlineLevel="0" collapsed="false">
      <c r="A156" s="11" t="s">
        <v>408</v>
      </c>
      <c r="B156" s="19" t="s">
        <v>404</v>
      </c>
      <c r="C156" s="12" t="s">
        <v>405</v>
      </c>
      <c r="D156" s="12" t="s">
        <v>409</v>
      </c>
      <c r="E156" s="8" t="s">
        <v>19</v>
      </c>
      <c r="F156" s="13" t="s">
        <v>410</v>
      </c>
      <c r="G156" s="10" t="s">
        <v>21</v>
      </c>
      <c r="H156" s="12"/>
      <c r="I156" s="12"/>
      <c r="J156" s="12"/>
      <c r="K156" s="12"/>
      <c r="L156" s="12"/>
    </row>
    <row r="157" customFormat="false" ht="19.5" hidden="false" customHeight="true" outlineLevel="0" collapsed="false">
      <c r="A157" s="5" t="s">
        <v>411</v>
      </c>
      <c r="B157" s="19" t="s">
        <v>404</v>
      </c>
      <c r="C157" s="7" t="s">
        <v>293</v>
      </c>
      <c r="D157" s="7" t="s">
        <v>412</v>
      </c>
      <c r="E157" s="8" t="s">
        <v>19</v>
      </c>
      <c r="F157" s="9" t="s">
        <v>413</v>
      </c>
      <c r="G157" s="10" t="s">
        <v>21</v>
      </c>
      <c r="H157" s="7"/>
      <c r="I157" s="7"/>
      <c r="J157" s="7"/>
      <c r="K157" s="7"/>
      <c r="L157" s="7"/>
    </row>
    <row r="158" customFormat="false" ht="19.5" hidden="false" customHeight="true" outlineLevel="0" collapsed="false">
      <c r="A158" s="11" t="s">
        <v>414</v>
      </c>
      <c r="B158" s="19" t="s">
        <v>404</v>
      </c>
      <c r="C158" s="12" t="s">
        <v>293</v>
      </c>
      <c r="D158" s="12" t="s">
        <v>297</v>
      </c>
      <c r="E158" s="14" t="s">
        <v>27</v>
      </c>
      <c r="F158" s="13" t="s">
        <v>413</v>
      </c>
      <c r="G158" s="10" t="s">
        <v>21</v>
      </c>
      <c r="H158" s="12"/>
      <c r="I158" s="12"/>
      <c r="J158" s="12"/>
      <c r="K158" s="12"/>
      <c r="L158" s="12"/>
    </row>
    <row r="159" customFormat="false" ht="19.5" hidden="false" customHeight="true" outlineLevel="0" collapsed="false">
      <c r="A159" s="5" t="s">
        <v>415</v>
      </c>
      <c r="B159" s="19" t="s">
        <v>404</v>
      </c>
      <c r="C159" s="7" t="s">
        <v>293</v>
      </c>
      <c r="D159" s="7" t="s">
        <v>416</v>
      </c>
      <c r="E159" s="8" t="s">
        <v>19</v>
      </c>
      <c r="F159" s="9" t="s">
        <v>413</v>
      </c>
      <c r="G159" s="10" t="s">
        <v>21</v>
      </c>
      <c r="H159" s="7"/>
      <c r="I159" s="7"/>
      <c r="J159" s="7"/>
      <c r="K159" s="7"/>
      <c r="L159" s="7"/>
    </row>
    <row r="160" customFormat="false" ht="19.5" hidden="false" customHeight="true" outlineLevel="0" collapsed="false">
      <c r="A160" s="11" t="s">
        <v>417</v>
      </c>
      <c r="B160" s="19" t="s">
        <v>404</v>
      </c>
      <c r="C160" s="12" t="s">
        <v>301</v>
      </c>
      <c r="D160" s="12" t="s">
        <v>418</v>
      </c>
      <c r="E160" s="8" t="s">
        <v>19</v>
      </c>
      <c r="F160" s="13" t="s">
        <v>419</v>
      </c>
      <c r="G160" s="10" t="s">
        <v>21</v>
      </c>
      <c r="H160" s="12"/>
      <c r="I160" s="12"/>
      <c r="J160" s="12"/>
      <c r="K160" s="12"/>
      <c r="L160" s="12"/>
    </row>
    <row r="161" customFormat="false" ht="19.5" hidden="false" customHeight="true" outlineLevel="0" collapsed="false">
      <c r="A161" s="5" t="s">
        <v>420</v>
      </c>
      <c r="B161" s="19" t="s">
        <v>404</v>
      </c>
      <c r="C161" s="7" t="s">
        <v>301</v>
      </c>
      <c r="D161" s="7" t="s">
        <v>305</v>
      </c>
      <c r="E161" s="8" t="s">
        <v>19</v>
      </c>
      <c r="F161" s="9" t="s">
        <v>419</v>
      </c>
      <c r="G161" s="10" t="s">
        <v>21</v>
      </c>
      <c r="H161" s="7"/>
      <c r="I161" s="7"/>
      <c r="J161" s="7"/>
      <c r="K161" s="7"/>
      <c r="L161" s="7"/>
    </row>
    <row r="162" customFormat="false" ht="19.5" hidden="false" customHeight="true" outlineLevel="0" collapsed="false">
      <c r="A162" s="11" t="s">
        <v>421</v>
      </c>
      <c r="B162" s="19" t="s">
        <v>404</v>
      </c>
      <c r="C162" s="12" t="s">
        <v>301</v>
      </c>
      <c r="D162" s="12" t="s">
        <v>422</v>
      </c>
      <c r="E162" s="8" t="s">
        <v>19</v>
      </c>
      <c r="F162" s="13" t="s">
        <v>419</v>
      </c>
      <c r="G162" s="10" t="s">
        <v>21</v>
      </c>
      <c r="H162" s="12"/>
      <c r="I162" s="12"/>
      <c r="J162" s="12"/>
      <c r="K162" s="12"/>
      <c r="L162" s="12"/>
    </row>
    <row r="163" customFormat="false" ht="19.5" hidden="false" customHeight="true" outlineLevel="0" collapsed="false">
      <c r="A163" s="5" t="s">
        <v>423</v>
      </c>
      <c r="B163" s="19" t="s">
        <v>404</v>
      </c>
      <c r="C163" s="7" t="s">
        <v>301</v>
      </c>
      <c r="D163" s="7" t="s">
        <v>424</v>
      </c>
      <c r="E163" s="14" t="s">
        <v>27</v>
      </c>
      <c r="F163" s="9" t="s">
        <v>419</v>
      </c>
      <c r="G163" s="10" t="s">
        <v>21</v>
      </c>
      <c r="H163" s="7"/>
      <c r="I163" s="7"/>
      <c r="J163" s="7"/>
      <c r="K163" s="7"/>
      <c r="L163" s="7"/>
    </row>
    <row r="164" customFormat="false" ht="19.5" hidden="false" customHeight="true" outlineLevel="0" collapsed="false">
      <c r="A164" s="11" t="s">
        <v>425</v>
      </c>
      <c r="B164" s="19" t="s">
        <v>404</v>
      </c>
      <c r="C164" s="12" t="s">
        <v>426</v>
      </c>
      <c r="D164" s="12" t="s">
        <v>332</v>
      </c>
      <c r="E164" s="8" t="s">
        <v>19</v>
      </c>
      <c r="F164" s="13" t="s">
        <v>427</v>
      </c>
      <c r="G164" s="10" t="s">
        <v>21</v>
      </c>
      <c r="H164" s="12"/>
      <c r="I164" s="12"/>
      <c r="J164" s="12"/>
      <c r="K164" s="12"/>
      <c r="L164" s="12"/>
    </row>
    <row r="165" customFormat="false" ht="19.5" hidden="false" customHeight="true" outlineLevel="0" collapsed="false">
      <c r="A165" s="5" t="s">
        <v>428</v>
      </c>
      <c r="B165" s="19" t="s">
        <v>404</v>
      </c>
      <c r="C165" s="7" t="s">
        <v>426</v>
      </c>
      <c r="D165" s="7" t="s">
        <v>429</v>
      </c>
      <c r="E165" s="8" t="s">
        <v>19</v>
      </c>
      <c r="F165" s="9" t="s">
        <v>427</v>
      </c>
      <c r="G165" s="10" t="s">
        <v>21</v>
      </c>
      <c r="H165" s="7"/>
      <c r="I165" s="7"/>
      <c r="J165" s="7"/>
      <c r="K165" s="7"/>
      <c r="L165" s="7"/>
    </row>
    <row r="166" customFormat="false" ht="19.5" hidden="false" customHeight="true" outlineLevel="0" collapsed="false">
      <c r="A166" s="11" t="s">
        <v>430</v>
      </c>
      <c r="B166" s="19" t="s">
        <v>404</v>
      </c>
      <c r="C166" s="12" t="s">
        <v>426</v>
      </c>
      <c r="D166" s="12" t="s">
        <v>431</v>
      </c>
      <c r="E166" s="14" t="s">
        <v>27</v>
      </c>
      <c r="F166" s="13" t="s">
        <v>427</v>
      </c>
      <c r="G166" s="10" t="s">
        <v>21</v>
      </c>
      <c r="H166" s="12"/>
      <c r="I166" s="12"/>
      <c r="J166" s="12"/>
      <c r="K166" s="12"/>
      <c r="L166" s="12"/>
    </row>
    <row r="167" customFormat="false" ht="19.5" hidden="false" customHeight="true" outlineLevel="0" collapsed="false">
      <c r="A167" s="5" t="s">
        <v>432</v>
      </c>
      <c r="B167" s="19" t="s">
        <v>404</v>
      </c>
      <c r="C167" s="7" t="s">
        <v>426</v>
      </c>
      <c r="D167" s="7" t="s">
        <v>433</v>
      </c>
      <c r="E167" s="14" t="s">
        <v>27</v>
      </c>
      <c r="F167" s="9" t="s">
        <v>427</v>
      </c>
      <c r="G167" s="10" t="s">
        <v>21</v>
      </c>
      <c r="H167" s="7"/>
      <c r="I167" s="7"/>
      <c r="J167" s="7"/>
      <c r="K167" s="7"/>
      <c r="L167" s="7"/>
    </row>
    <row r="168" customFormat="false" ht="19.5" hidden="false" customHeight="true" outlineLevel="0" collapsed="false">
      <c r="A168" s="11" t="s">
        <v>434</v>
      </c>
      <c r="B168" s="19" t="s">
        <v>404</v>
      </c>
      <c r="C168" s="12" t="s">
        <v>435</v>
      </c>
      <c r="D168" s="12" t="s">
        <v>436</v>
      </c>
      <c r="E168" s="8" t="s">
        <v>19</v>
      </c>
      <c r="F168" s="13" t="s">
        <v>437</v>
      </c>
      <c r="G168" s="10" t="s">
        <v>21</v>
      </c>
      <c r="H168" s="12"/>
      <c r="I168" s="12"/>
      <c r="J168" s="12"/>
      <c r="K168" s="12"/>
      <c r="L168" s="12"/>
    </row>
    <row r="169" customFormat="false" ht="19.5" hidden="false" customHeight="true" outlineLevel="0" collapsed="false">
      <c r="A169" s="5" t="s">
        <v>438</v>
      </c>
      <c r="B169" s="19" t="s">
        <v>404</v>
      </c>
      <c r="C169" s="7" t="s">
        <v>435</v>
      </c>
      <c r="D169" s="7" t="s">
        <v>439</v>
      </c>
      <c r="E169" s="8" t="s">
        <v>19</v>
      </c>
      <c r="F169" s="9" t="s">
        <v>437</v>
      </c>
      <c r="G169" s="10" t="s">
        <v>21</v>
      </c>
      <c r="H169" s="7"/>
      <c r="I169" s="7"/>
      <c r="J169" s="7"/>
      <c r="K169" s="7"/>
      <c r="L169" s="7"/>
    </row>
    <row r="170" customFormat="false" ht="19.5" hidden="false" customHeight="true" outlineLevel="0" collapsed="false">
      <c r="A170" s="11" t="s">
        <v>440</v>
      </c>
      <c r="B170" s="19" t="s">
        <v>404</v>
      </c>
      <c r="C170" s="12" t="s">
        <v>435</v>
      </c>
      <c r="D170" s="12" t="s">
        <v>441</v>
      </c>
      <c r="E170" s="8" t="s">
        <v>19</v>
      </c>
      <c r="F170" s="13" t="s">
        <v>437</v>
      </c>
      <c r="G170" s="10" t="s">
        <v>21</v>
      </c>
      <c r="H170" s="12"/>
      <c r="I170" s="12"/>
      <c r="J170" s="12"/>
      <c r="K170" s="12"/>
      <c r="L170" s="12"/>
    </row>
    <row r="171" customFormat="false" ht="19.5" hidden="false" customHeight="true" outlineLevel="0" collapsed="false">
      <c r="A171" s="5" t="s">
        <v>442</v>
      </c>
      <c r="B171" s="19" t="s">
        <v>404</v>
      </c>
      <c r="C171" s="7" t="s">
        <v>443</v>
      </c>
      <c r="D171" s="7" t="s">
        <v>444</v>
      </c>
      <c r="E171" s="8" t="s">
        <v>19</v>
      </c>
      <c r="F171" s="9" t="s">
        <v>445</v>
      </c>
      <c r="G171" s="10" t="s">
        <v>21</v>
      </c>
      <c r="H171" s="7"/>
      <c r="I171" s="7"/>
      <c r="J171" s="7"/>
      <c r="K171" s="7"/>
      <c r="L171" s="7"/>
    </row>
    <row r="172" customFormat="false" ht="19.5" hidden="false" customHeight="true" outlineLevel="0" collapsed="false">
      <c r="A172" s="11" t="s">
        <v>446</v>
      </c>
      <c r="B172" s="19" t="s">
        <v>404</v>
      </c>
      <c r="C172" s="12" t="s">
        <v>443</v>
      </c>
      <c r="D172" s="12" t="s">
        <v>447</v>
      </c>
      <c r="E172" s="8" t="s">
        <v>19</v>
      </c>
      <c r="F172" s="13" t="s">
        <v>445</v>
      </c>
      <c r="G172" s="10" t="s">
        <v>21</v>
      </c>
      <c r="H172" s="12"/>
      <c r="I172" s="12"/>
      <c r="J172" s="12"/>
      <c r="K172" s="12"/>
      <c r="L172" s="12"/>
    </row>
    <row r="173" customFormat="false" ht="19.5" hidden="false" customHeight="true" outlineLevel="0" collapsed="false">
      <c r="A173" s="5" t="s">
        <v>448</v>
      </c>
      <c r="B173" s="19" t="s">
        <v>404</v>
      </c>
      <c r="C173" s="7" t="s">
        <v>443</v>
      </c>
      <c r="D173" s="7" t="s">
        <v>449</v>
      </c>
      <c r="E173" s="8" t="s">
        <v>19</v>
      </c>
      <c r="F173" s="9" t="s">
        <v>445</v>
      </c>
      <c r="G173" s="10" t="s">
        <v>21</v>
      </c>
      <c r="H173" s="7"/>
      <c r="I173" s="7"/>
      <c r="J173" s="7"/>
      <c r="K173" s="7"/>
      <c r="L173" s="7"/>
    </row>
    <row r="174" customFormat="false" ht="19.5" hidden="false" customHeight="true" outlineLevel="0" collapsed="false">
      <c r="A174" s="11" t="s">
        <v>450</v>
      </c>
      <c r="B174" s="19" t="s">
        <v>404</v>
      </c>
      <c r="C174" s="12" t="s">
        <v>443</v>
      </c>
      <c r="D174" s="12" t="s">
        <v>451</v>
      </c>
      <c r="E174" s="14" t="s">
        <v>27</v>
      </c>
      <c r="F174" s="13" t="s">
        <v>445</v>
      </c>
      <c r="G174" s="10" t="s">
        <v>21</v>
      </c>
      <c r="H174" s="12"/>
      <c r="I174" s="12"/>
      <c r="J174" s="12"/>
      <c r="K174" s="12"/>
      <c r="L174" s="12"/>
    </row>
    <row r="175" customFormat="false" ht="19.5" hidden="false" customHeight="true" outlineLevel="0" collapsed="false">
      <c r="A175" s="5" t="s">
        <v>452</v>
      </c>
      <c r="B175" s="19" t="s">
        <v>404</v>
      </c>
      <c r="C175" s="7" t="s">
        <v>453</v>
      </c>
      <c r="D175" s="7" t="s">
        <v>454</v>
      </c>
      <c r="E175" s="8" t="s">
        <v>19</v>
      </c>
      <c r="F175" s="9" t="s">
        <v>455</v>
      </c>
      <c r="G175" s="10" t="s">
        <v>21</v>
      </c>
      <c r="H175" s="7"/>
      <c r="I175" s="7"/>
      <c r="J175" s="7"/>
      <c r="K175" s="7"/>
      <c r="L175" s="7"/>
    </row>
    <row r="176" customFormat="false" ht="19.5" hidden="false" customHeight="true" outlineLevel="0" collapsed="false">
      <c r="A176" s="11" t="s">
        <v>456</v>
      </c>
      <c r="B176" s="19" t="s">
        <v>404</v>
      </c>
      <c r="C176" s="12" t="s">
        <v>453</v>
      </c>
      <c r="D176" s="12" t="s">
        <v>457</v>
      </c>
      <c r="E176" s="14" t="s">
        <v>27</v>
      </c>
      <c r="F176" s="13" t="s">
        <v>455</v>
      </c>
      <c r="G176" s="10" t="s">
        <v>21</v>
      </c>
      <c r="H176" s="12"/>
      <c r="I176" s="12"/>
      <c r="J176" s="12"/>
      <c r="K176" s="12"/>
      <c r="L176" s="12"/>
    </row>
    <row r="177" customFormat="false" ht="19.5" hidden="false" customHeight="true" outlineLevel="0" collapsed="false">
      <c r="A177" s="5" t="s">
        <v>458</v>
      </c>
      <c r="B177" s="19" t="s">
        <v>404</v>
      </c>
      <c r="C177" s="7" t="s">
        <v>453</v>
      </c>
      <c r="D177" s="7" t="s">
        <v>459</v>
      </c>
      <c r="E177" s="15" t="s">
        <v>53</v>
      </c>
      <c r="F177" s="9" t="s">
        <v>455</v>
      </c>
      <c r="G177" s="10" t="s">
        <v>21</v>
      </c>
      <c r="H177" s="7"/>
      <c r="I177" s="7"/>
      <c r="J177" s="7"/>
      <c r="K177" s="7"/>
      <c r="L177" s="7"/>
    </row>
    <row r="178" customFormat="false" ht="19.5" hidden="false" customHeight="true" outlineLevel="0" collapsed="false">
      <c r="A178" s="11" t="s">
        <v>460</v>
      </c>
      <c r="B178" s="19" t="s">
        <v>404</v>
      </c>
      <c r="C178" s="12" t="s">
        <v>453</v>
      </c>
      <c r="D178" s="12" t="s">
        <v>461</v>
      </c>
      <c r="E178" s="8" t="s">
        <v>19</v>
      </c>
      <c r="F178" s="13" t="s">
        <v>455</v>
      </c>
      <c r="G178" s="10" t="s">
        <v>21</v>
      </c>
      <c r="H178" s="12"/>
      <c r="I178" s="12"/>
      <c r="J178" s="12"/>
      <c r="K178" s="12"/>
      <c r="L178" s="12"/>
    </row>
    <row r="179" customFormat="false" ht="19.5" hidden="false" customHeight="true" outlineLevel="0" collapsed="false">
      <c r="A179" s="5" t="s">
        <v>462</v>
      </c>
      <c r="B179" s="19" t="s">
        <v>404</v>
      </c>
      <c r="C179" s="7" t="s">
        <v>453</v>
      </c>
      <c r="D179" s="7" t="s">
        <v>463</v>
      </c>
      <c r="E179" s="14" t="s">
        <v>27</v>
      </c>
      <c r="F179" s="9" t="s">
        <v>464</v>
      </c>
      <c r="G179" s="10" t="s">
        <v>21</v>
      </c>
      <c r="H179" s="7"/>
      <c r="I179" s="7"/>
      <c r="J179" s="7"/>
      <c r="K179" s="7"/>
      <c r="L179" s="7"/>
    </row>
    <row r="180" customFormat="false" ht="19.5" hidden="false" customHeight="true" outlineLevel="0" collapsed="false">
      <c r="A180" s="11" t="s">
        <v>465</v>
      </c>
      <c r="B180" s="19" t="s">
        <v>404</v>
      </c>
      <c r="C180" s="12" t="s">
        <v>453</v>
      </c>
      <c r="D180" s="12" t="s">
        <v>466</v>
      </c>
      <c r="E180" s="8" t="s">
        <v>19</v>
      </c>
      <c r="F180" s="13" t="s">
        <v>464</v>
      </c>
      <c r="G180" s="10" t="s">
        <v>21</v>
      </c>
      <c r="H180" s="12"/>
      <c r="I180" s="12"/>
      <c r="J180" s="12"/>
      <c r="K180" s="12"/>
      <c r="L180" s="12"/>
    </row>
    <row r="181" customFormat="false" ht="19.5" hidden="false" customHeight="true" outlineLevel="0" collapsed="false">
      <c r="A181" s="5" t="s">
        <v>467</v>
      </c>
      <c r="B181" s="19" t="s">
        <v>404</v>
      </c>
      <c r="C181" s="7" t="s">
        <v>453</v>
      </c>
      <c r="D181" s="7" t="s">
        <v>468</v>
      </c>
      <c r="E181" s="15" t="s">
        <v>53</v>
      </c>
      <c r="F181" s="9" t="s">
        <v>455</v>
      </c>
      <c r="G181" s="10" t="s">
        <v>21</v>
      </c>
      <c r="H181" s="7"/>
      <c r="I181" s="7"/>
      <c r="J181" s="7"/>
      <c r="K181" s="7"/>
      <c r="L181" s="7"/>
    </row>
    <row r="182" customFormat="false" ht="19.5" hidden="false" customHeight="true" outlineLevel="0" collapsed="false">
      <c r="A182" s="11" t="s">
        <v>469</v>
      </c>
      <c r="B182" s="19" t="s">
        <v>404</v>
      </c>
      <c r="C182" s="12" t="s">
        <v>453</v>
      </c>
      <c r="D182" s="12" t="s">
        <v>470</v>
      </c>
      <c r="E182" s="8" t="s">
        <v>19</v>
      </c>
      <c r="F182" s="13" t="s">
        <v>455</v>
      </c>
      <c r="G182" s="10" t="s">
        <v>21</v>
      </c>
      <c r="H182" s="12"/>
      <c r="I182" s="12"/>
      <c r="J182" s="12"/>
      <c r="K182" s="12"/>
      <c r="L182" s="12"/>
    </row>
    <row r="183" customFormat="false" ht="19.5" hidden="false" customHeight="true" outlineLevel="0" collapsed="false">
      <c r="A183" s="5" t="s">
        <v>471</v>
      </c>
      <c r="B183" s="19" t="s">
        <v>404</v>
      </c>
      <c r="C183" s="7" t="s">
        <v>453</v>
      </c>
      <c r="D183" s="7" t="s">
        <v>472</v>
      </c>
      <c r="E183" s="14" t="s">
        <v>27</v>
      </c>
      <c r="F183" s="9" t="s">
        <v>455</v>
      </c>
      <c r="G183" s="10" t="s">
        <v>21</v>
      </c>
      <c r="H183" s="7"/>
      <c r="I183" s="7"/>
      <c r="J183" s="7"/>
      <c r="K183" s="7"/>
      <c r="L183" s="7"/>
    </row>
    <row r="184" customFormat="false" ht="19.5" hidden="false" customHeight="true" outlineLevel="0" collapsed="false">
      <c r="A184" s="11" t="s">
        <v>473</v>
      </c>
      <c r="B184" s="19" t="s">
        <v>404</v>
      </c>
      <c r="C184" s="12" t="s">
        <v>453</v>
      </c>
      <c r="D184" s="12" t="s">
        <v>474</v>
      </c>
      <c r="E184" s="8" t="s">
        <v>19</v>
      </c>
      <c r="F184" s="13" t="s">
        <v>455</v>
      </c>
      <c r="G184" s="10" t="s">
        <v>21</v>
      </c>
      <c r="H184" s="12"/>
      <c r="I184" s="12"/>
      <c r="J184" s="12"/>
      <c r="K184" s="12"/>
      <c r="L184" s="12"/>
    </row>
    <row r="185" customFormat="false" ht="19.5" hidden="false" customHeight="true" outlineLevel="0" collapsed="false">
      <c r="A185" s="5" t="s">
        <v>475</v>
      </c>
      <c r="B185" s="19" t="s">
        <v>404</v>
      </c>
      <c r="C185" s="7" t="s">
        <v>453</v>
      </c>
      <c r="D185" s="7" t="s">
        <v>476</v>
      </c>
      <c r="E185" s="14" t="s">
        <v>27</v>
      </c>
      <c r="F185" s="9" t="s">
        <v>477</v>
      </c>
      <c r="G185" s="10" t="s">
        <v>21</v>
      </c>
      <c r="H185" s="7"/>
      <c r="I185" s="7"/>
      <c r="J185" s="7"/>
      <c r="K185" s="7"/>
      <c r="L185" s="7"/>
    </row>
    <row r="186" customFormat="false" ht="19.5" hidden="false" customHeight="true" outlineLevel="0" collapsed="false">
      <c r="A186" s="11" t="s">
        <v>478</v>
      </c>
      <c r="B186" s="19" t="s">
        <v>404</v>
      </c>
      <c r="C186" s="12" t="s">
        <v>453</v>
      </c>
      <c r="D186" s="12" t="s">
        <v>479</v>
      </c>
      <c r="E186" s="8" t="s">
        <v>19</v>
      </c>
      <c r="F186" s="13" t="s">
        <v>477</v>
      </c>
      <c r="G186" s="10" t="s">
        <v>21</v>
      </c>
      <c r="H186" s="12"/>
      <c r="I186" s="12"/>
      <c r="J186" s="12"/>
      <c r="K186" s="12"/>
      <c r="L186" s="12"/>
    </row>
    <row r="187" customFormat="false" ht="19.5" hidden="false" customHeight="true" outlineLevel="0" collapsed="false">
      <c r="A187" s="5" t="s">
        <v>480</v>
      </c>
      <c r="B187" s="19" t="s">
        <v>404</v>
      </c>
      <c r="C187" s="7" t="s">
        <v>453</v>
      </c>
      <c r="D187" s="7" t="s">
        <v>481</v>
      </c>
      <c r="E187" s="8" t="s">
        <v>19</v>
      </c>
      <c r="F187" s="9" t="s">
        <v>482</v>
      </c>
      <c r="G187" s="10" t="s">
        <v>21</v>
      </c>
      <c r="H187" s="7"/>
      <c r="I187" s="7"/>
      <c r="J187" s="7"/>
      <c r="K187" s="7"/>
      <c r="L187" s="7"/>
    </row>
    <row r="188" customFormat="false" ht="19.5" hidden="false" customHeight="true" outlineLevel="0" collapsed="false">
      <c r="A188" s="11" t="s">
        <v>483</v>
      </c>
      <c r="B188" s="19" t="s">
        <v>404</v>
      </c>
      <c r="C188" s="12" t="s">
        <v>484</v>
      </c>
      <c r="D188" s="12" t="s">
        <v>485</v>
      </c>
      <c r="E188" s="14" t="s">
        <v>27</v>
      </c>
      <c r="F188" s="13" t="s">
        <v>486</v>
      </c>
      <c r="G188" s="10" t="s">
        <v>21</v>
      </c>
      <c r="H188" s="12"/>
      <c r="I188" s="12"/>
      <c r="J188" s="12"/>
      <c r="K188" s="12"/>
      <c r="L188" s="12"/>
    </row>
    <row r="189" customFormat="false" ht="19.5" hidden="false" customHeight="true" outlineLevel="0" collapsed="false">
      <c r="A189" s="5" t="s">
        <v>487</v>
      </c>
      <c r="B189" s="19" t="s">
        <v>404</v>
      </c>
      <c r="C189" s="7" t="s">
        <v>484</v>
      </c>
      <c r="D189" s="7" t="s">
        <v>488</v>
      </c>
      <c r="E189" s="14" t="s">
        <v>27</v>
      </c>
      <c r="F189" s="9" t="s">
        <v>486</v>
      </c>
      <c r="G189" s="10" t="s">
        <v>21</v>
      </c>
      <c r="H189" s="7"/>
      <c r="I189" s="7"/>
      <c r="J189" s="7"/>
      <c r="K189" s="7"/>
      <c r="L189" s="7"/>
    </row>
    <row r="190" customFormat="false" ht="19.5" hidden="false" customHeight="true" outlineLevel="0" collapsed="false">
      <c r="A190" s="11" t="s">
        <v>489</v>
      </c>
      <c r="B190" s="19" t="s">
        <v>404</v>
      </c>
      <c r="C190" s="12" t="s">
        <v>484</v>
      </c>
      <c r="D190" s="12" t="s">
        <v>490</v>
      </c>
      <c r="E190" s="15" t="s">
        <v>53</v>
      </c>
      <c r="F190" s="13" t="s">
        <v>486</v>
      </c>
      <c r="G190" s="10" t="s">
        <v>21</v>
      </c>
      <c r="H190" s="12"/>
      <c r="I190" s="12"/>
      <c r="J190" s="12"/>
      <c r="K190" s="12"/>
      <c r="L190" s="12"/>
    </row>
    <row r="191" customFormat="false" ht="19.5" hidden="false" customHeight="true" outlineLevel="0" collapsed="false">
      <c r="A191" s="5" t="s">
        <v>491</v>
      </c>
      <c r="B191" s="19" t="s">
        <v>404</v>
      </c>
      <c r="C191" s="7" t="s">
        <v>484</v>
      </c>
      <c r="D191" s="7" t="s">
        <v>492</v>
      </c>
      <c r="E191" s="8" t="s">
        <v>19</v>
      </c>
      <c r="F191" s="9" t="s">
        <v>486</v>
      </c>
      <c r="G191" s="10" t="s">
        <v>21</v>
      </c>
      <c r="H191" s="7"/>
      <c r="I191" s="7"/>
      <c r="J191" s="7"/>
      <c r="K191" s="7"/>
      <c r="L191" s="7"/>
    </row>
    <row r="192" customFormat="false" ht="19.5" hidden="false" customHeight="true" outlineLevel="0" collapsed="false">
      <c r="A192" s="11" t="s">
        <v>493</v>
      </c>
      <c r="B192" s="19" t="s">
        <v>404</v>
      </c>
      <c r="C192" s="12" t="s">
        <v>484</v>
      </c>
      <c r="D192" s="12" t="s">
        <v>494</v>
      </c>
      <c r="E192" s="8" t="s">
        <v>19</v>
      </c>
      <c r="F192" s="13" t="s">
        <v>486</v>
      </c>
      <c r="G192" s="10" t="s">
        <v>21</v>
      </c>
      <c r="H192" s="12"/>
      <c r="I192" s="12"/>
      <c r="J192" s="12"/>
      <c r="K192" s="12"/>
      <c r="L192" s="12"/>
    </row>
    <row r="193" customFormat="false" ht="19.5" hidden="false" customHeight="true" outlineLevel="0" collapsed="false">
      <c r="A193" s="5" t="s">
        <v>495</v>
      </c>
      <c r="B193" s="19" t="s">
        <v>404</v>
      </c>
      <c r="C193" s="7" t="s">
        <v>484</v>
      </c>
      <c r="D193" s="7" t="s">
        <v>496</v>
      </c>
      <c r="E193" s="8" t="s">
        <v>19</v>
      </c>
      <c r="F193" s="9" t="s">
        <v>486</v>
      </c>
      <c r="G193" s="10" t="s">
        <v>21</v>
      </c>
      <c r="H193" s="7"/>
      <c r="I193" s="7"/>
      <c r="J193" s="7"/>
      <c r="K193" s="7"/>
      <c r="L193" s="7"/>
    </row>
    <row r="194" customFormat="false" ht="19.5" hidden="false" customHeight="true" outlineLevel="0" collapsed="false">
      <c r="A194" s="11" t="s">
        <v>497</v>
      </c>
      <c r="B194" s="19" t="s">
        <v>404</v>
      </c>
      <c r="C194" s="12" t="s">
        <v>484</v>
      </c>
      <c r="D194" s="12" t="s">
        <v>498</v>
      </c>
      <c r="E194" s="8" t="s">
        <v>19</v>
      </c>
      <c r="F194" s="13" t="s">
        <v>499</v>
      </c>
      <c r="G194" s="10" t="s">
        <v>21</v>
      </c>
      <c r="H194" s="12"/>
      <c r="I194" s="12"/>
      <c r="J194" s="12"/>
      <c r="K194" s="12"/>
      <c r="L194" s="12"/>
    </row>
    <row r="195" customFormat="false" ht="19.5" hidden="false" customHeight="true" outlineLevel="0" collapsed="false">
      <c r="A195" s="5" t="s">
        <v>500</v>
      </c>
      <c r="B195" s="19" t="s">
        <v>404</v>
      </c>
      <c r="C195" s="7" t="s">
        <v>501</v>
      </c>
      <c r="D195" s="7" t="s">
        <v>502</v>
      </c>
      <c r="E195" s="14" t="s">
        <v>27</v>
      </c>
      <c r="F195" s="9" t="s">
        <v>503</v>
      </c>
      <c r="G195" s="10" t="s">
        <v>21</v>
      </c>
      <c r="H195" s="7"/>
      <c r="I195" s="7"/>
      <c r="J195" s="7"/>
      <c r="K195" s="7"/>
      <c r="L195" s="7"/>
    </row>
    <row r="196" customFormat="false" ht="19.5" hidden="false" customHeight="true" outlineLevel="0" collapsed="false">
      <c r="A196" s="11" t="s">
        <v>504</v>
      </c>
      <c r="B196" s="19" t="s">
        <v>404</v>
      </c>
      <c r="C196" s="12" t="s">
        <v>501</v>
      </c>
      <c r="D196" s="12" t="s">
        <v>505</v>
      </c>
      <c r="E196" s="15" t="s">
        <v>53</v>
      </c>
      <c r="F196" s="13" t="s">
        <v>503</v>
      </c>
      <c r="G196" s="10" t="s">
        <v>21</v>
      </c>
      <c r="H196" s="12"/>
      <c r="I196" s="12"/>
      <c r="J196" s="12"/>
      <c r="K196" s="12"/>
      <c r="L196" s="12"/>
    </row>
    <row r="197" customFormat="false" ht="19.5" hidden="false" customHeight="true" outlineLevel="0" collapsed="false">
      <c r="A197" s="5" t="s">
        <v>506</v>
      </c>
      <c r="B197" s="19" t="s">
        <v>404</v>
      </c>
      <c r="C197" s="7" t="s">
        <v>501</v>
      </c>
      <c r="D197" s="7" t="s">
        <v>507</v>
      </c>
      <c r="E197" s="8" t="s">
        <v>19</v>
      </c>
      <c r="F197" s="9" t="s">
        <v>503</v>
      </c>
      <c r="G197" s="10" t="s">
        <v>21</v>
      </c>
      <c r="H197" s="7"/>
      <c r="I197" s="7"/>
      <c r="J197" s="7"/>
      <c r="K197" s="7"/>
      <c r="L197" s="7"/>
    </row>
    <row r="198" customFormat="false" ht="19.5" hidden="false" customHeight="true" outlineLevel="0" collapsed="false">
      <c r="A198" s="11" t="s">
        <v>508</v>
      </c>
      <c r="B198" s="19" t="s">
        <v>404</v>
      </c>
      <c r="C198" s="12" t="s">
        <v>501</v>
      </c>
      <c r="D198" s="12" t="s">
        <v>509</v>
      </c>
      <c r="E198" s="14" t="s">
        <v>27</v>
      </c>
      <c r="F198" s="13" t="s">
        <v>503</v>
      </c>
      <c r="G198" s="10" t="s">
        <v>21</v>
      </c>
      <c r="H198" s="12"/>
      <c r="I198" s="12"/>
      <c r="J198" s="12"/>
      <c r="K198" s="12"/>
      <c r="L198" s="12"/>
    </row>
    <row r="199" customFormat="false" ht="19.5" hidden="false" customHeight="true" outlineLevel="0" collapsed="false">
      <c r="A199" s="5" t="s">
        <v>510</v>
      </c>
      <c r="B199" s="19" t="s">
        <v>404</v>
      </c>
      <c r="C199" s="7" t="s">
        <v>501</v>
      </c>
      <c r="D199" s="7" t="s">
        <v>511</v>
      </c>
      <c r="E199" s="14" t="s">
        <v>27</v>
      </c>
      <c r="F199" s="9" t="s">
        <v>503</v>
      </c>
      <c r="G199" s="10" t="s">
        <v>21</v>
      </c>
      <c r="H199" s="7"/>
      <c r="I199" s="7"/>
      <c r="J199" s="7"/>
      <c r="K199" s="7"/>
      <c r="L199" s="7"/>
    </row>
    <row r="200" customFormat="false" ht="19.5" hidden="false" customHeight="true" outlineLevel="0" collapsed="false">
      <c r="A200" s="11" t="s">
        <v>512</v>
      </c>
      <c r="B200" s="19" t="s">
        <v>404</v>
      </c>
      <c r="C200" s="12" t="s">
        <v>501</v>
      </c>
      <c r="D200" s="12" t="s">
        <v>513</v>
      </c>
      <c r="E200" s="14" t="s">
        <v>27</v>
      </c>
      <c r="F200" s="13" t="s">
        <v>514</v>
      </c>
      <c r="G200" s="10" t="s">
        <v>21</v>
      </c>
      <c r="H200" s="12"/>
      <c r="I200" s="12"/>
      <c r="J200" s="12"/>
      <c r="K200" s="12"/>
      <c r="L200" s="12"/>
    </row>
    <row r="201" customFormat="false" ht="19.5" hidden="false" customHeight="true" outlineLevel="0" collapsed="false">
      <c r="A201" s="5" t="s">
        <v>515</v>
      </c>
      <c r="B201" s="19" t="s">
        <v>404</v>
      </c>
      <c r="C201" s="7" t="s">
        <v>242</v>
      </c>
      <c r="D201" s="7" t="s">
        <v>516</v>
      </c>
      <c r="E201" s="8" t="s">
        <v>19</v>
      </c>
      <c r="F201" s="9" t="s">
        <v>419</v>
      </c>
      <c r="G201" s="10" t="s">
        <v>21</v>
      </c>
      <c r="H201" s="7"/>
      <c r="I201" s="7"/>
      <c r="J201" s="7"/>
      <c r="K201" s="7"/>
      <c r="L201" s="7"/>
    </row>
    <row r="202" customFormat="false" ht="19.5" hidden="false" customHeight="true" outlineLevel="0" collapsed="false">
      <c r="A202" s="11" t="s">
        <v>517</v>
      </c>
      <c r="B202" s="19" t="s">
        <v>404</v>
      </c>
      <c r="C202" s="12" t="s">
        <v>242</v>
      </c>
      <c r="D202" s="12" t="s">
        <v>518</v>
      </c>
      <c r="E202" s="8" t="s">
        <v>19</v>
      </c>
      <c r="F202" s="13" t="s">
        <v>427</v>
      </c>
      <c r="G202" s="10" t="s">
        <v>21</v>
      </c>
      <c r="H202" s="12"/>
      <c r="I202" s="12"/>
      <c r="J202" s="12"/>
      <c r="K202" s="12"/>
      <c r="L202" s="12"/>
    </row>
    <row r="203" customFormat="false" ht="19.5" hidden="false" customHeight="true" outlineLevel="0" collapsed="false">
      <c r="A203" s="5" t="s">
        <v>519</v>
      </c>
      <c r="B203" s="19" t="s">
        <v>404</v>
      </c>
      <c r="C203" s="7" t="s">
        <v>242</v>
      </c>
      <c r="D203" s="7" t="s">
        <v>520</v>
      </c>
      <c r="E203" s="8" t="s">
        <v>19</v>
      </c>
      <c r="F203" s="9" t="s">
        <v>437</v>
      </c>
      <c r="G203" s="10" t="s">
        <v>21</v>
      </c>
      <c r="H203" s="7"/>
      <c r="I203" s="7"/>
      <c r="J203" s="7"/>
      <c r="K203" s="7"/>
      <c r="L203" s="7"/>
    </row>
    <row r="204" customFormat="false" ht="19.5" hidden="false" customHeight="true" outlineLevel="0" collapsed="false">
      <c r="A204" s="11" t="s">
        <v>521</v>
      </c>
      <c r="B204" s="19" t="s">
        <v>404</v>
      </c>
      <c r="C204" s="12" t="s">
        <v>242</v>
      </c>
      <c r="D204" s="12" t="s">
        <v>522</v>
      </c>
      <c r="E204" s="8" t="s">
        <v>19</v>
      </c>
      <c r="F204" s="13" t="s">
        <v>455</v>
      </c>
      <c r="G204" s="10" t="s">
        <v>21</v>
      </c>
      <c r="H204" s="12"/>
      <c r="I204" s="12"/>
      <c r="J204" s="12"/>
      <c r="K204" s="12"/>
      <c r="L204" s="12"/>
    </row>
    <row r="205" customFormat="false" ht="19.5" hidden="false" customHeight="true" outlineLevel="0" collapsed="false">
      <c r="A205" s="5" t="s">
        <v>523</v>
      </c>
      <c r="B205" s="19" t="s">
        <v>404</v>
      </c>
      <c r="C205" s="7" t="s">
        <v>251</v>
      </c>
      <c r="D205" s="7" t="s">
        <v>524</v>
      </c>
      <c r="E205" s="14" t="s">
        <v>27</v>
      </c>
      <c r="F205" s="9" t="s">
        <v>525</v>
      </c>
      <c r="G205" s="10" t="s">
        <v>21</v>
      </c>
      <c r="H205" s="7"/>
      <c r="I205" s="7"/>
      <c r="J205" s="7"/>
      <c r="K205" s="7"/>
      <c r="L205" s="7"/>
    </row>
    <row r="206" customFormat="false" ht="19.5" hidden="false" customHeight="true" outlineLevel="0" collapsed="false">
      <c r="A206" s="11" t="s">
        <v>526</v>
      </c>
      <c r="B206" s="19" t="s">
        <v>404</v>
      </c>
      <c r="C206" s="12" t="s">
        <v>251</v>
      </c>
      <c r="D206" s="12" t="s">
        <v>527</v>
      </c>
      <c r="E206" s="14" t="s">
        <v>27</v>
      </c>
      <c r="F206" s="13" t="s">
        <v>525</v>
      </c>
      <c r="G206" s="10" t="s">
        <v>21</v>
      </c>
      <c r="H206" s="12"/>
      <c r="I206" s="12"/>
      <c r="J206" s="12"/>
      <c r="K206" s="12"/>
      <c r="L206" s="12"/>
    </row>
    <row r="207" customFormat="false" ht="19.5" hidden="false" customHeight="true" outlineLevel="0" collapsed="false">
      <c r="A207" s="5" t="s">
        <v>528</v>
      </c>
      <c r="B207" s="19" t="s">
        <v>404</v>
      </c>
      <c r="C207" s="7" t="s">
        <v>251</v>
      </c>
      <c r="D207" s="7" t="s">
        <v>529</v>
      </c>
      <c r="E207" s="14" t="s">
        <v>27</v>
      </c>
      <c r="F207" s="9" t="s">
        <v>525</v>
      </c>
      <c r="G207" s="10" t="s">
        <v>21</v>
      </c>
      <c r="H207" s="7"/>
      <c r="I207" s="7"/>
      <c r="J207" s="7"/>
      <c r="K207" s="7"/>
      <c r="L207" s="7"/>
    </row>
    <row r="208" customFormat="false" ht="19.5" hidden="false" customHeight="true" outlineLevel="0" collapsed="false">
      <c r="A208" s="11" t="s">
        <v>530</v>
      </c>
      <c r="B208" s="19" t="s">
        <v>404</v>
      </c>
      <c r="C208" s="12" t="s">
        <v>251</v>
      </c>
      <c r="D208" s="12" t="s">
        <v>531</v>
      </c>
      <c r="E208" s="8" t="s">
        <v>19</v>
      </c>
      <c r="F208" s="13" t="s">
        <v>445</v>
      </c>
      <c r="G208" s="10" t="s">
        <v>21</v>
      </c>
      <c r="H208" s="12"/>
      <c r="I208" s="12"/>
      <c r="J208" s="12"/>
      <c r="K208" s="12"/>
      <c r="L208" s="12"/>
    </row>
    <row r="209" customFormat="false" ht="19.5" hidden="false" customHeight="true" outlineLevel="0" collapsed="false">
      <c r="A209" s="5" t="s">
        <v>532</v>
      </c>
      <c r="B209" s="19" t="s">
        <v>404</v>
      </c>
      <c r="C209" s="7" t="s">
        <v>263</v>
      </c>
      <c r="D209" s="7" t="s">
        <v>533</v>
      </c>
      <c r="E209" s="8" t="s">
        <v>19</v>
      </c>
      <c r="F209" s="9" t="s">
        <v>407</v>
      </c>
      <c r="G209" s="10" t="s">
        <v>21</v>
      </c>
      <c r="H209" s="7"/>
      <c r="I209" s="7"/>
      <c r="J209" s="7"/>
      <c r="K209" s="7"/>
      <c r="L209" s="7"/>
    </row>
    <row r="210" customFormat="false" ht="19.5" hidden="false" customHeight="true" outlineLevel="0" collapsed="false">
      <c r="A210" s="11" t="s">
        <v>534</v>
      </c>
      <c r="B210" s="19" t="s">
        <v>404</v>
      </c>
      <c r="C210" s="12" t="s">
        <v>263</v>
      </c>
      <c r="D210" s="12" t="s">
        <v>535</v>
      </c>
      <c r="E210" s="8" t="s">
        <v>19</v>
      </c>
      <c r="F210" s="13" t="s">
        <v>536</v>
      </c>
      <c r="G210" s="10" t="s">
        <v>21</v>
      </c>
      <c r="H210" s="12"/>
      <c r="I210" s="12"/>
      <c r="J210" s="12"/>
      <c r="K210" s="12"/>
      <c r="L210" s="12"/>
    </row>
    <row r="211" customFormat="false" ht="19.5" hidden="false" customHeight="true" outlineLevel="0" collapsed="false">
      <c r="A211" s="5" t="s">
        <v>537</v>
      </c>
      <c r="B211" s="19" t="s">
        <v>404</v>
      </c>
      <c r="C211" s="7" t="s">
        <v>263</v>
      </c>
      <c r="D211" s="7" t="s">
        <v>266</v>
      </c>
      <c r="E211" s="15" t="s">
        <v>53</v>
      </c>
      <c r="F211" s="9" t="s">
        <v>536</v>
      </c>
      <c r="G211" s="10" t="s">
        <v>21</v>
      </c>
      <c r="H211" s="7"/>
      <c r="I211" s="7"/>
      <c r="J211" s="7"/>
      <c r="K211" s="7"/>
      <c r="L211" s="7"/>
    </row>
    <row r="212" customFormat="false" ht="19.5" hidden="false" customHeight="true" outlineLevel="0" collapsed="false">
      <c r="A212" s="11" t="s">
        <v>538</v>
      </c>
      <c r="B212" s="19" t="s">
        <v>404</v>
      </c>
      <c r="C212" s="12" t="s">
        <v>263</v>
      </c>
      <c r="D212" s="12" t="s">
        <v>269</v>
      </c>
      <c r="E212" s="15" t="s">
        <v>53</v>
      </c>
      <c r="F212" s="13" t="s">
        <v>536</v>
      </c>
      <c r="G212" s="10" t="s">
        <v>21</v>
      </c>
      <c r="H212" s="12"/>
      <c r="I212" s="12"/>
      <c r="J212" s="12"/>
      <c r="K212" s="12"/>
      <c r="L212" s="12"/>
    </row>
    <row r="213" customFormat="false" ht="19.5" hidden="false" customHeight="true" outlineLevel="0" collapsed="false">
      <c r="A213" s="5" t="s">
        <v>539</v>
      </c>
      <c r="B213" s="19" t="s">
        <v>404</v>
      </c>
      <c r="C213" s="7" t="s">
        <v>263</v>
      </c>
      <c r="D213" s="7" t="s">
        <v>540</v>
      </c>
      <c r="E213" s="14" t="s">
        <v>27</v>
      </c>
      <c r="F213" s="9" t="s">
        <v>536</v>
      </c>
      <c r="G213" s="10" t="s">
        <v>21</v>
      </c>
      <c r="H213" s="7"/>
      <c r="I213" s="7"/>
      <c r="J213" s="7"/>
      <c r="K213" s="7"/>
      <c r="L213" s="7"/>
    </row>
    <row r="214" customFormat="false" ht="19.5" hidden="false" customHeight="true" outlineLevel="0" collapsed="false">
      <c r="A214" s="11" t="s">
        <v>541</v>
      </c>
      <c r="B214" s="19" t="s">
        <v>404</v>
      </c>
      <c r="C214" s="12" t="s">
        <v>263</v>
      </c>
      <c r="D214" s="12" t="s">
        <v>542</v>
      </c>
      <c r="E214" s="8" t="s">
        <v>19</v>
      </c>
      <c r="F214" s="13" t="s">
        <v>536</v>
      </c>
      <c r="G214" s="10" t="s">
        <v>21</v>
      </c>
      <c r="H214" s="12"/>
      <c r="I214" s="12"/>
      <c r="J214" s="12"/>
      <c r="K214" s="12"/>
      <c r="L214" s="12"/>
    </row>
    <row r="215" customFormat="false" ht="18" hidden="false" customHeight="true" outlineLevel="0" collapsed="false">
      <c r="A215" s="4" t="s">
        <v>543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9.5" hidden="false" customHeight="true" outlineLevel="0" collapsed="false">
      <c r="A216" s="5" t="s">
        <v>544</v>
      </c>
      <c r="B216" s="20" t="s">
        <v>545</v>
      </c>
      <c r="C216" s="7" t="s">
        <v>546</v>
      </c>
      <c r="D216" s="7" t="s">
        <v>547</v>
      </c>
      <c r="E216" s="8" t="s">
        <v>19</v>
      </c>
      <c r="F216" s="9" t="s">
        <v>548</v>
      </c>
      <c r="G216" s="10" t="s">
        <v>21</v>
      </c>
      <c r="H216" s="7"/>
      <c r="I216" s="7"/>
      <c r="J216" s="7"/>
      <c r="K216" s="7"/>
      <c r="L216" s="7"/>
    </row>
    <row r="217" customFormat="false" ht="19.5" hidden="false" customHeight="true" outlineLevel="0" collapsed="false">
      <c r="A217" s="11" t="s">
        <v>549</v>
      </c>
      <c r="B217" s="20" t="s">
        <v>545</v>
      </c>
      <c r="C217" s="12" t="s">
        <v>546</v>
      </c>
      <c r="D217" s="12" t="s">
        <v>550</v>
      </c>
      <c r="E217" s="8" t="s">
        <v>19</v>
      </c>
      <c r="F217" s="13" t="s">
        <v>551</v>
      </c>
      <c r="G217" s="10" t="s">
        <v>21</v>
      </c>
      <c r="H217" s="12"/>
      <c r="I217" s="12"/>
      <c r="J217" s="12"/>
      <c r="K217" s="12"/>
      <c r="L217" s="12"/>
    </row>
    <row r="218" customFormat="false" ht="19.5" hidden="false" customHeight="true" outlineLevel="0" collapsed="false">
      <c r="A218" s="5" t="s">
        <v>552</v>
      </c>
      <c r="B218" s="20" t="s">
        <v>545</v>
      </c>
      <c r="C218" s="7" t="s">
        <v>293</v>
      </c>
      <c r="D218" s="7" t="s">
        <v>553</v>
      </c>
      <c r="E218" s="8" t="s">
        <v>19</v>
      </c>
      <c r="F218" s="9" t="s">
        <v>554</v>
      </c>
      <c r="G218" s="10" t="s">
        <v>21</v>
      </c>
      <c r="H218" s="7"/>
      <c r="I218" s="7"/>
      <c r="J218" s="7"/>
      <c r="K218" s="7"/>
      <c r="L218" s="7"/>
    </row>
    <row r="219" customFormat="false" ht="19.5" hidden="false" customHeight="true" outlineLevel="0" collapsed="false">
      <c r="A219" s="11" t="s">
        <v>555</v>
      </c>
      <c r="B219" s="20" t="s">
        <v>545</v>
      </c>
      <c r="C219" s="12" t="s">
        <v>293</v>
      </c>
      <c r="D219" s="12" t="s">
        <v>297</v>
      </c>
      <c r="E219" s="14" t="s">
        <v>27</v>
      </c>
      <c r="F219" s="13" t="s">
        <v>554</v>
      </c>
      <c r="G219" s="10" t="s">
        <v>21</v>
      </c>
      <c r="H219" s="12"/>
      <c r="I219" s="12"/>
      <c r="J219" s="12"/>
      <c r="K219" s="12"/>
      <c r="L219" s="12"/>
    </row>
    <row r="220" customFormat="false" ht="19.5" hidden="false" customHeight="true" outlineLevel="0" collapsed="false">
      <c r="A220" s="5" t="s">
        <v>556</v>
      </c>
      <c r="B220" s="20" t="s">
        <v>545</v>
      </c>
      <c r="C220" s="7" t="s">
        <v>293</v>
      </c>
      <c r="D220" s="7" t="s">
        <v>557</v>
      </c>
      <c r="E220" s="8" t="s">
        <v>19</v>
      </c>
      <c r="F220" s="9" t="s">
        <v>554</v>
      </c>
      <c r="G220" s="10" t="s">
        <v>21</v>
      </c>
      <c r="H220" s="7"/>
      <c r="I220" s="7"/>
      <c r="J220" s="7"/>
      <c r="K220" s="7"/>
      <c r="L220" s="7"/>
    </row>
    <row r="221" customFormat="false" ht="19.5" hidden="false" customHeight="true" outlineLevel="0" collapsed="false">
      <c r="A221" s="11" t="s">
        <v>558</v>
      </c>
      <c r="B221" s="20" t="s">
        <v>545</v>
      </c>
      <c r="C221" s="12" t="s">
        <v>301</v>
      </c>
      <c r="D221" s="12" t="s">
        <v>559</v>
      </c>
      <c r="E221" s="8" t="s">
        <v>19</v>
      </c>
      <c r="F221" s="13" t="s">
        <v>560</v>
      </c>
      <c r="G221" s="10" t="s">
        <v>21</v>
      </c>
      <c r="H221" s="12"/>
      <c r="I221" s="12"/>
      <c r="J221" s="12"/>
      <c r="K221" s="12"/>
      <c r="L221" s="12"/>
    </row>
    <row r="222" customFormat="false" ht="19.5" hidden="false" customHeight="true" outlineLevel="0" collapsed="false">
      <c r="A222" s="5" t="s">
        <v>561</v>
      </c>
      <c r="B222" s="20" t="s">
        <v>545</v>
      </c>
      <c r="C222" s="7" t="s">
        <v>301</v>
      </c>
      <c r="D222" s="7" t="s">
        <v>305</v>
      </c>
      <c r="E222" s="8" t="s">
        <v>19</v>
      </c>
      <c r="F222" s="9" t="s">
        <v>560</v>
      </c>
      <c r="G222" s="10" t="s">
        <v>21</v>
      </c>
      <c r="H222" s="7"/>
      <c r="I222" s="7"/>
      <c r="J222" s="7"/>
      <c r="K222" s="7"/>
      <c r="L222" s="7"/>
    </row>
    <row r="223" customFormat="false" ht="19.5" hidden="false" customHeight="true" outlineLevel="0" collapsed="false">
      <c r="A223" s="11" t="s">
        <v>562</v>
      </c>
      <c r="B223" s="20" t="s">
        <v>545</v>
      </c>
      <c r="C223" s="12" t="s">
        <v>301</v>
      </c>
      <c r="D223" s="12" t="s">
        <v>307</v>
      </c>
      <c r="E223" s="8" t="s">
        <v>19</v>
      </c>
      <c r="F223" s="13" t="s">
        <v>560</v>
      </c>
      <c r="G223" s="10" t="s">
        <v>21</v>
      </c>
      <c r="H223" s="12"/>
      <c r="I223" s="12"/>
      <c r="J223" s="12"/>
      <c r="K223" s="12"/>
      <c r="L223" s="12"/>
    </row>
    <row r="224" customFormat="false" ht="19.5" hidden="false" customHeight="true" outlineLevel="0" collapsed="false">
      <c r="A224" s="5" t="s">
        <v>563</v>
      </c>
      <c r="B224" s="20" t="s">
        <v>545</v>
      </c>
      <c r="C224" s="7" t="s">
        <v>564</v>
      </c>
      <c r="D224" s="7" t="s">
        <v>565</v>
      </c>
      <c r="E224" s="8" t="s">
        <v>19</v>
      </c>
      <c r="F224" s="9" t="s">
        <v>566</v>
      </c>
      <c r="G224" s="10" t="s">
        <v>21</v>
      </c>
      <c r="H224" s="7"/>
      <c r="I224" s="7"/>
      <c r="J224" s="7"/>
      <c r="K224" s="7"/>
      <c r="L224" s="7"/>
    </row>
    <row r="225" customFormat="false" ht="19.5" hidden="false" customHeight="true" outlineLevel="0" collapsed="false">
      <c r="A225" s="11" t="s">
        <v>567</v>
      </c>
      <c r="B225" s="20" t="s">
        <v>545</v>
      </c>
      <c r="C225" s="12" t="s">
        <v>564</v>
      </c>
      <c r="D225" s="12" t="s">
        <v>568</v>
      </c>
      <c r="E225" s="8" t="s">
        <v>19</v>
      </c>
      <c r="F225" s="13" t="s">
        <v>566</v>
      </c>
      <c r="G225" s="10" t="s">
        <v>21</v>
      </c>
      <c r="H225" s="12"/>
      <c r="I225" s="12"/>
      <c r="J225" s="12"/>
      <c r="K225" s="12"/>
      <c r="L225" s="12"/>
    </row>
    <row r="226" customFormat="false" ht="19.5" hidden="false" customHeight="true" outlineLevel="0" collapsed="false">
      <c r="A226" s="5" t="s">
        <v>569</v>
      </c>
      <c r="B226" s="20" t="s">
        <v>545</v>
      </c>
      <c r="C226" s="7" t="s">
        <v>564</v>
      </c>
      <c r="D226" s="7" t="s">
        <v>570</v>
      </c>
      <c r="E226" s="14" t="s">
        <v>27</v>
      </c>
      <c r="F226" s="9" t="s">
        <v>566</v>
      </c>
      <c r="G226" s="10" t="s">
        <v>21</v>
      </c>
      <c r="H226" s="7"/>
      <c r="I226" s="7"/>
      <c r="J226" s="7"/>
      <c r="K226" s="7"/>
      <c r="L226" s="7"/>
    </row>
    <row r="227" customFormat="false" ht="19.5" hidden="false" customHeight="true" outlineLevel="0" collapsed="false">
      <c r="A227" s="11" t="s">
        <v>571</v>
      </c>
      <c r="B227" s="20" t="s">
        <v>545</v>
      </c>
      <c r="C227" s="12" t="s">
        <v>564</v>
      </c>
      <c r="D227" s="12" t="s">
        <v>572</v>
      </c>
      <c r="E227" s="8" t="s">
        <v>19</v>
      </c>
      <c r="F227" s="13" t="s">
        <v>573</v>
      </c>
      <c r="G227" s="10" t="s">
        <v>21</v>
      </c>
      <c r="H227" s="12"/>
      <c r="I227" s="12"/>
      <c r="J227" s="12"/>
      <c r="K227" s="12"/>
      <c r="L227" s="12"/>
    </row>
    <row r="228" customFormat="false" ht="19.5" hidden="false" customHeight="true" outlineLevel="0" collapsed="false">
      <c r="A228" s="5" t="s">
        <v>574</v>
      </c>
      <c r="B228" s="20" t="s">
        <v>545</v>
      </c>
      <c r="C228" s="7" t="s">
        <v>426</v>
      </c>
      <c r="D228" s="7" t="s">
        <v>332</v>
      </c>
      <c r="E228" s="8" t="s">
        <v>19</v>
      </c>
      <c r="F228" s="9" t="s">
        <v>575</v>
      </c>
      <c r="G228" s="10" t="s">
        <v>21</v>
      </c>
      <c r="H228" s="7"/>
      <c r="I228" s="7"/>
      <c r="J228" s="7"/>
      <c r="K228" s="7"/>
      <c r="L228" s="7"/>
    </row>
    <row r="229" customFormat="false" ht="19.5" hidden="false" customHeight="true" outlineLevel="0" collapsed="false">
      <c r="A229" s="11" t="s">
        <v>576</v>
      </c>
      <c r="B229" s="20" t="s">
        <v>545</v>
      </c>
      <c r="C229" s="12" t="s">
        <v>426</v>
      </c>
      <c r="D229" s="12" t="s">
        <v>429</v>
      </c>
      <c r="E229" s="8" t="s">
        <v>19</v>
      </c>
      <c r="F229" s="13" t="s">
        <v>575</v>
      </c>
      <c r="G229" s="10" t="s">
        <v>21</v>
      </c>
      <c r="H229" s="12"/>
      <c r="I229" s="12"/>
      <c r="J229" s="12"/>
      <c r="K229" s="12"/>
      <c r="L229" s="12"/>
    </row>
    <row r="230" customFormat="false" ht="19.5" hidden="false" customHeight="true" outlineLevel="0" collapsed="false">
      <c r="A230" s="5" t="s">
        <v>577</v>
      </c>
      <c r="B230" s="20" t="s">
        <v>545</v>
      </c>
      <c r="C230" s="7" t="s">
        <v>426</v>
      </c>
      <c r="D230" s="7" t="s">
        <v>578</v>
      </c>
      <c r="E230" s="14" t="s">
        <v>27</v>
      </c>
      <c r="F230" s="9" t="s">
        <v>575</v>
      </c>
      <c r="G230" s="10" t="s">
        <v>21</v>
      </c>
      <c r="H230" s="7"/>
      <c r="I230" s="7"/>
      <c r="J230" s="7"/>
      <c r="K230" s="7"/>
      <c r="L230" s="7"/>
    </row>
    <row r="231" customFormat="false" ht="19.5" hidden="false" customHeight="true" outlineLevel="0" collapsed="false">
      <c r="A231" s="11" t="s">
        <v>579</v>
      </c>
      <c r="B231" s="20" t="s">
        <v>545</v>
      </c>
      <c r="C231" s="12" t="s">
        <v>580</v>
      </c>
      <c r="D231" s="12" t="s">
        <v>581</v>
      </c>
      <c r="E231" s="8" t="s">
        <v>19</v>
      </c>
      <c r="F231" s="13" t="s">
        <v>582</v>
      </c>
      <c r="G231" s="10" t="s">
        <v>21</v>
      </c>
      <c r="H231" s="12"/>
      <c r="I231" s="12"/>
      <c r="J231" s="12"/>
      <c r="K231" s="12"/>
      <c r="L231" s="12"/>
    </row>
    <row r="232" customFormat="false" ht="19.5" hidden="false" customHeight="true" outlineLevel="0" collapsed="false">
      <c r="A232" s="5" t="s">
        <v>583</v>
      </c>
      <c r="B232" s="20" t="s">
        <v>545</v>
      </c>
      <c r="C232" s="7" t="s">
        <v>580</v>
      </c>
      <c r="D232" s="7" t="s">
        <v>584</v>
      </c>
      <c r="E232" s="8" t="s">
        <v>19</v>
      </c>
      <c r="F232" s="9" t="s">
        <v>582</v>
      </c>
      <c r="G232" s="10" t="s">
        <v>21</v>
      </c>
      <c r="H232" s="7"/>
      <c r="I232" s="7"/>
      <c r="J232" s="7"/>
      <c r="K232" s="7"/>
      <c r="L232" s="7"/>
    </row>
    <row r="233" customFormat="false" ht="19.5" hidden="false" customHeight="true" outlineLevel="0" collapsed="false">
      <c r="A233" s="11" t="s">
        <v>585</v>
      </c>
      <c r="B233" s="20" t="s">
        <v>545</v>
      </c>
      <c r="C233" s="12" t="s">
        <v>580</v>
      </c>
      <c r="D233" s="12" t="s">
        <v>586</v>
      </c>
      <c r="E233" s="8" t="s">
        <v>19</v>
      </c>
      <c r="F233" s="13" t="s">
        <v>582</v>
      </c>
      <c r="G233" s="10" t="s">
        <v>21</v>
      </c>
      <c r="H233" s="12"/>
      <c r="I233" s="12"/>
      <c r="J233" s="12"/>
      <c r="K233" s="12"/>
      <c r="L233" s="12"/>
    </row>
    <row r="234" customFormat="false" ht="19.5" hidden="false" customHeight="true" outlineLevel="0" collapsed="false">
      <c r="A234" s="5" t="s">
        <v>587</v>
      </c>
      <c r="B234" s="20" t="s">
        <v>545</v>
      </c>
      <c r="C234" s="7" t="s">
        <v>580</v>
      </c>
      <c r="D234" s="7" t="s">
        <v>588</v>
      </c>
      <c r="E234" s="14" t="s">
        <v>27</v>
      </c>
      <c r="F234" s="9" t="s">
        <v>582</v>
      </c>
      <c r="G234" s="10" t="s">
        <v>21</v>
      </c>
      <c r="H234" s="7"/>
      <c r="I234" s="7"/>
      <c r="J234" s="7"/>
      <c r="K234" s="7"/>
      <c r="L234" s="7"/>
    </row>
    <row r="235" customFormat="false" ht="19.5" hidden="false" customHeight="true" outlineLevel="0" collapsed="false">
      <c r="A235" s="11" t="s">
        <v>589</v>
      </c>
      <c r="B235" s="20" t="s">
        <v>545</v>
      </c>
      <c r="C235" s="12" t="s">
        <v>580</v>
      </c>
      <c r="D235" s="12" t="s">
        <v>590</v>
      </c>
      <c r="E235" s="8" t="s">
        <v>19</v>
      </c>
      <c r="F235" s="13" t="s">
        <v>582</v>
      </c>
      <c r="G235" s="10" t="s">
        <v>21</v>
      </c>
      <c r="H235" s="12"/>
      <c r="I235" s="12"/>
      <c r="J235" s="12"/>
      <c r="K235" s="12"/>
      <c r="L235" s="12"/>
    </row>
    <row r="236" customFormat="false" ht="19.5" hidden="false" customHeight="true" outlineLevel="0" collapsed="false">
      <c r="A236" s="5" t="s">
        <v>591</v>
      </c>
      <c r="B236" s="20" t="s">
        <v>545</v>
      </c>
      <c r="C236" s="7" t="s">
        <v>580</v>
      </c>
      <c r="D236" s="7" t="s">
        <v>322</v>
      </c>
      <c r="E236" s="8" t="s">
        <v>19</v>
      </c>
      <c r="F236" s="9" t="s">
        <v>582</v>
      </c>
      <c r="G236" s="10" t="s">
        <v>21</v>
      </c>
      <c r="H236" s="7"/>
      <c r="I236" s="7"/>
      <c r="J236" s="7"/>
      <c r="K236" s="7"/>
      <c r="L236" s="7"/>
    </row>
    <row r="237" customFormat="false" ht="19.5" hidden="false" customHeight="true" outlineLevel="0" collapsed="false">
      <c r="A237" s="11" t="s">
        <v>592</v>
      </c>
      <c r="B237" s="20" t="s">
        <v>545</v>
      </c>
      <c r="C237" s="12" t="s">
        <v>580</v>
      </c>
      <c r="D237" s="12" t="s">
        <v>593</v>
      </c>
      <c r="E237" s="8" t="s">
        <v>19</v>
      </c>
      <c r="F237" s="13" t="s">
        <v>594</v>
      </c>
      <c r="G237" s="10" t="s">
        <v>21</v>
      </c>
      <c r="H237" s="12"/>
      <c r="I237" s="12"/>
      <c r="J237" s="12"/>
      <c r="K237" s="12"/>
      <c r="L237" s="12"/>
    </row>
    <row r="238" customFormat="false" ht="19.5" hidden="false" customHeight="true" outlineLevel="0" collapsed="false">
      <c r="A238" s="5" t="s">
        <v>595</v>
      </c>
      <c r="B238" s="20" t="s">
        <v>545</v>
      </c>
      <c r="C238" s="7" t="s">
        <v>596</v>
      </c>
      <c r="D238" s="7" t="s">
        <v>597</v>
      </c>
      <c r="E238" s="14" t="s">
        <v>27</v>
      </c>
      <c r="F238" s="9" t="s">
        <v>598</v>
      </c>
      <c r="G238" s="10" t="s">
        <v>21</v>
      </c>
      <c r="H238" s="7"/>
      <c r="I238" s="7"/>
      <c r="J238" s="7"/>
      <c r="K238" s="7"/>
      <c r="L238" s="7"/>
    </row>
    <row r="239" customFormat="false" ht="19.5" hidden="false" customHeight="true" outlineLevel="0" collapsed="false">
      <c r="A239" s="11" t="s">
        <v>599</v>
      </c>
      <c r="B239" s="20" t="s">
        <v>545</v>
      </c>
      <c r="C239" s="12" t="s">
        <v>596</v>
      </c>
      <c r="D239" s="12" t="s">
        <v>600</v>
      </c>
      <c r="E239" s="14" t="s">
        <v>27</v>
      </c>
      <c r="F239" s="13" t="s">
        <v>598</v>
      </c>
      <c r="G239" s="10" t="s">
        <v>21</v>
      </c>
      <c r="H239" s="12"/>
      <c r="I239" s="12"/>
      <c r="J239" s="12"/>
      <c r="K239" s="12"/>
      <c r="L239" s="12"/>
    </row>
    <row r="240" customFormat="false" ht="19.5" hidden="false" customHeight="true" outlineLevel="0" collapsed="false">
      <c r="A240" s="5" t="s">
        <v>601</v>
      </c>
      <c r="B240" s="20" t="s">
        <v>545</v>
      </c>
      <c r="C240" s="7" t="s">
        <v>596</v>
      </c>
      <c r="D240" s="7" t="s">
        <v>602</v>
      </c>
      <c r="E240" s="8" t="s">
        <v>19</v>
      </c>
      <c r="F240" s="9" t="s">
        <v>598</v>
      </c>
      <c r="G240" s="10" t="s">
        <v>21</v>
      </c>
      <c r="H240" s="7"/>
      <c r="I240" s="7"/>
      <c r="J240" s="7"/>
      <c r="K240" s="7"/>
      <c r="L240" s="7"/>
    </row>
    <row r="241" customFormat="false" ht="19.5" hidden="false" customHeight="true" outlineLevel="0" collapsed="false">
      <c r="A241" s="11" t="s">
        <v>603</v>
      </c>
      <c r="B241" s="20" t="s">
        <v>545</v>
      </c>
      <c r="C241" s="12" t="s">
        <v>596</v>
      </c>
      <c r="D241" s="12" t="s">
        <v>604</v>
      </c>
      <c r="E241" s="8" t="s">
        <v>19</v>
      </c>
      <c r="F241" s="13" t="s">
        <v>598</v>
      </c>
      <c r="G241" s="10" t="s">
        <v>21</v>
      </c>
      <c r="H241" s="12"/>
      <c r="I241" s="12"/>
      <c r="J241" s="12"/>
      <c r="K241" s="12"/>
      <c r="L241" s="12"/>
    </row>
    <row r="242" customFormat="false" ht="19.5" hidden="false" customHeight="true" outlineLevel="0" collapsed="false">
      <c r="A242" s="5" t="s">
        <v>605</v>
      </c>
      <c r="B242" s="20" t="s">
        <v>545</v>
      </c>
      <c r="C242" s="7" t="s">
        <v>596</v>
      </c>
      <c r="D242" s="7" t="s">
        <v>606</v>
      </c>
      <c r="E242" s="8" t="s">
        <v>19</v>
      </c>
      <c r="F242" s="9" t="s">
        <v>598</v>
      </c>
      <c r="G242" s="10" t="s">
        <v>21</v>
      </c>
      <c r="H242" s="7"/>
      <c r="I242" s="7"/>
      <c r="J242" s="7"/>
      <c r="K242" s="7"/>
      <c r="L242" s="7"/>
    </row>
    <row r="243" customFormat="false" ht="19.5" hidden="false" customHeight="true" outlineLevel="0" collapsed="false">
      <c r="A243" s="11" t="s">
        <v>607</v>
      </c>
      <c r="B243" s="20" t="s">
        <v>545</v>
      </c>
      <c r="C243" s="12" t="s">
        <v>596</v>
      </c>
      <c r="D243" s="12" t="s">
        <v>608</v>
      </c>
      <c r="E243" s="8" t="s">
        <v>19</v>
      </c>
      <c r="F243" s="13" t="s">
        <v>594</v>
      </c>
      <c r="G243" s="10" t="s">
        <v>21</v>
      </c>
      <c r="H243" s="12"/>
      <c r="I243" s="12"/>
      <c r="J243" s="12"/>
      <c r="K243" s="12"/>
      <c r="L243" s="12"/>
    </row>
    <row r="244" customFormat="false" ht="19.5" hidden="false" customHeight="true" outlineLevel="0" collapsed="false">
      <c r="A244" s="5" t="s">
        <v>609</v>
      </c>
      <c r="B244" s="20" t="s">
        <v>545</v>
      </c>
      <c r="C244" s="7" t="s">
        <v>610</v>
      </c>
      <c r="D244" s="7" t="s">
        <v>611</v>
      </c>
      <c r="E244" s="15" t="s">
        <v>53</v>
      </c>
      <c r="F244" s="9" t="s">
        <v>612</v>
      </c>
      <c r="G244" s="10" t="s">
        <v>21</v>
      </c>
      <c r="H244" s="7"/>
      <c r="I244" s="7"/>
      <c r="J244" s="7"/>
      <c r="K244" s="7"/>
      <c r="L244" s="7"/>
    </row>
    <row r="245" customFormat="false" ht="19.5" hidden="false" customHeight="true" outlineLevel="0" collapsed="false">
      <c r="A245" s="11" t="s">
        <v>613</v>
      </c>
      <c r="B245" s="20" t="s">
        <v>545</v>
      </c>
      <c r="C245" s="12" t="s">
        <v>610</v>
      </c>
      <c r="D245" s="12" t="s">
        <v>614</v>
      </c>
      <c r="E245" s="15" t="s">
        <v>53</v>
      </c>
      <c r="F245" s="13" t="s">
        <v>612</v>
      </c>
      <c r="G245" s="10" t="s">
        <v>21</v>
      </c>
      <c r="H245" s="12"/>
      <c r="I245" s="12"/>
      <c r="J245" s="12"/>
      <c r="K245" s="12"/>
      <c r="L245" s="12"/>
    </row>
    <row r="246" customFormat="false" ht="19.5" hidden="false" customHeight="true" outlineLevel="0" collapsed="false">
      <c r="A246" s="5" t="s">
        <v>615</v>
      </c>
      <c r="B246" s="20" t="s">
        <v>545</v>
      </c>
      <c r="C246" s="7" t="s">
        <v>610</v>
      </c>
      <c r="D246" s="7" t="s">
        <v>616</v>
      </c>
      <c r="E246" s="15" t="s">
        <v>53</v>
      </c>
      <c r="F246" s="9" t="s">
        <v>612</v>
      </c>
      <c r="G246" s="10" t="s">
        <v>21</v>
      </c>
      <c r="H246" s="7"/>
      <c r="I246" s="7"/>
      <c r="J246" s="7"/>
      <c r="K246" s="7"/>
      <c r="L246" s="7"/>
    </row>
    <row r="247" customFormat="false" ht="19.5" hidden="false" customHeight="true" outlineLevel="0" collapsed="false">
      <c r="A247" s="11" t="s">
        <v>617</v>
      </c>
      <c r="B247" s="20" t="s">
        <v>545</v>
      </c>
      <c r="C247" s="12" t="s">
        <v>618</v>
      </c>
      <c r="D247" s="12" t="s">
        <v>619</v>
      </c>
      <c r="E247" s="8" t="s">
        <v>19</v>
      </c>
      <c r="F247" s="13" t="s">
        <v>620</v>
      </c>
      <c r="G247" s="10" t="s">
        <v>21</v>
      </c>
      <c r="H247" s="12"/>
      <c r="I247" s="12"/>
      <c r="J247" s="12"/>
      <c r="K247" s="12"/>
      <c r="L247" s="12"/>
    </row>
    <row r="248" customFormat="false" ht="19.5" hidden="false" customHeight="true" outlineLevel="0" collapsed="false">
      <c r="A248" s="5" t="s">
        <v>621</v>
      </c>
      <c r="B248" s="20" t="s">
        <v>545</v>
      </c>
      <c r="C248" s="7" t="s">
        <v>618</v>
      </c>
      <c r="D248" s="7" t="s">
        <v>439</v>
      </c>
      <c r="E248" s="8" t="s">
        <v>19</v>
      </c>
      <c r="F248" s="9" t="s">
        <v>620</v>
      </c>
      <c r="G248" s="10" t="s">
        <v>21</v>
      </c>
      <c r="H248" s="7"/>
      <c r="I248" s="7"/>
      <c r="J248" s="7"/>
      <c r="K248" s="7"/>
      <c r="L248" s="7"/>
    </row>
    <row r="249" customFormat="false" ht="19.5" hidden="false" customHeight="true" outlineLevel="0" collapsed="false">
      <c r="A249" s="11" t="s">
        <v>622</v>
      </c>
      <c r="B249" s="20" t="s">
        <v>545</v>
      </c>
      <c r="C249" s="12" t="s">
        <v>618</v>
      </c>
      <c r="D249" s="12" t="s">
        <v>623</v>
      </c>
      <c r="E249" s="8" t="s">
        <v>19</v>
      </c>
      <c r="F249" s="13" t="s">
        <v>620</v>
      </c>
      <c r="G249" s="10" t="s">
        <v>21</v>
      </c>
      <c r="H249" s="12"/>
      <c r="I249" s="12"/>
      <c r="J249" s="12"/>
      <c r="K249" s="12"/>
      <c r="L249" s="12"/>
    </row>
    <row r="250" customFormat="false" ht="19.5" hidden="false" customHeight="true" outlineLevel="0" collapsed="false">
      <c r="A250" s="5" t="s">
        <v>624</v>
      </c>
      <c r="B250" s="20" t="s">
        <v>545</v>
      </c>
      <c r="C250" s="7" t="s">
        <v>618</v>
      </c>
      <c r="D250" s="7" t="s">
        <v>625</v>
      </c>
      <c r="E250" s="8" t="s">
        <v>19</v>
      </c>
      <c r="F250" s="9" t="s">
        <v>620</v>
      </c>
      <c r="G250" s="10" t="s">
        <v>21</v>
      </c>
      <c r="H250" s="7"/>
      <c r="I250" s="7"/>
      <c r="J250" s="7"/>
      <c r="K250" s="7"/>
      <c r="L250" s="7"/>
    </row>
    <row r="251" customFormat="false" ht="19.5" hidden="false" customHeight="true" outlineLevel="0" collapsed="false">
      <c r="A251" s="11" t="s">
        <v>626</v>
      </c>
      <c r="B251" s="20" t="s">
        <v>545</v>
      </c>
      <c r="C251" s="12" t="s">
        <v>627</v>
      </c>
      <c r="D251" s="12" t="s">
        <v>628</v>
      </c>
      <c r="E251" s="14" t="s">
        <v>27</v>
      </c>
      <c r="F251" s="13" t="s">
        <v>629</v>
      </c>
      <c r="G251" s="10" t="s">
        <v>21</v>
      </c>
      <c r="H251" s="12"/>
      <c r="I251" s="12"/>
      <c r="J251" s="12"/>
      <c r="K251" s="12"/>
      <c r="L251" s="12"/>
    </row>
    <row r="252" customFormat="false" ht="19.5" hidden="false" customHeight="true" outlineLevel="0" collapsed="false">
      <c r="A252" s="5" t="s">
        <v>630</v>
      </c>
      <c r="B252" s="20" t="s">
        <v>545</v>
      </c>
      <c r="C252" s="7" t="s">
        <v>627</v>
      </c>
      <c r="D252" s="7" t="s">
        <v>631</v>
      </c>
      <c r="E252" s="14" t="s">
        <v>27</v>
      </c>
      <c r="F252" s="9" t="s">
        <v>629</v>
      </c>
      <c r="G252" s="10" t="s">
        <v>21</v>
      </c>
      <c r="H252" s="7"/>
      <c r="I252" s="7"/>
      <c r="J252" s="7"/>
      <c r="K252" s="7"/>
      <c r="L252" s="7"/>
    </row>
    <row r="253" customFormat="false" ht="19.5" hidden="false" customHeight="true" outlineLevel="0" collapsed="false">
      <c r="A253" s="11" t="s">
        <v>632</v>
      </c>
      <c r="B253" s="20" t="s">
        <v>545</v>
      </c>
      <c r="C253" s="12" t="s">
        <v>627</v>
      </c>
      <c r="D253" s="12" t="s">
        <v>633</v>
      </c>
      <c r="E253" s="14" t="s">
        <v>27</v>
      </c>
      <c r="F253" s="13" t="s">
        <v>629</v>
      </c>
      <c r="G253" s="10" t="s">
        <v>21</v>
      </c>
      <c r="H253" s="12"/>
      <c r="I253" s="12"/>
      <c r="J253" s="12"/>
      <c r="K253" s="12"/>
      <c r="L253" s="12"/>
    </row>
    <row r="254" customFormat="false" ht="19.5" hidden="false" customHeight="true" outlineLevel="0" collapsed="false">
      <c r="A254" s="5" t="s">
        <v>634</v>
      </c>
      <c r="B254" s="20" t="s">
        <v>545</v>
      </c>
      <c r="C254" s="7" t="s">
        <v>635</v>
      </c>
      <c r="D254" s="7" t="s">
        <v>636</v>
      </c>
      <c r="E254" s="8" t="s">
        <v>19</v>
      </c>
      <c r="F254" s="9" t="s">
        <v>573</v>
      </c>
      <c r="G254" s="10" t="s">
        <v>21</v>
      </c>
      <c r="H254" s="7"/>
      <c r="I254" s="7"/>
      <c r="J254" s="7"/>
      <c r="K254" s="7"/>
      <c r="L254" s="7"/>
    </row>
    <row r="255" customFormat="false" ht="19.5" hidden="false" customHeight="true" outlineLevel="0" collapsed="false">
      <c r="A255" s="11" t="s">
        <v>637</v>
      </c>
      <c r="B255" s="20" t="s">
        <v>545</v>
      </c>
      <c r="C255" s="12" t="s">
        <v>635</v>
      </c>
      <c r="D255" s="12" t="s">
        <v>638</v>
      </c>
      <c r="E255" s="8" t="s">
        <v>19</v>
      </c>
      <c r="F255" s="13" t="s">
        <v>573</v>
      </c>
      <c r="G255" s="10" t="s">
        <v>21</v>
      </c>
      <c r="H255" s="12"/>
      <c r="I255" s="12"/>
      <c r="J255" s="12"/>
      <c r="K255" s="12"/>
      <c r="L255" s="12"/>
    </row>
    <row r="256" customFormat="false" ht="19.5" hidden="false" customHeight="true" outlineLevel="0" collapsed="false">
      <c r="A256" s="5" t="s">
        <v>639</v>
      </c>
      <c r="B256" s="20" t="s">
        <v>545</v>
      </c>
      <c r="C256" s="7" t="s">
        <v>635</v>
      </c>
      <c r="D256" s="7" t="s">
        <v>640</v>
      </c>
      <c r="E256" s="8" t="s">
        <v>19</v>
      </c>
      <c r="F256" s="9" t="s">
        <v>573</v>
      </c>
      <c r="G256" s="10" t="s">
        <v>21</v>
      </c>
      <c r="H256" s="7"/>
      <c r="I256" s="7"/>
      <c r="J256" s="7"/>
      <c r="K256" s="7"/>
      <c r="L256" s="7"/>
    </row>
    <row r="257" customFormat="false" ht="19.5" hidden="false" customHeight="true" outlineLevel="0" collapsed="false">
      <c r="A257" s="11" t="s">
        <v>641</v>
      </c>
      <c r="B257" s="20" t="s">
        <v>545</v>
      </c>
      <c r="C257" s="12" t="s">
        <v>635</v>
      </c>
      <c r="D257" s="12" t="s">
        <v>642</v>
      </c>
      <c r="E257" s="8" t="s">
        <v>19</v>
      </c>
      <c r="F257" s="13" t="s">
        <v>573</v>
      </c>
      <c r="G257" s="10" t="s">
        <v>21</v>
      </c>
      <c r="H257" s="12"/>
      <c r="I257" s="12"/>
      <c r="J257" s="12"/>
      <c r="K257" s="12"/>
      <c r="L257" s="12"/>
    </row>
    <row r="258" customFormat="false" ht="19.5" hidden="false" customHeight="true" outlineLevel="0" collapsed="false">
      <c r="A258" s="5" t="s">
        <v>643</v>
      </c>
      <c r="B258" s="20" t="s">
        <v>545</v>
      </c>
      <c r="C258" s="7" t="s">
        <v>635</v>
      </c>
      <c r="D258" s="7" t="s">
        <v>644</v>
      </c>
      <c r="E258" s="14" t="s">
        <v>27</v>
      </c>
      <c r="F258" s="9" t="s">
        <v>573</v>
      </c>
      <c r="G258" s="10" t="s">
        <v>21</v>
      </c>
      <c r="H258" s="7"/>
      <c r="I258" s="7"/>
      <c r="J258" s="7"/>
      <c r="K258" s="7"/>
      <c r="L258" s="7"/>
    </row>
    <row r="259" customFormat="false" ht="19.5" hidden="false" customHeight="true" outlineLevel="0" collapsed="false">
      <c r="A259" s="11" t="s">
        <v>645</v>
      </c>
      <c r="B259" s="20" t="s">
        <v>545</v>
      </c>
      <c r="C259" s="12" t="s">
        <v>646</v>
      </c>
      <c r="D259" s="12" t="s">
        <v>647</v>
      </c>
      <c r="E259" s="8" t="s">
        <v>19</v>
      </c>
      <c r="F259" s="13" t="s">
        <v>648</v>
      </c>
      <c r="G259" s="10" t="s">
        <v>21</v>
      </c>
      <c r="H259" s="12"/>
      <c r="I259" s="12"/>
      <c r="J259" s="12"/>
      <c r="K259" s="12"/>
      <c r="L259" s="12"/>
    </row>
    <row r="260" customFormat="false" ht="19.5" hidden="false" customHeight="true" outlineLevel="0" collapsed="false">
      <c r="A260" s="5" t="s">
        <v>649</v>
      </c>
      <c r="B260" s="20" t="s">
        <v>545</v>
      </c>
      <c r="C260" s="7" t="s">
        <v>646</v>
      </c>
      <c r="D260" s="7" t="s">
        <v>650</v>
      </c>
      <c r="E260" s="8" t="s">
        <v>19</v>
      </c>
      <c r="F260" s="9" t="s">
        <v>648</v>
      </c>
      <c r="G260" s="10" t="s">
        <v>21</v>
      </c>
      <c r="H260" s="7"/>
      <c r="I260" s="7"/>
      <c r="J260" s="7"/>
      <c r="K260" s="7"/>
      <c r="L260" s="7"/>
    </row>
    <row r="261" customFormat="false" ht="19.5" hidden="false" customHeight="true" outlineLevel="0" collapsed="false">
      <c r="A261" s="11" t="s">
        <v>651</v>
      </c>
      <c r="B261" s="20" t="s">
        <v>545</v>
      </c>
      <c r="C261" s="12" t="s">
        <v>646</v>
      </c>
      <c r="D261" s="12" t="s">
        <v>652</v>
      </c>
      <c r="E261" s="8" t="s">
        <v>19</v>
      </c>
      <c r="F261" s="13" t="s">
        <v>648</v>
      </c>
      <c r="G261" s="10" t="s">
        <v>21</v>
      </c>
      <c r="H261" s="12"/>
      <c r="I261" s="12"/>
      <c r="J261" s="12"/>
      <c r="K261" s="12"/>
      <c r="L261" s="12"/>
    </row>
    <row r="262" customFormat="false" ht="19.5" hidden="false" customHeight="true" outlineLevel="0" collapsed="false">
      <c r="A262" s="5" t="s">
        <v>653</v>
      </c>
      <c r="B262" s="20" t="s">
        <v>545</v>
      </c>
      <c r="C262" s="7" t="s">
        <v>646</v>
      </c>
      <c r="D262" s="7" t="s">
        <v>654</v>
      </c>
      <c r="E262" s="8" t="s">
        <v>19</v>
      </c>
      <c r="F262" s="9" t="s">
        <v>648</v>
      </c>
      <c r="G262" s="10" t="s">
        <v>21</v>
      </c>
      <c r="H262" s="7"/>
      <c r="I262" s="7"/>
      <c r="J262" s="7"/>
      <c r="K262" s="7"/>
      <c r="L262" s="7"/>
    </row>
    <row r="263" customFormat="false" ht="19.5" hidden="false" customHeight="true" outlineLevel="0" collapsed="false">
      <c r="A263" s="11" t="s">
        <v>655</v>
      </c>
      <c r="B263" s="20" t="s">
        <v>545</v>
      </c>
      <c r="C263" s="12" t="s">
        <v>646</v>
      </c>
      <c r="D263" s="12" t="s">
        <v>656</v>
      </c>
      <c r="E263" s="8" t="s">
        <v>19</v>
      </c>
      <c r="F263" s="13" t="s">
        <v>620</v>
      </c>
      <c r="G263" s="10" t="s">
        <v>21</v>
      </c>
      <c r="H263" s="12"/>
      <c r="I263" s="12"/>
      <c r="J263" s="12"/>
      <c r="K263" s="12"/>
      <c r="L263" s="12"/>
    </row>
    <row r="264" customFormat="false" ht="19.5" hidden="false" customHeight="true" outlineLevel="0" collapsed="false">
      <c r="A264" s="5" t="s">
        <v>657</v>
      </c>
      <c r="B264" s="20" t="s">
        <v>545</v>
      </c>
      <c r="C264" s="7" t="s">
        <v>242</v>
      </c>
      <c r="D264" s="7" t="s">
        <v>658</v>
      </c>
      <c r="E264" s="8" t="s">
        <v>19</v>
      </c>
      <c r="F264" s="9" t="s">
        <v>560</v>
      </c>
      <c r="G264" s="10" t="s">
        <v>21</v>
      </c>
      <c r="H264" s="7"/>
      <c r="I264" s="7"/>
      <c r="J264" s="7"/>
      <c r="K264" s="7"/>
      <c r="L264" s="7"/>
    </row>
    <row r="265" customFormat="false" ht="19.5" hidden="false" customHeight="true" outlineLevel="0" collapsed="false">
      <c r="A265" s="11" t="s">
        <v>659</v>
      </c>
      <c r="B265" s="20" t="s">
        <v>545</v>
      </c>
      <c r="C265" s="12" t="s">
        <v>242</v>
      </c>
      <c r="D265" s="12" t="s">
        <v>660</v>
      </c>
      <c r="E265" s="8" t="s">
        <v>19</v>
      </c>
      <c r="F265" s="13" t="s">
        <v>566</v>
      </c>
      <c r="G265" s="10" t="s">
        <v>21</v>
      </c>
      <c r="H265" s="12"/>
      <c r="I265" s="12"/>
      <c r="J265" s="12"/>
      <c r="K265" s="12"/>
      <c r="L265" s="12"/>
    </row>
    <row r="266" customFormat="false" ht="19.5" hidden="false" customHeight="true" outlineLevel="0" collapsed="false">
      <c r="A266" s="5" t="s">
        <v>661</v>
      </c>
      <c r="B266" s="20" t="s">
        <v>545</v>
      </c>
      <c r="C266" s="7" t="s">
        <v>242</v>
      </c>
      <c r="D266" s="7" t="s">
        <v>662</v>
      </c>
      <c r="E266" s="8" t="s">
        <v>19</v>
      </c>
      <c r="F266" s="9" t="s">
        <v>582</v>
      </c>
      <c r="G266" s="10" t="s">
        <v>21</v>
      </c>
      <c r="H266" s="7"/>
      <c r="I266" s="7"/>
      <c r="J266" s="7"/>
      <c r="K266" s="7"/>
      <c r="L266" s="7"/>
    </row>
    <row r="267" customFormat="false" ht="19.5" hidden="false" customHeight="true" outlineLevel="0" collapsed="false">
      <c r="A267" s="11" t="s">
        <v>663</v>
      </c>
      <c r="B267" s="20" t="s">
        <v>545</v>
      </c>
      <c r="C267" s="12" t="s">
        <v>242</v>
      </c>
      <c r="D267" s="12" t="s">
        <v>664</v>
      </c>
      <c r="E267" s="8" t="s">
        <v>19</v>
      </c>
      <c r="F267" s="13" t="s">
        <v>582</v>
      </c>
      <c r="G267" s="10" t="s">
        <v>21</v>
      </c>
      <c r="H267" s="12"/>
      <c r="I267" s="12"/>
      <c r="J267" s="12"/>
      <c r="K267" s="12"/>
      <c r="L267" s="12"/>
    </row>
    <row r="268" customFormat="false" ht="19.5" hidden="false" customHeight="true" outlineLevel="0" collapsed="false">
      <c r="A268" s="5" t="s">
        <v>665</v>
      </c>
      <c r="B268" s="20" t="s">
        <v>545</v>
      </c>
      <c r="C268" s="7" t="s">
        <v>242</v>
      </c>
      <c r="D268" s="7" t="s">
        <v>666</v>
      </c>
      <c r="E268" s="8" t="s">
        <v>19</v>
      </c>
      <c r="F268" s="9" t="s">
        <v>582</v>
      </c>
      <c r="G268" s="10" t="s">
        <v>21</v>
      </c>
      <c r="H268" s="7"/>
      <c r="I268" s="7"/>
      <c r="J268" s="7"/>
      <c r="K268" s="7"/>
      <c r="L268" s="7"/>
    </row>
    <row r="269" customFormat="false" ht="19.5" hidden="false" customHeight="true" outlineLevel="0" collapsed="false">
      <c r="A269" s="11" t="s">
        <v>667</v>
      </c>
      <c r="B269" s="20" t="s">
        <v>545</v>
      </c>
      <c r="C269" s="12" t="s">
        <v>251</v>
      </c>
      <c r="D269" s="12" t="s">
        <v>668</v>
      </c>
      <c r="E269" s="14" t="s">
        <v>27</v>
      </c>
      <c r="F269" s="13" t="s">
        <v>669</v>
      </c>
      <c r="G269" s="10" t="s">
        <v>21</v>
      </c>
      <c r="H269" s="12"/>
      <c r="I269" s="12"/>
      <c r="J269" s="12"/>
      <c r="K269" s="12"/>
      <c r="L269" s="12"/>
    </row>
    <row r="270" customFormat="false" ht="19.5" hidden="false" customHeight="true" outlineLevel="0" collapsed="false">
      <c r="A270" s="5" t="s">
        <v>670</v>
      </c>
      <c r="B270" s="20" t="s">
        <v>545</v>
      </c>
      <c r="C270" s="7" t="s">
        <v>251</v>
      </c>
      <c r="D270" s="7" t="s">
        <v>671</v>
      </c>
      <c r="E270" s="14" t="s">
        <v>27</v>
      </c>
      <c r="F270" s="9" t="s">
        <v>669</v>
      </c>
      <c r="G270" s="10" t="s">
        <v>21</v>
      </c>
      <c r="H270" s="7"/>
      <c r="I270" s="7"/>
      <c r="J270" s="7"/>
      <c r="K270" s="7"/>
      <c r="L270" s="7"/>
    </row>
    <row r="271" customFormat="false" ht="19.5" hidden="false" customHeight="true" outlineLevel="0" collapsed="false">
      <c r="A271" s="11" t="s">
        <v>672</v>
      </c>
      <c r="B271" s="20" t="s">
        <v>545</v>
      </c>
      <c r="C271" s="12" t="s">
        <v>251</v>
      </c>
      <c r="D271" s="12" t="s">
        <v>673</v>
      </c>
      <c r="E271" s="15" t="s">
        <v>53</v>
      </c>
      <c r="F271" s="13" t="s">
        <v>669</v>
      </c>
      <c r="G271" s="10" t="s">
        <v>21</v>
      </c>
      <c r="H271" s="12"/>
      <c r="I271" s="12"/>
      <c r="J271" s="12"/>
      <c r="K271" s="12"/>
      <c r="L271" s="12"/>
    </row>
    <row r="272" customFormat="false" ht="19.5" hidden="false" customHeight="true" outlineLevel="0" collapsed="false">
      <c r="A272" s="5" t="s">
        <v>674</v>
      </c>
      <c r="B272" s="20" t="s">
        <v>545</v>
      </c>
      <c r="C272" s="7" t="s">
        <v>251</v>
      </c>
      <c r="D272" s="7" t="s">
        <v>675</v>
      </c>
      <c r="E272" s="14" t="s">
        <v>27</v>
      </c>
      <c r="F272" s="9" t="s">
        <v>669</v>
      </c>
      <c r="G272" s="10" t="s">
        <v>21</v>
      </c>
      <c r="H272" s="7"/>
      <c r="I272" s="7"/>
      <c r="J272" s="7"/>
      <c r="K272" s="7"/>
      <c r="L272" s="7"/>
    </row>
    <row r="273" customFormat="false" ht="19.5" hidden="false" customHeight="true" outlineLevel="0" collapsed="false">
      <c r="A273" s="11" t="s">
        <v>676</v>
      </c>
      <c r="B273" s="20" t="s">
        <v>545</v>
      </c>
      <c r="C273" s="12" t="s">
        <v>251</v>
      </c>
      <c r="D273" s="12" t="s">
        <v>677</v>
      </c>
      <c r="E273" s="8" t="s">
        <v>19</v>
      </c>
      <c r="F273" s="13" t="s">
        <v>648</v>
      </c>
      <c r="G273" s="10" t="s">
        <v>21</v>
      </c>
      <c r="H273" s="12"/>
      <c r="I273" s="12"/>
      <c r="J273" s="12"/>
      <c r="K273" s="12"/>
      <c r="L273" s="12"/>
    </row>
    <row r="274" customFormat="false" ht="19.5" hidden="false" customHeight="true" outlineLevel="0" collapsed="false">
      <c r="A274" s="5" t="s">
        <v>678</v>
      </c>
      <c r="B274" s="20" t="s">
        <v>545</v>
      </c>
      <c r="C274" s="7" t="s">
        <v>263</v>
      </c>
      <c r="D274" s="7" t="s">
        <v>679</v>
      </c>
      <c r="E274" s="8" t="s">
        <v>19</v>
      </c>
      <c r="F274" s="9" t="s">
        <v>548</v>
      </c>
      <c r="G274" s="10" t="s">
        <v>21</v>
      </c>
      <c r="H274" s="7"/>
      <c r="I274" s="7"/>
      <c r="J274" s="7"/>
      <c r="K274" s="7"/>
      <c r="L274" s="7"/>
    </row>
    <row r="275" customFormat="false" ht="19.5" hidden="false" customHeight="true" outlineLevel="0" collapsed="false">
      <c r="A275" s="11" t="s">
        <v>680</v>
      </c>
      <c r="B275" s="20" t="s">
        <v>545</v>
      </c>
      <c r="C275" s="12" t="s">
        <v>263</v>
      </c>
      <c r="D275" s="12" t="s">
        <v>681</v>
      </c>
      <c r="E275" s="8" t="s">
        <v>19</v>
      </c>
      <c r="F275" s="13" t="s">
        <v>682</v>
      </c>
      <c r="G275" s="10" t="s">
        <v>21</v>
      </c>
      <c r="H275" s="12"/>
      <c r="I275" s="12"/>
      <c r="J275" s="12"/>
      <c r="K275" s="12"/>
      <c r="L275" s="12"/>
    </row>
    <row r="276" customFormat="false" ht="19.5" hidden="false" customHeight="true" outlineLevel="0" collapsed="false">
      <c r="A276" s="5" t="s">
        <v>683</v>
      </c>
      <c r="B276" s="20" t="s">
        <v>545</v>
      </c>
      <c r="C276" s="7" t="s">
        <v>263</v>
      </c>
      <c r="D276" s="7" t="s">
        <v>266</v>
      </c>
      <c r="E276" s="15" t="s">
        <v>53</v>
      </c>
      <c r="F276" s="9" t="s">
        <v>682</v>
      </c>
      <c r="G276" s="10" t="s">
        <v>21</v>
      </c>
      <c r="H276" s="7"/>
      <c r="I276" s="7"/>
      <c r="J276" s="7"/>
      <c r="K276" s="7"/>
      <c r="L276" s="7"/>
    </row>
    <row r="277" customFormat="false" ht="19.5" hidden="false" customHeight="true" outlineLevel="0" collapsed="false">
      <c r="A277" s="11" t="s">
        <v>684</v>
      </c>
      <c r="B277" s="20" t="s">
        <v>545</v>
      </c>
      <c r="C277" s="12" t="s">
        <v>263</v>
      </c>
      <c r="D277" s="12" t="s">
        <v>269</v>
      </c>
      <c r="E277" s="15" t="s">
        <v>53</v>
      </c>
      <c r="F277" s="13" t="s">
        <v>682</v>
      </c>
      <c r="G277" s="10" t="s">
        <v>21</v>
      </c>
      <c r="H277" s="12"/>
      <c r="I277" s="12"/>
      <c r="J277" s="12"/>
      <c r="K277" s="12"/>
      <c r="L277" s="12"/>
    </row>
    <row r="278" customFormat="false" ht="19.5" hidden="false" customHeight="true" outlineLevel="0" collapsed="false">
      <c r="A278" s="5" t="s">
        <v>685</v>
      </c>
      <c r="B278" s="20" t="s">
        <v>545</v>
      </c>
      <c r="C278" s="7" t="s">
        <v>263</v>
      </c>
      <c r="D278" s="7" t="s">
        <v>686</v>
      </c>
      <c r="E278" s="14" t="s">
        <v>27</v>
      </c>
      <c r="F278" s="9" t="s">
        <v>682</v>
      </c>
      <c r="G278" s="10" t="s">
        <v>21</v>
      </c>
      <c r="H278" s="7"/>
      <c r="I278" s="7"/>
      <c r="J278" s="7"/>
      <c r="K278" s="7"/>
      <c r="L278" s="7"/>
    </row>
    <row r="279" customFormat="false" ht="19.5" hidden="false" customHeight="true" outlineLevel="0" collapsed="false">
      <c r="A279" s="11" t="s">
        <v>687</v>
      </c>
      <c r="B279" s="20" t="s">
        <v>545</v>
      </c>
      <c r="C279" s="12" t="s">
        <v>263</v>
      </c>
      <c r="D279" s="12" t="s">
        <v>688</v>
      </c>
      <c r="E279" s="8" t="s">
        <v>19</v>
      </c>
      <c r="F279" s="13" t="s">
        <v>682</v>
      </c>
      <c r="G279" s="10" t="s">
        <v>21</v>
      </c>
      <c r="H279" s="12"/>
      <c r="I279" s="12"/>
      <c r="J279" s="12"/>
      <c r="K279" s="12"/>
      <c r="L279" s="12"/>
    </row>
    <row r="280" customFormat="false" ht="19.5" hidden="false" customHeight="true" outlineLevel="0" collapsed="false">
      <c r="A280" s="5" t="s">
        <v>689</v>
      </c>
      <c r="B280" s="20" t="s">
        <v>545</v>
      </c>
      <c r="C280" s="7" t="s">
        <v>263</v>
      </c>
      <c r="D280" s="7" t="s">
        <v>690</v>
      </c>
      <c r="E280" s="14" t="s">
        <v>27</v>
      </c>
      <c r="F280" s="9" t="s">
        <v>682</v>
      </c>
      <c r="G280" s="10" t="s">
        <v>21</v>
      </c>
      <c r="H280" s="7"/>
      <c r="I280" s="7"/>
      <c r="J280" s="7"/>
      <c r="K280" s="7"/>
      <c r="L280" s="7"/>
    </row>
    <row r="281" customFormat="false" ht="18" hidden="false" customHeight="true" outlineLevel="0" collapsed="false">
      <c r="A281" s="4" t="s">
        <v>691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9.5" hidden="false" customHeight="true" outlineLevel="0" collapsed="false">
      <c r="A282" s="5" t="s">
        <v>692</v>
      </c>
      <c r="B282" s="21" t="s">
        <v>693</v>
      </c>
      <c r="C282" s="7" t="s">
        <v>694</v>
      </c>
      <c r="D282" s="7" t="s">
        <v>695</v>
      </c>
      <c r="E282" s="8" t="s">
        <v>19</v>
      </c>
      <c r="F282" s="9" t="s">
        <v>696</v>
      </c>
      <c r="G282" s="10" t="s">
        <v>21</v>
      </c>
      <c r="H282" s="7"/>
      <c r="I282" s="7"/>
      <c r="J282" s="7"/>
      <c r="K282" s="7"/>
      <c r="L282" s="7"/>
    </row>
    <row r="283" customFormat="false" ht="19.5" hidden="false" customHeight="true" outlineLevel="0" collapsed="false">
      <c r="A283" s="11" t="s">
        <v>697</v>
      </c>
      <c r="B283" s="21" t="s">
        <v>693</v>
      </c>
      <c r="C283" s="12" t="s">
        <v>694</v>
      </c>
      <c r="D283" s="12" t="s">
        <v>698</v>
      </c>
      <c r="E283" s="8" t="s">
        <v>19</v>
      </c>
      <c r="F283" s="13" t="s">
        <v>699</v>
      </c>
      <c r="G283" s="10" t="s">
        <v>21</v>
      </c>
      <c r="H283" s="12"/>
      <c r="I283" s="12"/>
      <c r="J283" s="12"/>
      <c r="K283" s="12"/>
      <c r="L283" s="12"/>
    </row>
    <row r="284" customFormat="false" ht="19.5" hidden="false" customHeight="true" outlineLevel="0" collapsed="false">
      <c r="A284" s="5" t="s">
        <v>700</v>
      </c>
      <c r="B284" s="21" t="s">
        <v>693</v>
      </c>
      <c r="C284" s="7" t="s">
        <v>694</v>
      </c>
      <c r="D284" s="7" t="s">
        <v>701</v>
      </c>
      <c r="E284" s="14" t="s">
        <v>27</v>
      </c>
      <c r="F284" s="9" t="s">
        <v>702</v>
      </c>
      <c r="G284" s="10" t="s">
        <v>21</v>
      </c>
      <c r="H284" s="7"/>
      <c r="I284" s="7"/>
      <c r="J284" s="7"/>
      <c r="K284" s="7"/>
      <c r="L284" s="7"/>
    </row>
    <row r="285" customFormat="false" ht="19.5" hidden="false" customHeight="true" outlineLevel="0" collapsed="false">
      <c r="A285" s="11" t="s">
        <v>703</v>
      </c>
      <c r="B285" s="21" t="s">
        <v>693</v>
      </c>
      <c r="C285" s="12" t="s">
        <v>694</v>
      </c>
      <c r="D285" s="12" t="s">
        <v>704</v>
      </c>
      <c r="E285" s="14" t="s">
        <v>27</v>
      </c>
      <c r="F285" s="13" t="s">
        <v>705</v>
      </c>
      <c r="G285" s="10" t="s">
        <v>21</v>
      </c>
      <c r="H285" s="12"/>
      <c r="I285" s="12"/>
      <c r="J285" s="12"/>
      <c r="K285" s="12"/>
      <c r="L285" s="12"/>
    </row>
    <row r="286" customFormat="false" ht="19.5" hidden="false" customHeight="true" outlineLevel="0" collapsed="false">
      <c r="A286" s="5" t="s">
        <v>706</v>
      </c>
      <c r="B286" s="21" t="s">
        <v>693</v>
      </c>
      <c r="C286" s="7" t="s">
        <v>694</v>
      </c>
      <c r="D286" s="7" t="s">
        <v>707</v>
      </c>
      <c r="E286" s="14" t="s">
        <v>27</v>
      </c>
      <c r="F286" s="9" t="s">
        <v>705</v>
      </c>
      <c r="G286" s="10" t="s">
        <v>21</v>
      </c>
      <c r="H286" s="7"/>
      <c r="I286" s="7"/>
      <c r="J286" s="7"/>
      <c r="K286" s="7"/>
      <c r="L286" s="7"/>
    </row>
    <row r="287" customFormat="false" ht="19.5" hidden="false" customHeight="true" outlineLevel="0" collapsed="false">
      <c r="A287" s="11" t="s">
        <v>708</v>
      </c>
      <c r="B287" s="21" t="s">
        <v>693</v>
      </c>
      <c r="C287" s="12" t="s">
        <v>709</v>
      </c>
      <c r="D287" s="12" t="s">
        <v>710</v>
      </c>
      <c r="E287" s="8" t="s">
        <v>19</v>
      </c>
      <c r="F287" s="13" t="s">
        <v>705</v>
      </c>
      <c r="G287" s="10" t="s">
        <v>21</v>
      </c>
      <c r="H287" s="12"/>
      <c r="I287" s="12"/>
      <c r="J287" s="12"/>
      <c r="K287" s="12"/>
      <c r="L287" s="12"/>
    </row>
    <row r="288" customFormat="false" ht="19.5" hidden="false" customHeight="true" outlineLevel="0" collapsed="false">
      <c r="A288" s="5" t="s">
        <v>711</v>
      </c>
      <c r="B288" s="21" t="s">
        <v>693</v>
      </c>
      <c r="C288" s="7" t="s">
        <v>709</v>
      </c>
      <c r="D288" s="7" t="s">
        <v>712</v>
      </c>
      <c r="E288" s="8" t="s">
        <v>19</v>
      </c>
      <c r="F288" s="9" t="s">
        <v>705</v>
      </c>
      <c r="G288" s="10" t="s">
        <v>21</v>
      </c>
      <c r="H288" s="7"/>
      <c r="I288" s="7"/>
      <c r="J288" s="7"/>
      <c r="K288" s="7"/>
      <c r="L288" s="7"/>
    </row>
    <row r="289" customFormat="false" ht="19.5" hidden="false" customHeight="true" outlineLevel="0" collapsed="false">
      <c r="A289" s="11" t="s">
        <v>713</v>
      </c>
      <c r="B289" s="21" t="s">
        <v>693</v>
      </c>
      <c r="C289" s="12" t="s">
        <v>709</v>
      </c>
      <c r="D289" s="12" t="s">
        <v>714</v>
      </c>
      <c r="E289" s="14" t="s">
        <v>27</v>
      </c>
      <c r="F289" s="13" t="s">
        <v>715</v>
      </c>
      <c r="G289" s="10" t="s">
        <v>21</v>
      </c>
      <c r="H289" s="12"/>
      <c r="I289" s="12"/>
      <c r="J289" s="12"/>
      <c r="K289" s="12"/>
      <c r="L289" s="12"/>
    </row>
    <row r="290" customFormat="false" ht="19.5" hidden="false" customHeight="true" outlineLevel="0" collapsed="false">
      <c r="A290" s="5" t="s">
        <v>716</v>
      </c>
      <c r="B290" s="21" t="s">
        <v>693</v>
      </c>
      <c r="C290" s="7" t="s">
        <v>709</v>
      </c>
      <c r="D290" s="7" t="s">
        <v>717</v>
      </c>
      <c r="E290" s="14" t="s">
        <v>27</v>
      </c>
      <c r="F290" s="9" t="s">
        <v>715</v>
      </c>
      <c r="G290" s="10" t="s">
        <v>21</v>
      </c>
      <c r="H290" s="7"/>
      <c r="I290" s="7"/>
      <c r="J290" s="7"/>
      <c r="K290" s="7"/>
      <c r="L290" s="7"/>
    </row>
    <row r="291" customFormat="false" ht="19.5" hidden="false" customHeight="true" outlineLevel="0" collapsed="false">
      <c r="A291" s="11" t="s">
        <v>718</v>
      </c>
      <c r="B291" s="21" t="s">
        <v>693</v>
      </c>
      <c r="C291" s="12" t="s">
        <v>719</v>
      </c>
      <c r="D291" s="12" t="s">
        <v>720</v>
      </c>
      <c r="E291" s="8" t="s">
        <v>19</v>
      </c>
      <c r="F291" s="13" t="s">
        <v>721</v>
      </c>
      <c r="G291" s="10" t="s">
        <v>21</v>
      </c>
      <c r="H291" s="12"/>
      <c r="I291" s="12"/>
      <c r="J291" s="12"/>
      <c r="K291" s="12"/>
      <c r="L291" s="12"/>
    </row>
    <row r="292" customFormat="false" ht="19.5" hidden="false" customHeight="true" outlineLevel="0" collapsed="false">
      <c r="A292" s="5" t="s">
        <v>722</v>
      </c>
      <c r="B292" s="21" t="s">
        <v>693</v>
      </c>
      <c r="C292" s="7" t="s">
        <v>719</v>
      </c>
      <c r="D292" s="7" t="s">
        <v>723</v>
      </c>
      <c r="E292" s="14" t="s">
        <v>27</v>
      </c>
      <c r="F292" s="9" t="s">
        <v>721</v>
      </c>
      <c r="G292" s="10" t="s">
        <v>21</v>
      </c>
      <c r="H292" s="7"/>
      <c r="I292" s="7"/>
      <c r="J292" s="7"/>
      <c r="K292" s="7"/>
      <c r="L292" s="7"/>
    </row>
    <row r="293" customFormat="false" ht="19.5" hidden="false" customHeight="true" outlineLevel="0" collapsed="false">
      <c r="A293" s="11" t="s">
        <v>724</v>
      </c>
      <c r="B293" s="21" t="s">
        <v>693</v>
      </c>
      <c r="C293" s="12" t="s">
        <v>719</v>
      </c>
      <c r="D293" s="12" t="s">
        <v>725</v>
      </c>
      <c r="E293" s="15" t="s">
        <v>53</v>
      </c>
      <c r="F293" s="13" t="s">
        <v>721</v>
      </c>
      <c r="G293" s="10" t="s">
        <v>21</v>
      </c>
      <c r="H293" s="12"/>
      <c r="I293" s="12"/>
      <c r="J293" s="12"/>
      <c r="K293" s="12"/>
      <c r="L293" s="12"/>
    </row>
    <row r="294" customFormat="false" ht="19.5" hidden="false" customHeight="true" outlineLevel="0" collapsed="false">
      <c r="A294" s="5" t="s">
        <v>726</v>
      </c>
      <c r="B294" s="21" t="s">
        <v>693</v>
      </c>
      <c r="C294" s="7" t="s">
        <v>719</v>
      </c>
      <c r="D294" s="7" t="s">
        <v>727</v>
      </c>
      <c r="E294" s="8" t="s">
        <v>19</v>
      </c>
      <c r="F294" s="9" t="s">
        <v>721</v>
      </c>
      <c r="G294" s="10" t="s">
        <v>21</v>
      </c>
      <c r="H294" s="7"/>
      <c r="I294" s="7"/>
      <c r="J294" s="7"/>
      <c r="K294" s="7"/>
      <c r="L294" s="7"/>
    </row>
    <row r="295" customFormat="false" ht="19.5" hidden="false" customHeight="true" outlineLevel="0" collapsed="false">
      <c r="A295" s="11" t="s">
        <v>728</v>
      </c>
      <c r="B295" s="21" t="s">
        <v>693</v>
      </c>
      <c r="C295" s="12" t="s">
        <v>729</v>
      </c>
      <c r="D295" s="12" t="s">
        <v>730</v>
      </c>
      <c r="E295" s="14" t="s">
        <v>27</v>
      </c>
      <c r="F295" s="13" t="s">
        <v>731</v>
      </c>
      <c r="G295" s="10" t="s">
        <v>21</v>
      </c>
      <c r="H295" s="12"/>
      <c r="I295" s="12"/>
      <c r="J295" s="12"/>
      <c r="K295" s="12"/>
      <c r="L295" s="12"/>
    </row>
    <row r="296" customFormat="false" ht="19.5" hidden="false" customHeight="true" outlineLevel="0" collapsed="false">
      <c r="A296" s="5" t="s">
        <v>732</v>
      </c>
      <c r="B296" s="21" t="s">
        <v>693</v>
      </c>
      <c r="C296" s="7" t="s">
        <v>729</v>
      </c>
      <c r="D296" s="7" t="s">
        <v>733</v>
      </c>
      <c r="E296" s="15" t="s">
        <v>53</v>
      </c>
      <c r="F296" s="9" t="s">
        <v>731</v>
      </c>
      <c r="G296" s="10" t="s">
        <v>21</v>
      </c>
      <c r="H296" s="7"/>
      <c r="I296" s="7"/>
      <c r="J296" s="7"/>
      <c r="K296" s="7"/>
      <c r="L296" s="7"/>
    </row>
    <row r="297" customFormat="false" ht="19.5" hidden="false" customHeight="true" outlineLevel="0" collapsed="false">
      <c r="A297" s="11" t="s">
        <v>734</v>
      </c>
      <c r="B297" s="21" t="s">
        <v>693</v>
      </c>
      <c r="C297" s="12" t="s">
        <v>729</v>
      </c>
      <c r="D297" s="12" t="s">
        <v>735</v>
      </c>
      <c r="E297" s="8" t="s">
        <v>19</v>
      </c>
      <c r="F297" s="13" t="s">
        <v>736</v>
      </c>
      <c r="G297" s="10" t="s">
        <v>21</v>
      </c>
      <c r="H297" s="12"/>
      <c r="I297" s="12"/>
      <c r="J297" s="12"/>
      <c r="K297" s="12"/>
      <c r="L297" s="12"/>
    </row>
    <row r="298" customFormat="false" ht="19.5" hidden="false" customHeight="true" outlineLevel="0" collapsed="false">
      <c r="A298" s="5" t="s">
        <v>737</v>
      </c>
      <c r="B298" s="21" t="s">
        <v>693</v>
      </c>
      <c r="C298" s="7" t="s">
        <v>729</v>
      </c>
      <c r="D298" s="7" t="s">
        <v>738</v>
      </c>
      <c r="E298" s="8" t="s">
        <v>19</v>
      </c>
      <c r="F298" s="9" t="s">
        <v>736</v>
      </c>
      <c r="G298" s="10" t="s">
        <v>21</v>
      </c>
      <c r="H298" s="7"/>
      <c r="I298" s="7"/>
      <c r="J298" s="7"/>
      <c r="K298" s="7"/>
      <c r="L298" s="7"/>
    </row>
    <row r="299" customFormat="false" ht="19.5" hidden="false" customHeight="true" outlineLevel="0" collapsed="false">
      <c r="A299" s="11" t="s">
        <v>739</v>
      </c>
      <c r="B299" s="21" t="s">
        <v>693</v>
      </c>
      <c r="C299" s="12" t="s">
        <v>729</v>
      </c>
      <c r="D299" s="12" t="s">
        <v>740</v>
      </c>
      <c r="E299" s="8" t="s">
        <v>19</v>
      </c>
      <c r="F299" s="13" t="s">
        <v>736</v>
      </c>
      <c r="G299" s="10" t="s">
        <v>21</v>
      </c>
      <c r="H299" s="12"/>
      <c r="I299" s="12"/>
      <c r="J299" s="12"/>
      <c r="K299" s="12"/>
      <c r="L299" s="12"/>
    </row>
    <row r="300" customFormat="false" ht="19.5" hidden="false" customHeight="true" outlineLevel="0" collapsed="false">
      <c r="A300" s="5" t="s">
        <v>741</v>
      </c>
      <c r="B300" s="21" t="s">
        <v>693</v>
      </c>
      <c r="C300" s="7" t="s">
        <v>742</v>
      </c>
      <c r="D300" s="7" t="s">
        <v>743</v>
      </c>
      <c r="E300" s="8" t="s">
        <v>19</v>
      </c>
      <c r="F300" s="9" t="s">
        <v>744</v>
      </c>
      <c r="G300" s="10" t="s">
        <v>21</v>
      </c>
      <c r="H300" s="7"/>
      <c r="I300" s="7"/>
      <c r="J300" s="7"/>
      <c r="K300" s="7"/>
      <c r="L300" s="7"/>
    </row>
    <row r="301" customFormat="false" ht="19.5" hidden="false" customHeight="true" outlineLevel="0" collapsed="false">
      <c r="A301" s="11" t="s">
        <v>745</v>
      </c>
      <c r="B301" s="21" t="s">
        <v>693</v>
      </c>
      <c r="C301" s="12" t="s">
        <v>742</v>
      </c>
      <c r="D301" s="12" t="s">
        <v>746</v>
      </c>
      <c r="E301" s="8" t="s">
        <v>19</v>
      </c>
      <c r="F301" s="13" t="s">
        <v>744</v>
      </c>
      <c r="G301" s="10" t="s">
        <v>21</v>
      </c>
      <c r="H301" s="12"/>
      <c r="I301" s="12"/>
      <c r="J301" s="12"/>
      <c r="K301" s="12"/>
      <c r="L301" s="12"/>
    </row>
    <row r="302" customFormat="false" ht="19.5" hidden="false" customHeight="true" outlineLevel="0" collapsed="false">
      <c r="A302" s="5" t="s">
        <v>747</v>
      </c>
      <c r="B302" s="21" t="s">
        <v>693</v>
      </c>
      <c r="C302" s="7" t="s">
        <v>742</v>
      </c>
      <c r="D302" s="7" t="s">
        <v>748</v>
      </c>
      <c r="E302" s="8" t="s">
        <v>19</v>
      </c>
      <c r="F302" s="9" t="s">
        <v>744</v>
      </c>
      <c r="G302" s="10" t="s">
        <v>21</v>
      </c>
      <c r="H302" s="7"/>
      <c r="I302" s="7"/>
      <c r="J302" s="7"/>
      <c r="K302" s="7"/>
      <c r="L302" s="7"/>
    </row>
    <row r="303" customFormat="false" ht="19.5" hidden="false" customHeight="true" outlineLevel="0" collapsed="false">
      <c r="A303" s="11" t="s">
        <v>749</v>
      </c>
      <c r="B303" s="21" t="s">
        <v>693</v>
      </c>
      <c r="C303" s="12" t="s">
        <v>742</v>
      </c>
      <c r="D303" s="12" t="s">
        <v>750</v>
      </c>
      <c r="E303" s="14" t="s">
        <v>27</v>
      </c>
      <c r="F303" s="13" t="s">
        <v>744</v>
      </c>
      <c r="G303" s="10" t="s">
        <v>21</v>
      </c>
      <c r="H303" s="12"/>
      <c r="I303" s="12"/>
      <c r="J303" s="12"/>
      <c r="K303" s="12"/>
      <c r="L303" s="12"/>
    </row>
    <row r="304" customFormat="false" ht="19.5" hidden="false" customHeight="true" outlineLevel="0" collapsed="false">
      <c r="A304" s="5" t="s">
        <v>751</v>
      </c>
      <c r="B304" s="21" t="s">
        <v>693</v>
      </c>
      <c r="C304" s="7" t="s">
        <v>752</v>
      </c>
      <c r="D304" s="7" t="s">
        <v>753</v>
      </c>
      <c r="E304" s="8" t="s">
        <v>19</v>
      </c>
      <c r="F304" s="9" t="s">
        <v>702</v>
      </c>
      <c r="G304" s="10" t="s">
        <v>21</v>
      </c>
      <c r="H304" s="7"/>
      <c r="I304" s="7"/>
      <c r="J304" s="7"/>
      <c r="K304" s="7"/>
      <c r="L304" s="7"/>
    </row>
    <row r="305" customFormat="false" ht="19.5" hidden="false" customHeight="true" outlineLevel="0" collapsed="false">
      <c r="A305" s="11" t="s">
        <v>754</v>
      </c>
      <c r="B305" s="21" t="s">
        <v>693</v>
      </c>
      <c r="C305" s="12" t="s">
        <v>752</v>
      </c>
      <c r="D305" s="12" t="s">
        <v>755</v>
      </c>
      <c r="E305" s="14" t="s">
        <v>27</v>
      </c>
      <c r="F305" s="13" t="s">
        <v>702</v>
      </c>
      <c r="G305" s="10" t="s">
        <v>21</v>
      </c>
      <c r="H305" s="12"/>
      <c r="I305" s="12"/>
      <c r="J305" s="12"/>
      <c r="K305" s="12"/>
      <c r="L305" s="12"/>
    </row>
    <row r="306" customFormat="false" ht="19.5" hidden="false" customHeight="true" outlineLevel="0" collapsed="false">
      <c r="A306" s="5" t="s">
        <v>756</v>
      </c>
      <c r="B306" s="21" t="s">
        <v>693</v>
      </c>
      <c r="C306" s="7" t="s">
        <v>752</v>
      </c>
      <c r="D306" s="7" t="s">
        <v>757</v>
      </c>
      <c r="E306" s="15" t="s">
        <v>53</v>
      </c>
      <c r="F306" s="9" t="s">
        <v>702</v>
      </c>
      <c r="G306" s="10" t="s">
        <v>21</v>
      </c>
      <c r="H306" s="7"/>
      <c r="I306" s="7"/>
      <c r="J306" s="7"/>
      <c r="K306" s="7"/>
      <c r="L306" s="7"/>
    </row>
    <row r="307" customFormat="false" ht="19.5" hidden="false" customHeight="true" outlineLevel="0" collapsed="false">
      <c r="A307" s="11" t="s">
        <v>758</v>
      </c>
      <c r="B307" s="21" t="s">
        <v>693</v>
      </c>
      <c r="C307" s="12" t="s">
        <v>752</v>
      </c>
      <c r="D307" s="12" t="s">
        <v>759</v>
      </c>
      <c r="E307" s="14" t="s">
        <v>27</v>
      </c>
      <c r="F307" s="13" t="s">
        <v>702</v>
      </c>
      <c r="G307" s="10" t="s">
        <v>21</v>
      </c>
      <c r="H307" s="12"/>
      <c r="I307" s="12"/>
      <c r="J307" s="12"/>
      <c r="K307" s="12"/>
      <c r="L307" s="12"/>
    </row>
    <row r="308" customFormat="false" ht="19.5" hidden="false" customHeight="true" outlineLevel="0" collapsed="false">
      <c r="A308" s="5" t="s">
        <v>760</v>
      </c>
      <c r="B308" s="21" t="s">
        <v>693</v>
      </c>
      <c r="C308" s="7" t="s">
        <v>752</v>
      </c>
      <c r="D308" s="7" t="s">
        <v>761</v>
      </c>
      <c r="E308" s="8" t="s">
        <v>19</v>
      </c>
      <c r="F308" s="9" t="s">
        <v>702</v>
      </c>
      <c r="G308" s="10" t="s">
        <v>21</v>
      </c>
      <c r="H308" s="7"/>
      <c r="I308" s="7"/>
      <c r="J308" s="7"/>
      <c r="K308" s="7"/>
      <c r="L308" s="7"/>
    </row>
    <row r="309" customFormat="false" ht="19.5" hidden="false" customHeight="true" outlineLevel="0" collapsed="false">
      <c r="A309" s="11" t="s">
        <v>762</v>
      </c>
      <c r="B309" s="21" t="s">
        <v>693</v>
      </c>
      <c r="C309" s="12" t="s">
        <v>763</v>
      </c>
      <c r="D309" s="12" t="s">
        <v>764</v>
      </c>
      <c r="E309" s="8" t="s">
        <v>19</v>
      </c>
      <c r="F309" s="13" t="s">
        <v>765</v>
      </c>
      <c r="G309" s="10" t="s">
        <v>21</v>
      </c>
      <c r="H309" s="12"/>
      <c r="I309" s="12"/>
      <c r="J309" s="12"/>
      <c r="K309" s="12"/>
      <c r="L309" s="12"/>
    </row>
    <row r="310" customFormat="false" ht="19.5" hidden="false" customHeight="true" outlineLevel="0" collapsed="false">
      <c r="A310" s="5" t="s">
        <v>766</v>
      </c>
      <c r="B310" s="21" t="s">
        <v>693</v>
      </c>
      <c r="C310" s="7" t="s">
        <v>763</v>
      </c>
      <c r="D310" s="7" t="s">
        <v>767</v>
      </c>
      <c r="E310" s="14" t="s">
        <v>27</v>
      </c>
      <c r="F310" s="9" t="s">
        <v>765</v>
      </c>
      <c r="G310" s="10" t="s">
        <v>21</v>
      </c>
      <c r="H310" s="7"/>
      <c r="I310" s="7"/>
      <c r="J310" s="7"/>
      <c r="K310" s="7"/>
      <c r="L310" s="7"/>
    </row>
    <row r="311" customFormat="false" ht="19.5" hidden="false" customHeight="true" outlineLevel="0" collapsed="false">
      <c r="A311" s="11" t="s">
        <v>768</v>
      </c>
      <c r="B311" s="21" t="s">
        <v>693</v>
      </c>
      <c r="C311" s="12" t="s">
        <v>763</v>
      </c>
      <c r="D311" s="12" t="s">
        <v>769</v>
      </c>
      <c r="E311" s="14" t="s">
        <v>27</v>
      </c>
      <c r="F311" s="13" t="s">
        <v>765</v>
      </c>
      <c r="G311" s="10" t="s">
        <v>21</v>
      </c>
      <c r="H311" s="12"/>
      <c r="I311" s="12"/>
      <c r="J311" s="12"/>
      <c r="K311" s="12"/>
      <c r="L311" s="12"/>
    </row>
    <row r="312" customFormat="false" ht="19.5" hidden="false" customHeight="true" outlineLevel="0" collapsed="false">
      <c r="A312" s="5" t="s">
        <v>770</v>
      </c>
      <c r="B312" s="21" t="s">
        <v>693</v>
      </c>
      <c r="C312" s="7" t="s">
        <v>763</v>
      </c>
      <c r="D312" s="7" t="s">
        <v>771</v>
      </c>
      <c r="E312" s="8" t="s">
        <v>19</v>
      </c>
      <c r="F312" s="9" t="s">
        <v>765</v>
      </c>
      <c r="G312" s="10" t="s">
        <v>21</v>
      </c>
      <c r="H312" s="7"/>
      <c r="I312" s="7"/>
      <c r="J312" s="7"/>
      <c r="K312" s="7"/>
      <c r="L312" s="7"/>
    </row>
    <row r="313" customFormat="false" ht="19.5" hidden="false" customHeight="true" outlineLevel="0" collapsed="false">
      <c r="A313" s="11" t="s">
        <v>772</v>
      </c>
      <c r="B313" s="21" t="s">
        <v>693</v>
      </c>
      <c r="C313" s="12" t="s">
        <v>773</v>
      </c>
      <c r="D313" s="12" t="s">
        <v>774</v>
      </c>
      <c r="E313" s="8" t="s">
        <v>19</v>
      </c>
      <c r="F313" s="13" t="s">
        <v>775</v>
      </c>
      <c r="G313" s="10" t="s">
        <v>21</v>
      </c>
      <c r="H313" s="12"/>
      <c r="I313" s="12"/>
      <c r="J313" s="12"/>
      <c r="K313" s="12"/>
      <c r="L313" s="12"/>
    </row>
    <row r="314" customFormat="false" ht="19.5" hidden="false" customHeight="true" outlineLevel="0" collapsed="false">
      <c r="A314" s="5" t="s">
        <v>776</v>
      </c>
      <c r="B314" s="21" t="s">
        <v>693</v>
      </c>
      <c r="C314" s="7" t="s">
        <v>773</v>
      </c>
      <c r="D314" s="7" t="s">
        <v>777</v>
      </c>
      <c r="E314" s="8" t="s">
        <v>19</v>
      </c>
      <c r="F314" s="9" t="s">
        <v>775</v>
      </c>
      <c r="G314" s="10" t="s">
        <v>21</v>
      </c>
      <c r="H314" s="7"/>
      <c r="I314" s="7"/>
      <c r="J314" s="7"/>
      <c r="K314" s="7"/>
      <c r="L314" s="7"/>
    </row>
    <row r="315" customFormat="false" ht="19.5" hidden="false" customHeight="true" outlineLevel="0" collapsed="false">
      <c r="A315" s="11" t="s">
        <v>778</v>
      </c>
      <c r="B315" s="21" t="s">
        <v>693</v>
      </c>
      <c r="C315" s="12" t="s">
        <v>773</v>
      </c>
      <c r="D315" s="12" t="s">
        <v>779</v>
      </c>
      <c r="E315" s="8" t="s">
        <v>19</v>
      </c>
      <c r="F315" s="13" t="s">
        <v>775</v>
      </c>
      <c r="G315" s="10" t="s">
        <v>21</v>
      </c>
      <c r="H315" s="12"/>
      <c r="I315" s="12"/>
      <c r="J315" s="12"/>
      <c r="K315" s="12"/>
      <c r="L315" s="12"/>
    </row>
    <row r="316" customFormat="false" ht="19.5" hidden="false" customHeight="true" outlineLevel="0" collapsed="false">
      <c r="A316" s="5" t="s">
        <v>780</v>
      </c>
      <c r="B316" s="21" t="s">
        <v>693</v>
      </c>
      <c r="C316" s="7" t="s">
        <v>781</v>
      </c>
      <c r="D316" s="7" t="s">
        <v>782</v>
      </c>
      <c r="E316" s="14" t="s">
        <v>27</v>
      </c>
      <c r="F316" s="9" t="s">
        <v>783</v>
      </c>
      <c r="G316" s="10" t="s">
        <v>21</v>
      </c>
      <c r="H316" s="7"/>
      <c r="I316" s="7"/>
      <c r="J316" s="7"/>
      <c r="K316" s="7"/>
      <c r="L316" s="7"/>
    </row>
    <row r="317" customFormat="false" ht="19.5" hidden="false" customHeight="true" outlineLevel="0" collapsed="false">
      <c r="A317" s="11" t="s">
        <v>784</v>
      </c>
      <c r="B317" s="21" t="s">
        <v>693</v>
      </c>
      <c r="C317" s="12" t="s">
        <v>781</v>
      </c>
      <c r="D317" s="12" t="s">
        <v>785</v>
      </c>
      <c r="E317" s="14" t="s">
        <v>27</v>
      </c>
      <c r="F317" s="13" t="s">
        <v>783</v>
      </c>
      <c r="G317" s="10" t="s">
        <v>21</v>
      </c>
      <c r="H317" s="12"/>
      <c r="I317" s="12"/>
      <c r="J317" s="12"/>
      <c r="K317" s="12"/>
      <c r="L317" s="12"/>
    </row>
    <row r="318" customFormat="false" ht="19.5" hidden="false" customHeight="true" outlineLevel="0" collapsed="false">
      <c r="A318" s="5" t="s">
        <v>786</v>
      </c>
      <c r="B318" s="21" t="s">
        <v>693</v>
      </c>
      <c r="C318" s="7" t="s">
        <v>781</v>
      </c>
      <c r="D318" s="7" t="s">
        <v>787</v>
      </c>
      <c r="E318" s="14" t="s">
        <v>27</v>
      </c>
      <c r="F318" s="9" t="s">
        <v>783</v>
      </c>
      <c r="G318" s="10" t="s">
        <v>21</v>
      </c>
      <c r="H318" s="7"/>
      <c r="I318" s="7"/>
      <c r="J318" s="7"/>
      <c r="K318" s="7"/>
      <c r="L318" s="7"/>
    </row>
    <row r="319" customFormat="false" ht="19.5" hidden="false" customHeight="true" outlineLevel="0" collapsed="false">
      <c r="A319" s="11" t="s">
        <v>788</v>
      </c>
      <c r="B319" s="21" t="s">
        <v>693</v>
      </c>
      <c r="C319" s="12" t="s">
        <v>781</v>
      </c>
      <c r="D319" s="12" t="s">
        <v>789</v>
      </c>
      <c r="E319" s="15" t="s">
        <v>53</v>
      </c>
      <c r="F319" s="13" t="s">
        <v>783</v>
      </c>
      <c r="G319" s="10" t="s">
        <v>21</v>
      </c>
      <c r="H319" s="12"/>
      <c r="I319" s="12"/>
      <c r="J319" s="12"/>
      <c r="K319" s="12"/>
      <c r="L319" s="12"/>
    </row>
    <row r="320" customFormat="false" ht="19.5" hidden="false" customHeight="true" outlineLevel="0" collapsed="false">
      <c r="A320" s="5" t="s">
        <v>790</v>
      </c>
      <c r="B320" s="21" t="s">
        <v>693</v>
      </c>
      <c r="C320" s="7" t="s">
        <v>242</v>
      </c>
      <c r="D320" s="7" t="s">
        <v>791</v>
      </c>
      <c r="E320" s="8" t="s">
        <v>19</v>
      </c>
      <c r="F320" s="9" t="s">
        <v>696</v>
      </c>
      <c r="G320" s="10" t="s">
        <v>21</v>
      </c>
      <c r="H320" s="7"/>
      <c r="I320" s="7"/>
      <c r="J320" s="7"/>
      <c r="K320" s="7"/>
      <c r="L320" s="7"/>
    </row>
    <row r="321" customFormat="false" ht="19.5" hidden="false" customHeight="true" outlineLevel="0" collapsed="false">
      <c r="A321" s="11" t="s">
        <v>792</v>
      </c>
      <c r="B321" s="21" t="s">
        <v>693</v>
      </c>
      <c r="C321" s="12" t="s">
        <v>242</v>
      </c>
      <c r="D321" s="12" t="s">
        <v>793</v>
      </c>
      <c r="E321" s="8" t="s">
        <v>19</v>
      </c>
      <c r="F321" s="13" t="s">
        <v>794</v>
      </c>
      <c r="G321" s="10" t="s">
        <v>21</v>
      </c>
      <c r="H321" s="12"/>
      <c r="I321" s="12"/>
      <c r="J321" s="12"/>
      <c r="K321" s="12"/>
      <c r="L321" s="12"/>
    </row>
    <row r="322" customFormat="false" ht="19.5" hidden="false" customHeight="true" outlineLevel="0" collapsed="false">
      <c r="A322" s="5" t="s">
        <v>795</v>
      </c>
      <c r="B322" s="21" t="s">
        <v>693</v>
      </c>
      <c r="C322" s="7" t="s">
        <v>242</v>
      </c>
      <c r="D322" s="7" t="s">
        <v>193</v>
      </c>
      <c r="E322" s="8" t="s">
        <v>19</v>
      </c>
      <c r="F322" s="9" t="s">
        <v>794</v>
      </c>
      <c r="G322" s="10" t="s">
        <v>21</v>
      </c>
      <c r="H322" s="7"/>
      <c r="I322" s="7"/>
      <c r="J322" s="7"/>
      <c r="K322" s="7"/>
      <c r="L322" s="7"/>
    </row>
    <row r="323" customFormat="false" ht="19.5" hidden="false" customHeight="true" outlineLevel="0" collapsed="false">
      <c r="A323" s="11" t="s">
        <v>796</v>
      </c>
      <c r="B323" s="21" t="s">
        <v>693</v>
      </c>
      <c r="C323" s="12" t="s">
        <v>251</v>
      </c>
      <c r="D323" s="12" t="s">
        <v>797</v>
      </c>
      <c r="E323" s="14" t="s">
        <v>27</v>
      </c>
      <c r="F323" s="13" t="s">
        <v>798</v>
      </c>
      <c r="G323" s="10" t="s">
        <v>21</v>
      </c>
      <c r="H323" s="12"/>
      <c r="I323" s="12"/>
      <c r="J323" s="12"/>
      <c r="K323" s="12"/>
      <c r="L323" s="12"/>
    </row>
    <row r="324" customFormat="false" ht="19.5" hidden="false" customHeight="true" outlineLevel="0" collapsed="false">
      <c r="A324" s="5" t="s">
        <v>799</v>
      </c>
      <c r="B324" s="21" t="s">
        <v>693</v>
      </c>
      <c r="C324" s="7" t="s">
        <v>251</v>
      </c>
      <c r="D324" s="7" t="s">
        <v>800</v>
      </c>
      <c r="E324" s="8" t="s">
        <v>19</v>
      </c>
      <c r="F324" s="9" t="s">
        <v>798</v>
      </c>
      <c r="G324" s="10" t="s">
        <v>21</v>
      </c>
      <c r="H324" s="7"/>
      <c r="I324" s="7"/>
      <c r="J324" s="7"/>
      <c r="K324" s="7"/>
      <c r="L324" s="7"/>
    </row>
    <row r="325" customFormat="false" ht="19.5" hidden="false" customHeight="true" outlineLevel="0" collapsed="false">
      <c r="A325" s="11" t="s">
        <v>801</v>
      </c>
      <c r="B325" s="21" t="s">
        <v>693</v>
      </c>
      <c r="C325" s="12" t="s">
        <v>251</v>
      </c>
      <c r="D325" s="12" t="s">
        <v>802</v>
      </c>
      <c r="E325" s="14" t="s">
        <v>27</v>
      </c>
      <c r="F325" s="13" t="s">
        <v>721</v>
      </c>
      <c r="G325" s="10" t="s">
        <v>21</v>
      </c>
      <c r="H325" s="12"/>
      <c r="I325" s="12"/>
      <c r="J325" s="12"/>
      <c r="K325" s="12"/>
      <c r="L325" s="12"/>
    </row>
    <row r="326" customFormat="false" ht="19.5" hidden="false" customHeight="true" outlineLevel="0" collapsed="false">
      <c r="A326" s="5" t="s">
        <v>803</v>
      </c>
      <c r="B326" s="21" t="s">
        <v>693</v>
      </c>
      <c r="C326" s="7" t="s">
        <v>804</v>
      </c>
      <c r="D326" s="7" t="s">
        <v>805</v>
      </c>
      <c r="E326" s="14" t="s">
        <v>27</v>
      </c>
      <c r="F326" s="9" t="s">
        <v>806</v>
      </c>
      <c r="G326" s="10" t="s">
        <v>21</v>
      </c>
      <c r="H326" s="7"/>
      <c r="I326" s="7"/>
      <c r="J326" s="7"/>
      <c r="K326" s="7"/>
      <c r="L326" s="7"/>
    </row>
    <row r="327" customFormat="false" ht="19.5" hidden="false" customHeight="true" outlineLevel="0" collapsed="false">
      <c r="A327" s="11" t="s">
        <v>807</v>
      </c>
      <c r="B327" s="21" t="s">
        <v>693</v>
      </c>
      <c r="C327" s="12" t="s">
        <v>804</v>
      </c>
      <c r="D327" s="12" t="s">
        <v>808</v>
      </c>
      <c r="E327" s="8" t="s">
        <v>19</v>
      </c>
      <c r="F327" s="13" t="s">
        <v>806</v>
      </c>
      <c r="G327" s="10" t="s">
        <v>21</v>
      </c>
      <c r="H327" s="12"/>
      <c r="I327" s="12"/>
      <c r="J327" s="12"/>
      <c r="K327" s="12"/>
      <c r="L327" s="12"/>
    </row>
    <row r="328" customFormat="false" ht="19.5" hidden="false" customHeight="true" outlineLevel="0" collapsed="false">
      <c r="A328" s="5" t="s">
        <v>809</v>
      </c>
      <c r="B328" s="21" t="s">
        <v>693</v>
      </c>
      <c r="C328" s="7" t="s">
        <v>804</v>
      </c>
      <c r="D328" s="7" t="s">
        <v>810</v>
      </c>
      <c r="E328" s="14" t="s">
        <v>27</v>
      </c>
      <c r="F328" s="9" t="s">
        <v>736</v>
      </c>
      <c r="G328" s="10" t="s">
        <v>21</v>
      </c>
      <c r="H328" s="7"/>
      <c r="I328" s="7"/>
      <c r="J328" s="7"/>
      <c r="K328" s="7"/>
      <c r="L328" s="7"/>
    </row>
    <row r="329" customFormat="false" ht="19.5" hidden="false" customHeight="true" outlineLevel="0" collapsed="false">
      <c r="A329" s="11" t="s">
        <v>811</v>
      </c>
      <c r="B329" s="21" t="s">
        <v>693</v>
      </c>
      <c r="C329" s="12" t="s">
        <v>812</v>
      </c>
      <c r="D329" s="12" t="s">
        <v>813</v>
      </c>
      <c r="E329" s="8" t="s">
        <v>19</v>
      </c>
      <c r="F329" s="13" t="s">
        <v>814</v>
      </c>
      <c r="G329" s="10" t="s">
        <v>21</v>
      </c>
      <c r="H329" s="12"/>
      <c r="I329" s="12"/>
      <c r="J329" s="12"/>
      <c r="K329" s="12"/>
      <c r="L329" s="12"/>
    </row>
    <row r="330" customFormat="false" ht="19.5" hidden="false" customHeight="true" outlineLevel="0" collapsed="false">
      <c r="A330" s="5" t="s">
        <v>815</v>
      </c>
      <c r="B330" s="21" t="s">
        <v>693</v>
      </c>
      <c r="C330" s="7" t="s">
        <v>812</v>
      </c>
      <c r="D330" s="7" t="s">
        <v>816</v>
      </c>
      <c r="E330" s="8" t="s">
        <v>19</v>
      </c>
      <c r="F330" s="9" t="s">
        <v>814</v>
      </c>
      <c r="G330" s="10" t="s">
        <v>21</v>
      </c>
      <c r="H330" s="7"/>
      <c r="I330" s="7"/>
      <c r="J330" s="7"/>
      <c r="K330" s="7"/>
      <c r="L330" s="7"/>
    </row>
    <row r="331" customFormat="false" ht="19.5" hidden="false" customHeight="true" outlineLevel="0" collapsed="false">
      <c r="A331" s="11" t="s">
        <v>817</v>
      </c>
      <c r="B331" s="21" t="s">
        <v>693</v>
      </c>
      <c r="C331" s="12" t="s">
        <v>812</v>
      </c>
      <c r="D331" s="12" t="s">
        <v>818</v>
      </c>
      <c r="E331" s="8" t="s">
        <v>19</v>
      </c>
      <c r="F331" s="13" t="s">
        <v>814</v>
      </c>
      <c r="G331" s="10" t="s">
        <v>21</v>
      </c>
      <c r="H331" s="12"/>
      <c r="I331" s="12"/>
      <c r="J331" s="12"/>
      <c r="K331" s="12"/>
      <c r="L331" s="12"/>
    </row>
  </sheetData>
  <mergeCells count="9">
    <mergeCell ref="A1:L1"/>
    <mergeCell ref="A2:L2"/>
    <mergeCell ref="A5:L5"/>
    <mergeCell ref="A27:L27"/>
    <mergeCell ref="A60:L60"/>
    <mergeCell ref="A101:L101"/>
    <mergeCell ref="A154:L154"/>
    <mergeCell ref="A215:L215"/>
    <mergeCell ref="A281:L281"/>
  </mergeCells>
  <conditionalFormatting sqref="G5:G70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1">
    <dataValidation allowBlank="true" errorStyle="stop" operator="between" showDropDown="false" showErrorMessage="false" showInputMessage="false" sqref="G5:G700" type="list">
      <formula1>"Not Run,Pass,Fail,Blocked,Skipped"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11" min="5" style="0" width="11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2"/>
  </cols>
  <sheetData>
    <row r="1" customFormat="false" ht="36" hidden="false" customHeight="true" outlineLevel="0" collapsed="false">
      <c r="A1" s="1" t="s">
        <v>819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820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821</v>
      </c>
      <c r="E4" s="3" t="s">
        <v>6</v>
      </c>
      <c r="F4" s="3" t="s">
        <v>822</v>
      </c>
      <c r="G4" s="3" t="s">
        <v>823</v>
      </c>
      <c r="H4" s="3" t="s">
        <v>824</v>
      </c>
      <c r="I4" s="3" t="s">
        <v>825</v>
      </c>
      <c r="J4" s="3" t="s">
        <v>826</v>
      </c>
      <c r="K4" s="3" t="s">
        <v>827</v>
      </c>
      <c r="L4" s="3" t="s">
        <v>828</v>
      </c>
      <c r="M4" s="3" t="s">
        <v>829</v>
      </c>
      <c r="N4" s="3" t="s">
        <v>830</v>
      </c>
      <c r="O4" s="3" t="s">
        <v>831</v>
      </c>
    </row>
    <row r="5" customFormat="false" ht="18" hidden="false" customHeight="true" outlineLevel="0" collapsed="false">
      <c r="A5" s="4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9.5" hidden="false" customHeight="true" outlineLevel="0" collapsed="false">
      <c r="A6" s="5" t="s">
        <v>15</v>
      </c>
      <c r="B6" s="22" t="s">
        <v>16</v>
      </c>
      <c r="C6" s="23" t="s">
        <v>17</v>
      </c>
      <c r="D6" s="7" t="s">
        <v>18</v>
      </c>
      <c r="E6" s="8" t="s">
        <v>19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5" t="n">
        <f aca="false">COUNTA(F6:K6)</f>
        <v>6</v>
      </c>
      <c r="M6" s="24" t="n">
        <f aca="false">COUNTIF(F6:K6,"Pass")</f>
        <v>0</v>
      </c>
      <c r="N6" s="8" t="n">
        <f aca="false">COUNTIF(F6:K6,"Fail")</f>
        <v>0</v>
      </c>
      <c r="O6" s="25" t="str">
        <f aca="false">IF(M6=0,"-",M6/L6)</f>
        <v>-</v>
      </c>
    </row>
    <row r="7" customFormat="false" ht="19.5" hidden="false" customHeight="true" outlineLevel="0" collapsed="false">
      <c r="A7" s="11" t="s">
        <v>22</v>
      </c>
      <c r="B7" s="22" t="s">
        <v>16</v>
      </c>
      <c r="C7" s="26" t="s">
        <v>17</v>
      </c>
      <c r="D7" s="12" t="s">
        <v>23</v>
      </c>
      <c r="E7" s="8" t="s">
        <v>19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1" t="n">
        <f aca="false">COUNTA(F7:K7)</f>
        <v>6</v>
      </c>
      <c r="M7" s="24" t="n">
        <f aca="false">COUNTIF(F7:K7,"Pass")</f>
        <v>0</v>
      </c>
      <c r="N7" s="8" t="n">
        <f aca="false">COUNTIF(F7:K7,"Fail")</f>
        <v>0</v>
      </c>
      <c r="O7" s="27" t="str">
        <f aca="false">IF(M7=0,"-",M7/L7)</f>
        <v>-</v>
      </c>
    </row>
    <row r="8" customFormat="false" ht="19.5" hidden="false" customHeight="true" outlineLevel="0" collapsed="false">
      <c r="A8" s="5" t="s">
        <v>25</v>
      </c>
      <c r="B8" s="22" t="s">
        <v>16</v>
      </c>
      <c r="C8" s="23" t="s">
        <v>17</v>
      </c>
      <c r="D8" s="7" t="s">
        <v>26</v>
      </c>
      <c r="E8" s="14" t="s">
        <v>27</v>
      </c>
      <c r="F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5" t="n">
        <f aca="false">COUNTA(F8:K8)</f>
        <v>6</v>
      </c>
      <c r="M8" s="24" t="n">
        <f aca="false">COUNTIF(F8:K8,"Pass")</f>
        <v>0</v>
      </c>
      <c r="N8" s="8" t="n">
        <f aca="false">COUNTIF(F8:K8,"Fail")</f>
        <v>0</v>
      </c>
      <c r="O8" s="25" t="str">
        <f aca="false">IF(M8=0,"-",M8/L8)</f>
        <v>-</v>
      </c>
    </row>
    <row r="9" customFormat="false" ht="19.5" hidden="false" customHeight="true" outlineLevel="0" collapsed="false">
      <c r="A9" s="11" t="s">
        <v>29</v>
      </c>
      <c r="B9" s="22" t="s">
        <v>16</v>
      </c>
      <c r="C9" s="26" t="s">
        <v>17</v>
      </c>
      <c r="D9" s="12" t="s">
        <v>30</v>
      </c>
      <c r="E9" s="14" t="s">
        <v>27</v>
      </c>
      <c r="F9" s="10" t="s">
        <v>21</v>
      </c>
      <c r="G9" s="10" t="s">
        <v>21</v>
      </c>
      <c r="H9" s="10" t="s">
        <v>21</v>
      </c>
      <c r="I9" s="10" t="s">
        <v>21</v>
      </c>
      <c r="J9" s="10" t="s">
        <v>21</v>
      </c>
      <c r="K9" s="10" t="s">
        <v>21</v>
      </c>
      <c r="L9" s="11" t="n">
        <f aca="false">COUNTA(F9:K9)</f>
        <v>6</v>
      </c>
      <c r="M9" s="24" t="n">
        <f aca="false">COUNTIF(F9:K9,"Pass")</f>
        <v>0</v>
      </c>
      <c r="N9" s="8" t="n">
        <f aca="false">COUNTIF(F9:K9,"Fail")</f>
        <v>0</v>
      </c>
      <c r="O9" s="27" t="str">
        <f aca="false">IF(M9=0,"-",M9/L9)</f>
        <v>-</v>
      </c>
    </row>
    <row r="10" customFormat="false" ht="19.5" hidden="false" customHeight="true" outlineLevel="0" collapsed="false">
      <c r="A10" s="5" t="s">
        <v>31</v>
      </c>
      <c r="B10" s="22" t="s">
        <v>16</v>
      </c>
      <c r="C10" s="23" t="s">
        <v>32</v>
      </c>
      <c r="D10" s="7" t="s">
        <v>33</v>
      </c>
      <c r="E10" s="8" t="s">
        <v>19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  <c r="L10" s="5" t="n">
        <f aca="false">COUNTA(F10:K10)</f>
        <v>6</v>
      </c>
      <c r="M10" s="24" t="n">
        <f aca="false">COUNTIF(F10:K10,"Pass")</f>
        <v>0</v>
      </c>
      <c r="N10" s="8" t="n">
        <f aca="false">COUNTIF(F10:K10,"Fail")</f>
        <v>0</v>
      </c>
      <c r="O10" s="25" t="str">
        <f aca="false">IF(M10=0,"-",M10/L10)</f>
        <v>-</v>
      </c>
    </row>
    <row r="11" customFormat="false" ht="19.5" hidden="false" customHeight="true" outlineLevel="0" collapsed="false">
      <c r="A11" s="11" t="s">
        <v>35</v>
      </c>
      <c r="B11" s="22" t="s">
        <v>16</v>
      </c>
      <c r="C11" s="26" t="s">
        <v>32</v>
      </c>
      <c r="D11" s="12" t="s">
        <v>36</v>
      </c>
      <c r="E11" s="8" t="s">
        <v>19</v>
      </c>
      <c r="F11" s="10" t="s">
        <v>21</v>
      </c>
      <c r="G11" s="10" t="s">
        <v>21</v>
      </c>
      <c r="H11" s="10" t="s">
        <v>21</v>
      </c>
      <c r="I11" s="10" t="s">
        <v>21</v>
      </c>
      <c r="J11" s="10" t="s">
        <v>21</v>
      </c>
      <c r="K11" s="10" t="s">
        <v>21</v>
      </c>
      <c r="L11" s="11" t="n">
        <f aca="false">COUNTA(F11:K11)</f>
        <v>6</v>
      </c>
      <c r="M11" s="24" t="n">
        <f aca="false">COUNTIF(F11:K11,"Pass")</f>
        <v>0</v>
      </c>
      <c r="N11" s="8" t="n">
        <f aca="false">COUNTIF(F11:K11,"Fail")</f>
        <v>0</v>
      </c>
      <c r="O11" s="27" t="str">
        <f aca="false">IF(M11=0,"-",M11/L11)</f>
        <v>-</v>
      </c>
    </row>
    <row r="12" customFormat="false" ht="19.5" hidden="false" customHeight="true" outlineLevel="0" collapsed="false">
      <c r="A12" s="5" t="s">
        <v>37</v>
      </c>
      <c r="B12" s="22" t="s">
        <v>16</v>
      </c>
      <c r="C12" s="23" t="s">
        <v>32</v>
      </c>
      <c r="D12" s="7" t="s">
        <v>38</v>
      </c>
      <c r="E12" s="8" t="s">
        <v>19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  <c r="L12" s="5" t="n">
        <f aca="false">COUNTA(F12:K12)</f>
        <v>6</v>
      </c>
      <c r="M12" s="24" t="n">
        <f aca="false">COUNTIF(F12:K12,"Pass")</f>
        <v>0</v>
      </c>
      <c r="N12" s="8" t="n">
        <f aca="false">COUNTIF(F12:K12,"Fail")</f>
        <v>0</v>
      </c>
      <c r="O12" s="25" t="str">
        <f aca="false">IF(M12=0,"-",M12/L12)</f>
        <v>-</v>
      </c>
    </row>
    <row r="13" customFormat="false" ht="19.5" hidden="false" customHeight="true" outlineLevel="0" collapsed="false">
      <c r="A13" s="11" t="s">
        <v>40</v>
      </c>
      <c r="B13" s="22" t="s">
        <v>16</v>
      </c>
      <c r="C13" s="26" t="s">
        <v>32</v>
      </c>
      <c r="D13" s="12" t="s">
        <v>41</v>
      </c>
      <c r="E13" s="14" t="s">
        <v>27</v>
      </c>
      <c r="F13" s="10" t="s">
        <v>21</v>
      </c>
      <c r="G13" s="10" t="s">
        <v>21</v>
      </c>
      <c r="H13" s="10" t="s">
        <v>21</v>
      </c>
      <c r="I13" s="10" t="s">
        <v>21</v>
      </c>
      <c r="J13" s="10" t="s">
        <v>21</v>
      </c>
      <c r="K13" s="10" t="s">
        <v>21</v>
      </c>
      <c r="L13" s="11" t="n">
        <f aca="false">COUNTA(F13:K13)</f>
        <v>6</v>
      </c>
      <c r="M13" s="24" t="n">
        <f aca="false">COUNTIF(F13:K13,"Pass")</f>
        <v>0</v>
      </c>
      <c r="N13" s="8" t="n">
        <f aca="false">COUNTIF(F13:K13,"Fail")</f>
        <v>0</v>
      </c>
      <c r="O13" s="27" t="str">
        <f aca="false">IF(M13=0,"-",M13/L13)</f>
        <v>-</v>
      </c>
    </row>
    <row r="14" customFormat="false" ht="19.5" hidden="false" customHeight="true" outlineLevel="0" collapsed="false">
      <c r="A14" s="5" t="s">
        <v>42</v>
      </c>
      <c r="B14" s="22" t="s">
        <v>16</v>
      </c>
      <c r="C14" s="23" t="s">
        <v>32</v>
      </c>
      <c r="D14" s="7" t="s">
        <v>43</v>
      </c>
      <c r="E14" s="14" t="s">
        <v>27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  <c r="L14" s="5" t="n">
        <f aca="false">COUNTA(F14:K14)</f>
        <v>6</v>
      </c>
      <c r="M14" s="24" t="n">
        <f aca="false">COUNTIF(F14:K14,"Pass")</f>
        <v>0</v>
      </c>
      <c r="N14" s="8" t="n">
        <f aca="false">COUNTIF(F14:K14,"Fail")</f>
        <v>0</v>
      </c>
      <c r="O14" s="25" t="str">
        <f aca="false">IF(M14=0,"-",M14/L14)</f>
        <v>-</v>
      </c>
    </row>
    <row r="15" customFormat="false" ht="19.5" hidden="false" customHeight="true" outlineLevel="0" collapsed="false">
      <c r="A15" s="11" t="s">
        <v>45</v>
      </c>
      <c r="B15" s="22" t="s">
        <v>16</v>
      </c>
      <c r="C15" s="26" t="s">
        <v>46</v>
      </c>
      <c r="D15" s="12" t="s">
        <v>47</v>
      </c>
      <c r="E15" s="8" t="s">
        <v>19</v>
      </c>
      <c r="F15" s="10" t="s">
        <v>21</v>
      </c>
      <c r="G15" s="10" t="s">
        <v>21</v>
      </c>
      <c r="H15" s="10" t="s">
        <v>21</v>
      </c>
      <c r="I15" s="10" t="s">
        <v>21</v>
      </c>
      <c r="J15" s="10" t="s">
        <v>21</v>
      </c>
      <c r="K15" s="10" t="s">
        <v>21</v>
      </c>
      <c r="L15" s="11" t="n">
        <f aca="false">COUNTA(F15:K15)</f>
        <v>6</v>
      </c>
      <c r="M15" s="24" t="n">
        <f aca="false">COUNTIF(F15:K15,"Pass")</f>
        <v>0</v>
      </c>
      <c r="N15" s="8" t="n">
        <f aca="false">COUNTIF(F15:K15,"Fail")</f>
        <v>0</v>
      </c>
      <c r="O15" s="27" t="str">
        <f aca="false">IF(M15=0,"-",M15/L15)</f>
        <v>-</v>
      </c>
    </row>
    <row r="16" customFormat="false" ht="19.5" hidden="false" customHeight="true" outlineLevel="0" collapsed="false">
      <c r="A16" s="5" t="s">
        <v>49</v>
      </c>
      <c r="B16" s="22" t="s">
        <v>16</v>
      </c>
      <c r="C16" s="23" t="s">
        <v>46</v>
      </c>
      <c r="D16" s="7" t="s">
        <v>50</v>
      </c>
      <c r="E16" s="14" t="s">
        <v>27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  <c r="L16" s="5" t="n">
        <f aca="false">COUNTA(F16:K16)</f>
        <v>6</v>
      </c>
      <c r="M16" s="24" t="n">
        <f aca="false">COUNTIF(F16:K16,"Pass")</f>
        <v>0</v>
      </c>
      <c r="N16" s="8" t="n">
        <f aca="false">COUNTIF(F16:K16,"Fail")</f>
        <v>0</v>
      </c>
      <c r="O16" s="25" t="str">
        <f aca="false">IF(M16=0,"-",M16/L16)</f>
        <v>-</v>
      </c>
    </row>
    <row r="17" customFormat="false" ht="19.5" hidden="false" customHeight="true" outlineLevel="0" collapsed="false">
      <c r="A17" s="11" t="s">
        <v>51</v>
      </c>
      <c r="B17" s="22" t="s">
        <v>16</v>
      </c>
      <c r="C17" s="26" t="s">
        <v>46</v>
      </c>
      <c r="D17" s="12" t="s">
        <v>52</v>
      </c>
      <c r="E17" s="15" t="s">
        <v>53</v>
      </c>
      <c r="F17" s="10" t="s">
        <v>21</v>
      </c>
      <c r="G17" s="10" t="s">
        <v>21</v>
      </c>
      <c r="H17" s="10" t="s">
        <v>21</v>
      </c>
      <c r="I17" s="10" t="s">
        <v>21</v>
      </c>
      <c r="J17" s="10" t="s">
        <v>21</v>
      </c>
      <c r="K17" s="10" t="s">
        <v>21</v>
      </c>
      <c r="L17" s="11" t="n">
        <f aca="false">COUNTA(F17:K17)</f>
        <v>6</v>
      </c>
      <c r="M17" s="24" t="n">
        <f aca="false">COUNTIF(F17:K17,"Pass")</f>
        <v>0</v>
      </c>
      <c r="N17" s="8" t="n">
        <f aca="false">COUNTIF(F17:K17,"Fail")</f>
        <v>0</v>
      </c>
      <c r="O17" s="27" t="str">
        <f aca="false">IF(M17=0,"-",M17/L17)</f>
        <v>-</v>
      </c>
    </row>
    <row r="18" customFormat="false" ht="19.5" hidden="false" customHeight="true" outlineLevel="0" collapsed="false">
      <c r="A18" s="5" t="s">
        <v>54</v>
      </c>
      <c r="B18" s="22" t="s">
        <v>16</v>
      </c>
      <c r="C18" s="23" t="s">
        <v>46</v>
      </c>
      <c r="D18" s="7" t="s">
        <v>55</v>
      </c>
      <c r="E18" s="14" t="s">
        <v>27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  <c r="L18" s="5" t="n">
        <f aca="false">COUNTA(F18:K18)</f>
        <v>6</v>
      </c>
      <c r="M18" s="24" t="n">
        <f aca="false">COUNTIF(F18:K18,"Pass")</f>
        <v>0</v>
      </c>
      <c r="N18" s="8" t="n">
        <f aca="false">COUNTIF(F18:K18,"Fail")</f>
        <v>0</v>
      </c>
      <c r="O18" s="25" t="str">
        <f aca="false">IF(M18=0,"-",M18/L18)</f>
        <v>-</v>
      </c>
    </row>
    <row r="19" customFormat="false" ht="19.5" hidden="false" customHeight="true" outlineLevel="0" collapsed="false">
      <c r="A19" s="11" t="s">
        <v>57</v>
      </c>
      <c r="B19" s="22" t="s">
        <v>16</v>
      </c>
      <c r="C19" s="26" t="s">
        <v>58</v>
      </c>
      <c r="D19" s="12" t="s">
        <v>59</v>
      </c>
      <c r="E19" s="8" t="s">
        <v>19</v>
      </c>
      <c r="F19" s="10" t="s">
        <v>21</v>
      </c>
      <c r="G19" s="10" t="s">
        <v>21</v>
      </c>
      <c r="H19" s="10" t="s">
        <v>21</v>
      </c>
      <c r="I19" s="10" t="s">
        <v>21</v>
      </c>
      <c r="J19" s="10" t="s">
        <v>21</v>
      </c>
      <c r="K19" s="10" t="s">
        <v>21</v>
      </c>
      <c r="L19" s="11" t="n">
        <f aca="false">COUNTA(F19:K19)</f>
        <v>6</v>
      </c>
      <c r="M19" s="24" t="n">
        <f aca="false">COUNTIF(F19:K19,"Pass")</f>
        <v>0</v>
      </c>
      <c r="N19" s="8" t="n">
        <f aca="false">COUNTIF(F19:K19,"Fail")</f>
        <v>0</v>
      </c>
      <c r="O19" s="27" t="str">
        <f aca="false">IF(M19=0,"-",M19/L19)</f>
        <v>-</v>
      </c>
    </row>
    <row r="20" customFormat="false" ht="19.5" hidden="false" customHeight="true" outlineLevel="0" collapsed="false">
      <c r="A20" s="5" t="s">
        <v>61</v>
      </c>
      <c r="B20" s="22" t="s">
        <v>16</v>
      </c>
      <c r="C20" s="23" t="s">
        <v>58</v>
      </c>
      <c r="D20" s="7" t="s">
        <v>62</v>
      </c>
      <c r="E20" s="14" t="s">
        <v>27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  <c r="L20" s="5" t="n">
        <f aca="false">COUNTA(F20:K20)</f>
        <v>6</v>
      </c>
      <c r="M20" s="24" t="n">
        <f aca="false">COUNTIF(F20:K20,"Pass")</f>
        <v>0</v>
      </c>
      <c r="N20" s="8" t="n">
        <f aca="false">COUNTIF(F20:K20,"Fail")</f>
        <v>0</v>
      </c>
      <c r="O20" s="25" t="str">
        <f aca="false">IF(M20=0,"-",M20/L20)</f>
        <v>-</v>
      </c>
    </row>
    <row r="21" customFormat="false" ht="19.5" hidden="false" customHeight="true" outlineLevel="0" collapsed="false">
      <c r="A21" s="11" t="s">
        <v>64</v>
      </c>
      <c r="B21" s="22" t="s">
        <v>16</v>
      </c>
      <c r="C21" s="26" t="s">
        <v>58</v>
      </c>
      <c r="D21" s="12" t="s">
        <v>65</v>
      </c>
      <c r="E21" s="14" t="s">
        <v>27</v>
      </c>
      <c r="F21" s="10" t="s">
        <v>21</v>
      </c>
      <c r="G21" s="10" t="s">
        <v>21</v>
      </c>
      <c r="H21" s="10" t="s">
        <v>21</v>
      </c>
      <c r="I21" s="10" t="s">
        <v>21</v>
      </c>
      <c r="J21" s="10" t="s">
        <v>21</v>
      </c>
      <c r="K21" s="10" t="s">
        <v>21</v>
      </c>
      <c r="L21" s="11" t="n">
        <f aca="false">COUNTA(F21:K21)</f>
        <v>6</v>
      </c>
      <c r="M21" s="24" t="n">
        <f aca="false">COUNTIF(F21:K21,"Pass")</f>
        <v>0</v>
      </c>
      <c r="N21" s="8" t="n">
        <f aca="false">COUNTIF(F21:K21,"Fail")</f>
        <v>0</v>
      </c>
      <c r="O21" s="27" t="str">
        <f aca="false">IF(M21=0,"-",M21/L21)</f>
        <v>-</v>
      </c>
    </row>
    <row r="22" customFormat="false" ht="19.5" hidden="false" customHeight="true" outlineLevel="0" collapsed="false">
      <c r="A22" s="5" t="s">
        <v>67</v>
      </c>
      <c r="B22" s="22" t="s">
        <v>16</v>
      </c>
      <c r="C22" s="23" t="s">
        <v>58</v>
      </c>
      <c r="D22" s="7" t="s">
        <v>68</v>
      </c>
      <c r="E22" s="15" t="s">
        <v>53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  <c r="L22" s="5" t="n">
        <f aca="false">COUNTA(F22:K22)</f>
        <v>6</v>
      </c>
      <c r="M22" s="24" t="n">
        <f aca="false">COUNTIF(F22:K22,"Pass")</f>
        <v>0</v>
      </c>
      <c r="N22" s="8" t="n">
        <f aca="false">COUNTIF(F22:K22,"Fail")</f>
        <v>0</v>
      </c>
      <c r="O22" s="25" t="str">
        <f aca="false">IF(M22=0,"-",M22/L22)</f>
        <v>-</v>
      </c>
    </row>
    <row r="23" customFormat="false" ht="19.5" hidden="false" customHeight="true" outlineLevel="0" collapsed="false">
      <c r="A23" s="11" t="s">
        <v>70</v>
      </c>
      <c r="B23" s="22" t="s">
        <v>16</v>
      </c>
      <c r="C23" s="26" t="s">
        <v>71</v>
      </c>
      <c r="D23" s="12" t="s">
        <v>72</v>
      </c>
      <c r="E23" s="14" t="s">
        <v>27</v>
      </c>
      <c r="F23" s="10" t="s">
        <v>21</v>
      </c>
      <c r="G23" s="10" t="s">
        <v>21</v>
      </c>
      <c r="H23" s="10" t="s">
        <v>21</v>
      </c>
      <c r="I23" s="10" t="s">
        <v>21</v>
      </c>
      <c r="J23" s="10" t="s">
        <v>21</v>
      </c>
      <c r="K23" s="10" t="s">
        <v>21</v>
      </c>
      <c r="L23" s="11" t="n">
        <f aca="false">COUNTA(F23:K23)</f>
        <v>6</v>
      </c>
      <c r="M23" s="24" t="n">
        <f aca="false">COUNTIF(F23:K23,"Pass")</f>
        <v>0</v>
      </c>
      <c r="N23" s="8" t="n">
        <f aca="false">COUNTIF(F23:K23,"Fail")</f>
        <v>0</v>
      </c>
      <c r="O23" s="27" t="str">
        <f aca="false">IF(M23=0,"-",M23/L23)</f>
        <v>-</v>
      </c>
    </row>
    <row r="24" customFormat="false" ht="19.5" hidden="false" customHeight="true" outlineLevel="0" collapsed="false">
      <c r="A24" s="5" t="s">
        <v>74</v>
      </c>
      <c r="B24" s="22" t="s">
        <v>16</v>
      </c>
      <c r="C24" s="23" t="s">
        <v>71</v>
      </c>
      <c r="D24" s="7" t="s">
        <v>75</v>
      </c>
      <c r="E24" s="15" t="s">
        <v>53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  <c r="L24" s="5" t="n">
        <f aca="false">COUNTA(F24:K24)</f>
        <v>6</v>
      </c>
      <c r="M24" s="24" t="n">
        <f aca="false">COUNTIF(F24:K24,"Pass")</f>
        <v>0</v>
      </c>
      <c r="N24" s="8" t="n">
        <f aca="false">COUNTIF(F24:K24,"Fail")</f>
        <v>0</v>
      </c>
      <c r="O24" s="25" t="str">
        <f aca="false">IF(M24=0,"-",M24/L24)</f>
        <v>-</v>
      </c>
    </row>
    <row r="25" customFormat="false" ht="19.5" hidden="false" customHeight="true" outlineLevel="0" collapsed="false">
      <c r="A25" s="11" t="s">
        <v>76</v>
      </c>
      <c r="B25" s="22" t="s">
        <v>16</v>
      </c>
      <c r="C25" s="26" t="s">
        <v>77</v>
      </c>
      <c r="D25" s="12" t="s">
        <v>78</v>
      </c>
      <c r="E25" s="8" t="s">
        <v>19</v>
      </c>
      <c r="F25" s="10" t="s">
        <v>21</v>
      </c>
      <c r="G25" s="10" t="s">
        <v>21</v>
      </c>
      <c r="H25" s="10" t="s">
        <v>21</v>
      </c>
      <c r="I25" s="10" t="s">
        <v>21</v>
      </c>
      <c r="J25" s="10" t="s">
        <v>21</v>
      </c>
      <c r="K25" s="10" t="s">
        <v>21</v>
      </c>
      <c r="L25" s="11" t="n">
        <f aca="false">COUNTA(F25:K25)</f>
        <v>6</v>
      </c>
      <c r="M25" s="24" t="n">
        <f aca="false">COUNTIF(F25:K25,"Pass")</f>
        <v>0</v>
      </c>
      <c r="N25" s="8" t="n">
        <f aca="false">COUNTIF(F25:K25,"Fail")</f>
        <v>0</v>
      </c>
      <c r="O25" s="27" t="str">
        <f aca="false">IF(M25=0,"-",M25/L25)</f>
        <v>-</v>
      </c>
    </row>
    <row r="26" customFormat="false" ht="19.5" hidden="false" customHeight="true" outlineLevel="0" collapsed="false">
      <c r="A26" s="5" t="s">
        <v>80</v>
      </c>
      <c r="B26" s="22" t="s">
        <v>16</v>
      </c>
      <c r="C26" s="23" t="s">
        <v>81</v>
      </c>
      <c r="D26" s="7" t="s">
        <v>82</v>
      </c>
      <c r="E26" s="14" t="s">
        <v>27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  <c r="L26" s="5" t="n">
        <f aca="false">COUNTA(F26:K26)</f>
        <v>6</v>
      </c>
      <c r="M26" s="24" t="n">
        <f aca="false">COUNTIF(F26:K26,"Pass")</f>
        <v>0</v>
      </c>
      <c r="N26" s="8" t="n">
        <f aca="false">COUNTIF(F26:K26,"Fail")</f>
        <v>0</v>
      </c>
      <c r="O26" s="25" t="str">
        <f aca="false">IF(M26=0,"-",M26/L26)</f>
        <v>-</v>
      </c>
    </row>
    <row r="27" customFormat="false" ht="18" hidden="false" customHeight="true" outlineLevel="0" collapsed="false">
      <c r="A27" s="4" t="s">
        <v>84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customFormat="false" ht="19.5" hidden="false" customHeight="true" outlineLevel="0" collapsed="false">
      <c r="A28" s="5" t="s">
        <v>85</v>
      </c>
      <c r="B28" s="28" t="s">
        <v>86</v>
      </c>
      <c r="C28" s="23" t="s">
        <v>87</v>
      </c>
      <c r="D28" s="7" t="s">
        <v>88</v>
      </c>
      <c r="E28" s="8" t="s">
        <v>19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  <c r="L28" s="5" t="n">
        <f aca="false">COUNTA(F28:K28)</f>
        <v>6</v>
      </c>
      <c r="M28" s="24" t="n">
        <f aca="false">COUNTIF(F28:K28,"Pass")</f>
        <v>0</v>
      </c>
      <c r="N28" s="8" t="n">
        <f aca="false">COUNTIF(F28:K28,"Fail")</f>
        <v>0</v>
      </c>
      <c r="O28" s="25" t="str">
        <f aca="false">IF(M28=0,"-",M28/L28)</f>
        <v>-</v>
      </c>
    </row>
    <row r="29" customFormat="false" ht="19.5" hidden="false" customHeight="true" outlineLevel="0" collapsed="false">
      <c r="A29" s="11" t="s">
        <v>90</v>
      </c>
      <c r="B29" s="28" t="s">
        <v>86</v>
      </c>
      <c r="C29" s="26" t="s">
        <v>87</v>
      </c>
      <c r="D29" s="12" t="s">
        <v>91</v>
      </c>
      <c r="E29" s="8" t="s">
        <v>19</v>
      </c>
      <c r="F29" s="10" t="s">
        <v>21</v>
      </c>
      <c r="G29" s="10" t="s">
        <v>21</v>
      </c>
      <c r="H29" s="10" t="s">
        <v>21</v>
      </c>
      <c r="I29" s="10" t="s">
        <v>21</v>
      </c>
      <c r="J29" s="10" t="s">
        <v>21</v>
      </c>
      <c r="K29" s="10" t="s">
        <v>21</v>
      </c>
      <c r="L29" s="11" t="n">
        <f aca="false">COUNTA(F29:K29)</f>
        <v>6</v>
      </c>
      <c r="M29" s="24" t="n">
        <f aca="false">COUNTIF(F29:K29,"Pass")</f>
        <v>0</v>
      </c>
      <c r="N29" s="8" t="n">
        <f aca="false">COUNTIF(F29:K29,"Fail")</f>
        <v>0</v>
      </c>
      <c r="O29" s="27" t="str">
        <f aca="false">IF(M29=0,"-",M29/L29)</f>
        <v>-</v>
      </c>
    </row>
    <row r="30" customFormat="false" ht="19.5" hidden="false" customHeight="true" outlineLevel="0" collapsed="false">
      <c r="A30" s="5" t="s">
        <v>92</v>
      </c>
      <c r="B30" s="28" t="s">
        <v>86</v>
      </c>
      <c r="C30" s="23" t="s">
        <v>87</v>
      </c>
      <c r="D30" s="7" t="s">
        <v>93</v>
      </c>
      <c r="E30" s="8" t="s">
        <v>19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  <c r="L30" s="5" t="n">
        <f aca="false">COUNTA(F30:K30)</f>
        <v>6</v>
      </c>
      <c r="M30" s="24" t="n">
        <f aca="false">COUNTIF(F30:K30,"Pass")</f>
        <v>0</v>
      </c>
      <c r="N30" s="8" t="n">
        <f aca="false">COUNTIF(F30:K30,"Fail")</f>
        <v>0</v>
      </c>
      <c r="O30" s="25" t="str">
        <f aca="false">IF(M30=0,"-",M30/L30)</f>
        <v>-</v>
      </c>
    </row>
    <row r="31" customFormat="false" ht="19.5" hidden="false" customHeight="true" outlineLevel="0" collapsed="false">
      <c r="A31" s="11" t="s">
        <v>94</v>
      </c>
      <c r="B31" s="28" t="s">
        <v>86</v>
      </c>
      <c r="C31" s="26" t="s">
        <v>87</v>
      </c>
      <c r="D31" s="12" t="s">
        <v>95</v>
      </c>
      <c r="E31" s="8" t="s">
        <v>19</v>
      </c>
      <c r="F31" s="10" t="s">
        <v>21</v>
      </c>
      <c r="G31" s="10" t="s">
        <v>21</v>
      </c>
      <c r="H31" s="10" t="s">
        <v>21</v>
      </c>
      <c r="I31" s="10" t="s">
        <v>21</v>
      </c>
      <c r="J31" s="10" t="s">
        <v>21</v>
      </c>
      <c r="K31" s="10" t="s">
        <v>21</v>
      </c>
      <c r="L31" s="11" t="n">
        <f aca="false">COUNTA(F31:K31)</f>
        <v>6</v>
      </c>
      <c r="M31" s="24" t="n">
        <f aca="false">COUNTIF(F31:K31,"Pass")</f>
        <v>0</v>
      </c>
      <c r="N31" s="8" t="n">
        <f aca="false">COUNTIF(F31:K31,"Fail")</f>
        <v>0</v>
      </c>
      <c r="O31" s="27" t="str">
        <f aca="false">IF(M31=0,"-",M31/L31)</f>
        <v>-</v>
      </c>
    </row>
    <row r="32" customFormat="false" ht="19.5" hidden="false" customHeight="true" outlineLevel="0" collapsed="false">
      <c r="A32" s="5" t="s">
        <v>96</v>
      </c>
      <c r="B32" s="28" t="s">
        <v>86</v>
      </c>
      <c r="C32" s="23" t="s">
        <v>87</v>
      </c>
      <c r="D32" s="7" t="s">
        <v>97</v>
      </c>
      <c r="E32" s="14" t="s">
        <v>27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  <c r="L32" s="5" t="n">
        <f aca="false">COUNTA(F32:K32)</f>
        <v>6</v>
      </c>
      <c r="M32" s="24" t="n">
        <f aca="false">COUNTIF(F32:K32,"Pass")</f>
        <v>0</v>
      </c>
      <c r="N32" s="8" t="n">
        <f aca="false">COUNTIF(F32:K32,"Fail")</f>
        <v>0</v>
      </c>
      <c r="O32" s="25" t="str">
        <f aca="false">IF(M32=0,"-",M32/L32)</f>
        <v>-</v>
      </c>
    </row>
    <row r="33" customFormat="false" ht="19.5" hidden="false" customHeight="true" outlineLevel="0" collapsed="false">
      <c r="A33" s="11" t="s">
        <v>99</v>
      </c>
      <c r="B33" s="28" t="s">
        <v>86</v>
      </c>
      <c r="C33" s="26" t="s">
        <v>100</v>
      </c>
      <c r="D33" s="12" t="s">
        <v>101</v>
      </c>
      <c r="E33" s="8" t="s">
        <v>19</v>
      </c>
      <c r="F33" s="10" t="s">
        <v>21</v>
      </c>
      <c r="G33" s="10" t="s">
        <v>21</v>
      </c>
      <c r="H33" s="10" t="s">
        <v>21</v>
      </c>
      <c r="I33" s="10" t="s">
        <v>21</v>
      </c>
      <c r="J33" s="10" t="s">
        <v>21</v>
      </c>
      <c r="K33" s="10" t="s">
        <v>21</v>
      </c>
      <c r="L33" s="11" t="n">
        <f aca="false">COUNTA(F33:K33)</f>
        <v>6</v>
      </c>
      <c r="M33" s="24" t="n">
        <f aca="false">COUNTIF(F33:K33,"Pass")</f>
        <v>0</v>
      </c>
      <c r="N33" s="8" t="n">
        <f aca="false">COUNTIF(F33:K33,"Fail")</f>
        <v>0</v>
      </c>
      <c r="O33" s="27" t="str">
        <f aca="false">IF(M33=0,"-",M33/L33)</f>
        <v>-</v>
      </c>
    </row>
    <row r="34" customFormat="false" ht="19.5" hidden="false" customHeight="true" outlineLevel="0" collapsed="false">
      <c r="A34" s="5" t="s">
        <v>103</v>
      </c>
      <c r="B34" s="28" t="s">
        <v>86</v>
      </c>
      <c r="C34" s="23" t="s">
        <v>100</v>
      </c>
      <c r="D34" s="7" t="s">
        <v>104</v>
      </c>
      <c r="E34" s="14" t="s">
        <v>27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  <c r="L34" s="5" t="n">
        <f aca="false">COUNTA(F34:K34)</f>
        <v>6</v>
      </c>
      <c r="M34" s="24" t="n">
        <f aca="false">COUNTIF(F34:K34,"Pass")</f>
        <v>0</v>
      </c>
      <c r="N34" s="8" t="n">
        <f aca="false">COUNTIF(F34:K34,"Fail")</f>
        <v>0</v>
      </c>
      <c r="O34" s="25" t="str">
        <f aca="false">IF(M34=0,"-",M34/L34)</f>
        <v>-</v>
      </c>
    </row>
    <row r="35" customFormat="false" ht="19.5" hidden="false" customHeight="true" outlineLevel="0" collapsed="false">
      <c r="A35" s="11" t="s">
        <v>105</v>
      </c>
      <c r="B35" s="28" t="s">
        <v>86</v>
      </c>
      <c r="C35" s="26" t="s">
        <v>100</v>
      </c>
      <c r="D35" s="12" t="s">
        <v>106</v>
      </c>
      <c r="E35" s="14" t="s">
        <v>27</v>
      </c>
      <c r="F35" s="10" t="s">
        <v>21</v>
      </c>
      <c r="G35" s="10" t="s">
        <v>21</v>
      </c>
      <c r="H35" s="10" t="s">
        <v>21</v>
      </c>
      <c r="I35" s="10" t="s">
        <v>21</v>
      </c>
      <c r="J35" s="10" t="s">
        <v>21</v>
      </c>
      <c r="K35" s="10" t="s">
        <v>21</v>
      </c>
      <c r="L35" s="11" t="n">
        <f aca="false">COUNTA(F35:K35)</f>
        <v>6</v>
      </c>
      <c r="M35" s="24" t="n">
        <f aca="false">COUNTIF(F35:K35,"Pass")</f>
        <v>0</v>
      </c>
      <c r="N35" s="8" t="n">
        <f aca="false">COUNTIF(F35:K35,"Fail")</f>
        <v>0</v>
      </c>
      <c r="O35" s="27" t="str">
        <f aca="false">IF(M35=0,"-",M35/L35)</f>
        <v>-</v>
      </c>
    </row>
    <row r="36" customFormat="false" ht="19.5" hidden="false" customHeight="true" outlineLevel="0" collapsed="false">
      <c r="A36" s="5" t="s">
        <v>107</v>
      </c>
      <c r="B36" s="28" t="s">
        <v>86</v>
      </c>
      <c r="C36" s="23" t="s">
        <v>108</v>
      </c>
      <c r="D36" s="7" t="s">
        <v>109</v>
      </c>
      <c r="E36" s="8" t="s">
        <v>19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  <c r="L36" s="5" t="n">
        <f aca="false">COUNTA(F36:K36)</f>
        <v>6</v>
      </c>
      <c r="M36" s="24" t="n">
        <f aca="false">COUNTIF(F36:K36,"Pass")</f>
        <v>0</v>
      </c>
      <c r="N36" s="8" t="n">
        <f aca="false">COUNTIF(F36:K36,"Fail")</f>
        <v>0</v>
      </c>
      <c r="O36" s="25" t="str">
        <f aca="false">IF(M36=0,"-",M36/L36)</f>
        <v>-</v>
      </c>
    </row>
    <row r="37" customFormat="false" ht="19.5" hidden="false" customHeight="true" outlineLevel="0" collapsed="false">
      <c r="A37" s="11" t="s">
        <v>111</v>
      </c>
      <c r="B37" s="28" t="s">
        <v>86</v>
      </c>
      <c r="C37" s="26" t="s">
        <v>108</v>
      </c>
      <c r="D37" s="12" t="s">
        <v>112</v>
      </c>
      <c r="E37" s="8" t="s">
        <v>19</v>
      </c>
      <c r="F37" s="10" t="s">
        <v>21</v>
      </c>
      <c r="G37" s="10" t="s">
        <v>21</v>
      </c>
      <c r="H37" s="10" t="s">
        <v>21</v>
      </c>
      <c r="I37" s="10" t="s">
        <v>21</v>
      </c>
      <c r="J37" s="10" t="s">
        <v>21</v>
      </c>
      <c r="K37" s="10" t="s">
        <v>21</v>
      </c>
      <c r="L37" s="11" t="n">
        <f aca="false">COUNTA(F37:K37)</f>
        <v>6</v>
      </c>
      <c r="M37" s="24" t="n">
        <f aca="false">COUNTIF(F37:K37,"Pass")</f>
        <v>0</v>
      </c>
      <c r="N37" s="8" t="n">
        <f aca="false">COUNTIF(F37:K37,"Fail")</f>
        <v>0</v>
      </c>
      <c r="O37" s="27" t="str">
        <f aca="false">IF(M37=0,"-",M37/L37)</f>
        <v>-</v>
      </c>
    </row>
    <row r="38" customFormat="false" ht="19.5" hidden="false" customHeight="true" outlineLevel="0" collapsed="false">
      <c r="A38" s="5" t="s">
        <v>113</v>
      </c>
      <c r="B38" s="28" t="s">
        <v>86</v>
      </c>
      <c r="C38" s="23" t="s">
        <v>108</v>
      </c>
      <c r="D38" s="7" t="s">
        <v>114</v>
      </c>
      <c r="E38" s="8" t="s">
        <v>19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  <c r="L38" s="5" t="n">
        <f aca="false">COUNTA(F38:K38)</f>
        <v>6</v>
      </c>
      <c r="M38" s="24" t="n">
        <f aca="false">COUNTIF(F38:K38,"Pass")</f>
        <v>0</v>
      </c>
      <c r="N38" s="8" t="n">
        <f aca="false">COUNTIF(F38:K38,"Fail")</f>
        <v>0</v>
      </c>
      <c r="O38" s="25" t="str">
        <f aca="false">IF(M38=0,"-",M38/L38)</f>
        <v>-</v>
      </c>
    </row>
    <row r="39" customFormat="false" ht="19.5" hidden="false" customHeight="true" outlineLevel="0" collapsed="false">
      <c r="A39" s="11" t="s">
        <v>115</v>
      </c>
      <c r="B39" s="28" t="s">
        <v>86</v>
      </c>
      <c r="C39" s="26" t="s">
        <v>108</v>
      </c>
      <c r="D39" s="12" t="s">
        <v>116</v>
      </c>
      <c r="E39" s="8" t="s">
        <v>19</v>
      </c>
      <c r="F39" s="10" t="s">
        <v>21</v>
      </c>
      <c r="G39" s="10" t="s">
        <v>21</v>
      </c>
      <c r="H39" s="10" t="s">
        <v>21</v>
      </c>
      <c r="I39" s="10" t="s">
        <v>21</v>
      </c>
      <c r="J39" s="10" t="s">
        <v>21</v>
      </c>
      <c r="K39" s="10" t="s">
        <v>21</v>
      </c>
      <c r="L39" s="11" t="n">
        <f aca="false">COUNTA(F39:K39)</f>
        <v>6</v>
      </c>
      <c r="M39" s="24" t="n">
        <f aca="false">COUNTIF(F39:K39,"Pass")</f>
        <v>0</v>
      </c>
      <c r="N39" s="8" t="n">
        <f aca="false">COUNTIF(F39:K39,"Fail")</f>
        <v>0</v>
      </c>
      <c r="O39" s="27" t="str">
        <f aca="false">IF(M39=0,"-",M39/L39)</f>
        <v>-</v>
      </c>
    </row>
    <row r="40" customFormat="false" ht="19.5" hidden="false" customHeight="true" outlineLevel="0" collapsed="false">
      <c r="A40" s="5" t="s">
        <v>118</v>
      </c>
      <c r="B40" s="28" t="s">
        <v>86</v>
      </c>
      <c r="C40" s="23" t="s">
        <v>108</v>
      </c>
      <c r="D40" s="7" t="s">
        <v>119</v>
      </c>
      <c r="E40" s="14" t="s">
        <v>27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  <c r="L40" s="5" t="n">
        <f aca="false">COUNTA(F40:K40)</f>
        <v>6</v>
      </c>
      <c r="M40" s="24" t="n">
        <f aca="false">COUNTIF(F40:K40,"Pass")</f>
        <v>0</v>
      </c>
      <c r="N40" s="8" t="n">
        <f aca="false">COUNTIF(F40:K40,"Fail")</f>
        <v>0</v>
      </c>
      <c r="O40" s="25" t="str">
        <f aca="false">IF(M40=0,"-",M40/L40)</f>
        <v>-</v>
      </c>
    </row>
    <row r="41" customFormat="false" ht="19.5" hidden="false" customHeight="true" outlineLevel="0" collapsed="false">
      <c r="A41" s="11" t="s">
        <v>120</v>
      </c>
      <c r="B41" s="28" t="s">
        <v>86</v>
      </c>
      <c r="C41" s="26" t="s">
        <v>108</v>
      </c>
      <c r="D41" s="12" t="s">
        <v>121</v>
      </c>
      <c r="E41" s="14" t="s">
        <v>27</v>
      </c>
      <c r="F41" s="10" t="s">
        <v>21</v>
      </c>
      <c r="G41" s="10" t="s">
        <v>21</v>
      </c>
      <c r="H41" s="10" t="s">
        <v>21</v>
      </c>
      <c r="I41" s="10" t="s">
        <v>21</v>
      </c>
      <c r="J41" s="10" t="s">
        <v>21</v>
      </c>
      <c r="K41" s="10" t="s">
        <v>21</v>
      </c>
      <c r="L41" s="11" t="n">
        <f aca="false">COUNTA(F41:K41)</f>
        <v>6</v>
      </c>
      <c r="M41" s="24" t="n">
        <f aca="false">COUNTIF(F41:K41,"Pass")</f>
        <v>0</v>
      </c>
      <c r="N41" s="8" t="n">
        <f aca="false">COUNTIF(F41:K41,"Fail")</f>
        <v>0</v>
      </c>
      <c r="O41" s="27" t="str">
        <f aca="false">IF(M41=0,"-",M41/L41)</f>
        <v>-</v>
      </c>
    </row>
    <row r="42" customFormat="false" ht="19.5" hidden="false" customHeight="true" outlineLevel="0" collapsed="false">
      <c r="A42" s="5" t="s">
        <v>123</v>
      </c>
      <c r="B42" s="28" t="s">
        <v>86</v>
      </c>
      <c r="C42" s="23" t="s">
        <v>124</v>
      </c>
      <c r="D42" s="7" t="s">
        <v>125</v>
      </c>
      <c r="E42" s="8" t="s">
        <v>19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  <c r="L42" s="5" t="n">
        <f aca="false">COUNTA(F42:K42)</f>
        <v>6</v>
      </c>
      <c r="M42" s="24" t="n">
        <f aca="false">COUNTIF(F42:K42,"Pass")</f>
        <v>0</v>
      </c>
      <c r="N42" s="8" t="n">
        <f aca="false">COUNTIF(F42:K42,"Fail")</f>
        <v>0</v>
      </c>
      <c r="O42" s="25" t="str">
        <f aca="false">IF(M42=0,"-",M42/L42)</f>
        <v>-</v>
      </c>
    </row>
    <row r="43" customFormat="false" ht="19.5" hidden="false" customHeight="true" outlineLevel="0" collapsed="false">
      <c r="A43" s="11" t="s">
        <v>127</v>
      </c>
      <c r="B43" s="28" t="s">
        <v>86</v>
      </c>
      <c r="C43" s="26" t="s">
        <v>124</v>
      </c>
      <c r="D43" s="12" t="s">
        <v>128</v>
      </c>
      <c r="E43" s="14" t="s">
        <v>27</v>
      </c>
      <c r="F43" s="10" t="s">
        <v>21</v>
      </c>
      <c r="G43" s="10" t="s">
        <v>21</v>
      </c>
      <c r="H43" s="10" t="s">
        <v>21</v>
      </c>
      <c r="I43" s="10" t="s">
        <v>21</v>
      </c>
      <c r="J43" s="10" t="s">
        <v>21</v>
      </c>
      <c r="K43" s="10" t="s">
        <v>21</v>
      </c>
      <c r="L43" s="11" t="n">
        <f aca="false">COUNTA(F43:K43)</f>
        <v>6</v>
      </c>
      <c r="M43" s="24" t="n">
        <f aca="false">COUNTIF(F43:K43,"Pass")</f>
        <v>0</v>
      </c>
      <c r="N43" s="8" t="n">
        <f aca="false">COUNTIF(F43:K43,"Fail")</f>
        <v>0</v>
      </c>
      <c r="O43" s="27" t="str">
        <f aca="false">IF(M43=0,"-",M43/L43)</f>
        <v>-</v>
      </c>
    </row>
    <row r="44" customFormat="false" ht="19.5" hidden="false" customHeight="true" outlineLevel="0" collapsed="false">
      <c r="A44" s="5" t="s">
        <v>129</v>
      </c>
      <c r="B44" s="28" t="s">
        <v>86</v>
      </c>
      <c r="C44" s="23" t="s">
        <v>124</v>
      </c>
      <c r="D44" s="7" t="s">
        <v>130</v>
      </c>
      <c r="E44" s="14" t="s">
        <v>27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  <c r="L44" s="5" t="n">
        <f aca="false">COUNTA(F44:K44)</f>
        <v>6</v>
      </c>
      <c r="M44" s="24" t="n">
        <f aca="false">COUNTIF(F44:K44,"Pass")</f>
        <v>0</v>
      </c>
      <c r="N44" s="8" t="n">
        <f aca="false">COUNTIF(F44:K44,"Fail")</f>
        <v>0</v>
      </c>
      <c r="O44" s="25" t="str">
        <f aca="false">IF(M44=0,"-",M44/L44)</f>
        <v>-</v>
      </c>
    </row>
    <row r="45" customFormat="false" ht="19.5" hidden="false" customHeight="true" outlineLevel="0" collapsed="false">
      <c r="A45" s="11" t="s">
        <v>131</v>
      </c>
      <c r="B45" s="28" t="s">
        <v>86</v>
      </c>
      <c r="C45" s="26" t="s">
        <v>124</v>
      </c>
      <c r="D45" s="12" t="s">
        <v>132</v>
      </c>
      <c r="E45" s="14" t="s">
        <v>27</v>
      </c>
      <c r="F45" s="10" t="s">
        <v>21</v>
      </c>
      <c r="G45" s="10" t="s">
        <v>21</v>
      </c>
      <c r="H45" s="10" t="s">
        <v>21</v>
      </c>
      <c r="I45" s="10" t="s">
        <v>21</v>
      </c>
      <c r="J45" s="10" t="s">
        <v>21</v>
      </c>
      <c r="K45" s="10" t="s">
        <v>21</v>
      </c>
      <c r="L45" s="11" t="n">
        <f aca="false">COUNTA(F45:K45)</f>
        <v>6</v>
      </c>
      <c r="M45" s="24" t="n">
        <f aca="false">COUNTIF(F45:K45,"Pass")</f>
        <v>0</v>
      </c>
      <c r="N45" s="8" t="n">
        <f aca="false">COUNTIF(F45:K45,"Fail")</f>
        <v>0</v>
      </c>
      <c r="O45" s="27" t="str">
        <f aca="false">IF(M45=0,"-",M45/L45)</f>
        <v>-</v>
      </c>
    </row>
    <row r="46" customFormat="false" ht="19.5" hidden="false" customHeight="true" outlineLevel="0" collapsed="false">
      <c r="A46" s="5" t="s">
        <v>133</v>
      </c>
      <c r="B46" s="28" t="s">
        <v>86</v>
      </c>
      <c r="C46" s="23" t="s">
        <v>134</v>
      </c>
      <c r="D46" s="7" t="s">
        <v>135</v>
      </c>
      <c r="E46" s="14" t="s">
        <v>27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  <c r="L46" s="5" t="n">
        <f aca="false">COUNTA(F46:K46)</f>
        <v>6</v>
      </c>
      <c r="M46" s="24" t="n">
        <f aca="false">COUNTIF(F46:K46,"Pass")</f>
        <v>0</v>
      </c>
      <c r="N46" s="8" t="n">
        <f aca="false">COUNTIF(F46:K46,"Fail")</f>
        <v>0</v>
      </c>
      <c r="O46" s="25" t="str">
        <f aca="false">IF(M46=0,"-",M46/L46)</f>
        <v>-</v>
      </c>
    </row>
    <row r="47" customFormat="false" ht="19.5" hidden="false" customHeight="true" outlineLevel="0" collapsed="false">
      <c r="A47" s="11" t="s">
        <v>137</v>
      </c>
      <c r="B47" s="28" t="s">
        <v>86</v>
      </c>
      <c r="C47" s="26" t="s">
        <v>134</v>
      </c>
      <c r="D47" s="12" t="s">
        <v>138</v>
      </c>
      <c r="E47" s="14" t="s">
        <v>27</v>
      </c>
      <c r="F47" s="10" t="s">
        <v>21</v>
      </c>
      <c r="G47" s="10" t="s">
        <v>21</v>
      </c>
      <c r="H47" s="10" t="s">
        <v>21</v>
      </c>
      <c r="I47" s="10" t="s">
        <v>21</v>
      </c>
      <c r="J47" s="10" t="s">
        <v>21</v>
      </c>
      <c r="K47" s="10" t="s">
        <v>21</v>
      </c>
      <c r="L47" s="11" t="n">
        <f aca="false">COUNTA(F47:K47)</f>
        <v>6</v>
      </c>
      <c r="M47" s="24" t="n">
        <f aca="false">COUNTIF(F47:K47,"Pass")</f>
        <v>0</v>
      </c>
      <c r="N47" s="8" t="n">
        <f aca="false">COUNTIF(F47:K47,"Fail")</f>
        <v>0</v>
      </c>
      <c r="O47" s="27" t="str">
        <f aca="false">IF(M47=0,"-",M47/L47)</f>
        <v>-</v>
      </c>
    </row>
    <row r="48" customFormat="false" ht="19.5" hidden="false" customHeight="true" outlineLevel="0" collapsed="false">
      <c r="A48" s="5" t="s">
        <v>139</v>
      </c>
      <c r="B48" s="28" t="s">
        <v>86</v>
      </c>
      <c r="C48" s="23" t="s">
        <v>134</v>
      </c>
      <c r="D48" s="7" t="s">
        <v>140</v>
      </c>
      <c r="E48" s="15" t="s">
        <v>53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  <c r="L48" s="5" t="n">
        <f aca="false">COUNTA(F48:K48)</f>
        <v>6</v>
      </c>
      <c r="M48" s="24" t="n">
        <f aca="false">COUNTIF(F48:K48,"Pass")</f>
        <v>0</v>
      </c>
      <c r="N48" s="8" t="n">
        <f aca="false">COUNTIF(F48:K48,"Fail")</f>
        <v>0</v>
      </c>
      <c r="O48" s="25" t="str">
        <f aca="false">IF(M48=0,"-",M48/L48)</f>
        <v>-</v>
      </c>
    </row>
    <row r="49" customFormat="false" ht="19.5" hidden="false" customHeight="true" outlineLevel="0" collapsed="false">
      <c r="A49" s="11" t="s">
        <v>141</v>
      </c>
      <c r="B49" s="28" t="s">
        <v>86</v>
      </c>
      <c r="C49" s="26" t="s">
        <v>142</v>
      </c>
      <c r="D49" s="12" t="s">
        <v>143</v>
      </c>
      <c r="E49" s="8" t="s">
        <v>19</v>
      </c>
      <c r="F49" s="10" t="s">
        <v>21</v>
      </c>
      <c r="G49" s="10" t="s">
        <v>21</v>
      </c>
      <c r="H49" s="10" t="s">
        <v>21</v>
      </c>
      <c r="I49" s="10" t="s">
        <v>21</v>
      </c>
      <c r="J49" s="10" t="s">
        <v>21</v>
      </c>
      <c r="K49" s="10" t="s">
        <v>21</v>
      </c>
      <c r="L49" s="11" t="n">
        <f aca="false">COUNTA(F49:K49)</f>
        <v>6</v>
      </c>
      <c r="M49" s="24" t="n">
        <f aca="false">COUNTIF(F49:K49,"Pass")</f>
        <v>0</v>
      </c>
      <c r="N49" s="8" t="n">
        <f aca="false">COUNTIF(F49:K49,"Fail")</f>
        <v>0</v>
      </c>
      <c r="O49" s="27" t="str">
        <f aca="false">IF(M49=0,"-",M49/L49)</f>
        <v>-</v>
      </c>
    </row>
    <row r="50" customFormat="false" ht="19.5" hidden="false" customHeight="true" outlineLevel="0" collapsed="false">
      <c r="A50" s="5" t="s">
        <v>145</v>
      </c>
      <c r="B50" s="28" t="s">
        <v>86</v>
      </c>
      <c r="C50" s="23" t="s">
        <v>142</v>
      </c>
      <c r="D50" s="7" t="s">
        <v>146</v>
      </c>
      <c r="E50" s="8" t="s">
        <v>19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  <c r="L50" s="5" t="n">
        <f aca="false">COUNTA(F50:K50)</f>
        <v>6</v>
      </c>
      <c r="M50" s="24" t="n">
        <f aca="false">COUNTIF(F50:K50,"Pass")</f>
        <v>0</v>
      </c>
      <c r="N50" s="8" t="n">
        <f aca="false">COUNTIF(F50:K50,"Fail")</f>
        <v>0</v>
      </c>
      <c r="O50" s="25" t="str">
        <f aca="false">IF(M50=0,"-",M50/L50)</f>
        <v>-</v>
      </c>
    </row>
    <row r="51" customFormat="false" ht="19.5" hidden="false" customHeight="true" outlineLevel="0" collapsed="false">
      <c r="A51" s="11" t="s">
        <v>147</v>
      </c>
      <c r="B51" s="28" t="s">
        <v>86</v>
      </c>
      <c r="C51" s="26" t="s">
        <v>142</v>
      </c>
      <c r="D51" s="12" t="s">
        <v>148</v>
      </c>
      <c r="E51" s="8" t="s">
        <v>19</v>
      </c>
      <c r="F51" s="10" t="s">
        <v>21</v>
      </c>
      <c r="G51" s="10" t="s">
        <v>21</v>
      </c>
      <c r="H51" s="10" t="s">
        <v>21</v>
      </c>
      <c r="I51" s="10" t="s">
        <v>21</v>
      </c>
      <c r="J51" s="10" t="s">
        <v>21</v>
      </c>
      <c r="K51" s="10" t="s">
        <v>21</v>
      </c>
      <c r="L51" s="11" t="n">
        <f aca="false">COUNTA(F51:K51)</f>
        <v>6</v>
      </c>
      <c r="M51" s="24" t="n">
        <f aca="false">COUNTIF(F51:K51,"Pass")</f>
        <v>0</v>
      </c>
      <c r="N51" s="8" t="n">
        <f aca="false">COUNTIF(F51:K51,"Fail")</f>
        <v>0</v>
      </c>
      <c r="O51" s="27" t="str">
        <f aca="false">IF(M51=0,"-",M51/L51)</f>
        <v>-</v>
      </c>
    </row>
    <row r="52" customFormat="false" ht="19.5" hidden="false" customHeight="true" outlineLevel="0" collapsed="false">
      <c r="A52" s="5" t="s">
        <v>150</v>
      </c>
      <c r="B52" s="28" t="s">
        <v>86</v>
      </c>
      <c r="C52" s="23" t="s">
        <v>142</v>
      </c>
      <c r="D52" s="7" t="s">
        <v>151</v>
      </c>
      <c r="E52" s="14" t="s">
        <v>27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  <c r="L52" s="5" t="n">
        <f aca="false">COUNTA(F52:K52)</f>
        <v>6</v>
      </c>
      <c r="M52" s="24" t="n">
        <f aca="false">COUNTIF(F52:K52,"Pass")</f>
        <v>0</v>
      </c>
      <c r="N52" s="8" t="n">
        <f aca="false">COUNTIF(F52:K52,"Fail")</f>
        <v>0</v>
      </c>
      <c r="O52" s="25" t="str">
        <f aca="false">IF(M52=0,"-",M52/L52)</f>
        <v>-</v>
      </c>
    </row>
    <row r="53" customFormat="false" ht="19.5" hidden="false" customHeight="true" outlineLevel="0" collapsed="false">
      <c r="A53" s="11" t="s">
        <v>152</v>
      </c>
      <c r="B53" s="28" t="s">
        <v>86</v>
      </c>
      <c r="C53" s="26" t="s">
        <v>153</v>
      </c>
      <c r="D53" s="12" t="s">
        <v>154</v>
      </c>
      <c r="E53" s="14" t="s">
        <v>27</v>
      </c>
      <c r="F53" s="10" t="s">
        <v>21</v>
      </c>
      <c r="G53" s="10" t="s">
        <v>21</v>
      </c>
      <c r="H53" s="10" t="s">
        <v>21</v>
      </c>
      <c r="I53" s="10" t="s">
        <v>21</v>
      </c>
      <c r="J53" s="10" t="s">
        <v>21</v>
      </c>
      <c r="K53" s="10" t="s">
        <v>21</v>
      </c>
      <c r="L53" s="11" t="n">
        <f aca="false">COUNTA(F53:K53)</f>
        <v>6</v>
      </c>
      <c r="M53" s="24" t="n">
        <f aca="false">COUNTIF(F53:K53,"Pass")</f>
        <v>0</v>
      </c>
      <c r="N53" s="8" t="n">
        <f aca="false">COUNTIF(F53:K53,"Fail")</f>
        <v>0</v>
      </c>
      <c r="O53" s="27" t="str">
        <f aca="false">IF(M53=0,"-",M53/L53)</f>
        <v>-</v>
      </c>
    </row>
    <row r="54" customFormat="false" ht="19.5" hidden="false" customHeight="true" outlineLevel="0" collapsed="false">
      <c r="A54" s="5" t="s">
        <v>155</v>
      </c>
      <c r="B54" s="28" t="s">
        <v>86</v>
      </c>
      <c r="C54" s="23" t="s">
        <v>156</v>
      </c>
      <c r="D54" s="7" t="s">
        <v>157</v>
      </c>
      <c r="E54" s="8" t="s">
        <v>19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  <c r="L54" s="5" t="n">
        <f aca="false">COUNTA(F54:K54)</f>
        <v>6</v>
      </c>
      <c r="M54" s="24" t="n">
        <f aca="false">COUNTIF(F54:K54,"Pass")</f>
        <v>0</v>
      </c>
      <c r="N54" s="8" t="n">
        <f aca="false">COUNTIF(F54:K54,"Fail")</f>
        <v>0</v>
      </c>
      <c r="O54" s="25" t="str">
        <f aca="false">IF(M54=0,"-",M54/L54)</f>
        <v>-</v>
      </c>
    </row>
    <row r="55" customFormat="false" ht="19.5" hidden="false" customHeight="true" outlineLevel="0" collapsed="false">
      <c r="A55" s="11" t="s">
        <v>159</v>
      </c>
      <c r="B55" s="28" t="s">
        <v>86</v>
      </c>
      <c r="C55" s="26" t="s">
        <v>156</v>
      </c>
      <c r="D55" s="12" t="s">
        <v>160</v>
      </c>
      <c r="E55" s="14" t="s">
        <v>27</v>
      </c>
      <c r="F55" s="10" t="s">
        <v>21</v>
      </c>
      <c r="G55" s="10" t="s">
        <v>21</v>
      </c>
      <c r="H55" s="10" t="s">
        <v>21</v>
      </c>
      <c r="I55" s="10" t="s">
        <v>21</v>
      </c>
      <c r="J55" s="10" t="s">
        <v>21</v>
      </c>
      <c r="K55" s="10" t="s">
        <v>21</v>
      </c>
      <c r="L55" s="11" t="n">
        <f aca="false">COUNTA(F55:K55)</f>
        <v>6</v>
      </c>
      <c r="M55" s="24" t="n">
        <f aca="false">COUNTIF(F55:K55,"Pass")</f>
        <v>0</v>
      </c>
      <c r="N55" s="8" t="n">
        <f aca="false">COUNTIF(F55:K55,"Fail")</f>
        <v>0</v>
      </c>
      <c r="O55" s="27" t="str">
        <f aca="false">IF(M55=0,"-",M55/L55)</f>
        <v>-</v>
      </c>
    </row>
    <row r="56" customFormat="false" ht="19.5" hidden="false" customHeight="true" outlineLevel="0" collapsed="false">
      <c r="A56" s="5" t="s">
        <v>161</v>
      </c>
      <c r="B56" s="28" t="s">
        <v>86</v>
      </c>
      <c r="C56" s="23" t="s">
        <v>156</v>
      </c>
      <c r="D56" s="7" t="s">
        <v>162</v>
      </c>
      <c r="E56" s="8" t="s">
        <v>19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  <c r="L56" s="5" t="n">
        <f aca="false">COUNTA(F56:K56)</f>
        <v>6</v>
      </c>
      <c r="M56" s="24" t="n">
        <f aca="false">COUNTIF(F56:K56,"Pass")</f>
        <v>0</v>
      </c>
      <c r="N56" s="8" t="n">
        <f aca="false">COUNTIF(F56:K56,"Fail")</f>
        <v>0</v>
      </c>
      <c r="O56" s="25" t="str">
        <f aca="false">IF(M56=0,"-",M56/L56)</f>
        <v>-</v>
      </c>
    </row>
    <row r="57" customFormat="false" ht="19.5" hidden="false" customHeight="true" outlineLevel="0" collapsed="false">
      <c r="A57" s="11" t="s">
        <v>164</v>
      </c>
      <c r="B57" s="28" t="s">
        <v>86</v>
      </c>
      <c r="C57" s="26" t="s">
        <v>165</v>
      </c>
      <c r="D57" s="12" t="s">
        <v>166</v>
      </c>
      <c r="E57" s="8" t="s">
        <v>19</v>
      </c>
      <c r="F57" s="10" t="s">
        <v>21</v>
      </c>
      <c r="G57" s="10" t="s">
        <v>21</v>
      </c>
      <c r="H57" s="10" t="s">
        <v>21</v>
      </c>
      <c r="I57" s="10" t="s">
        <v>21</v>
      </c>
      <c r="J57" s="10" t="s">
        <v>21</v>
      </c>
      <c r="K57" s="10" t="s">
        <v>21</v>
      </c>
      <c r="L57" s="11" t="n">
        <f aca="false">COUNTA(F57:K57)</f>
        <v>6</v>
      </c>
      <c r="M57" s="24" t="n">
        <f aca="false">COUNTIF(F57:K57,"Pass")</f>
        <v>0</v>
      </c>
      <c r="N57" s="8" t="n">
        <f aca="false">COUNTIF(F57:K57,"Fail")</f>
        <v>0</v>
      </c>
      <c r="O57" s="27" t="str">
        <f aca="false">IF(M57=0,"-",M57/L57)</f>
        <v>-</v>
      </c>
    </row>
    <row r="58" customFormat="false" ht="19.5" hidden="false" customHeight="true" outlineLevel="0" collapsed="false">
      <c r="A58" s="5" t="s">
        <v>168</v>
      </c>
      <c r="B58" s="28" t="s">
        <v>86</v>
      </c>
      <c r="C58" s="23" t="s">
        <v>165</v>
      </c>
      <c r="D58" s="7" t="s">
        <v>82</v>
      </c>
      <c r="E58" s="14" t="s">
        <v>27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  <c r="L58" s="5" t="n">
        <f aca="false">COUNTA(F58:K58)</f>
        <v>6</v>
      </c>
      <c r="M58" s="24" t="n">
        <f aca="false">COUNTIF(F58:K58,"Pass")</f>
        <v>0</v>
      </c>
      <c r="N58" s="8" t="n">
        <f aca="false">COUNTIF(F58:K58,"Fail")</f>
        <v>0</v>
      </c>
      <c r="O58" s="25" t="str">
        <f aca="false">IF(M58=0,"-",M58/L58)</f>
        <v>-</v>
      </c>
    </row>
    <row r="59" customFormat="false" ht="19.5" hidden="false" customHeight="true" outlineLevel="0" collapsed="false">
      <c r="A59" s="11" t="s">
        <v>169</v>
      </c>
      <c r="B59" s="28" t="s">
        <v>86</v>
      </c>
      <c r="C59" s="26" t="s">
        <v>165</v>
      </c>
      <c r="D59" s="12" t="s">
        <v>170</v>
      </c>
      <c r="E59" s="8" t="s">
        <v>19</v>
      </c>
      <c r="F59" s="10" t="s">
        <v>21</v>
      </c>
      <c r="G59" s="10" t="s">
        <v>21</v>
      </c>
      <c r="H59" s="10" t="s">
        <v>21</v>
      </c>
      <c r="I59" s="10" t="s">
        <v>21</v>
      </c>
      <c r="J59" s="10" t="s">
        <v>21</v>
      </c>
      <c r="K59" s="10" t="s">
        <v>21</v>
      </c>
      <c r="L59" s="11" t="n">
        <f aca="false">COUNTA(F59:K59)</f>
        <v>6</v>
      </c>
      <c r="M59" s="24" t="n">
        <f aca="false">COUNTIF(F59:K59,"Pass")</f>
        <v>0</v>
      </c>
      <c r="N59" s="8" t="n">
        <f aca="false">COUNTIF(F59:K59,"Fail")</f>
        <v>0</v>
      </c>
      <c r="O59" s="27" t="str">
        <f aca="false">IF(M59=0,"-",M59/L59)</f>
        <v>-</v>
      </c>
    </row>
    <row r="60" customFormat="false" ht="18" hidden="false" customHeight="true" outlineLevel="0" collapsed="false">
      <c r="A60" s="4" t="s">
        <v>172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customFormat="false" ht="19.5" hidden="false" customHeight="true" outlineLevel="0" collapsed="false">
      <c r="A61" s="5" t="s">
        <v>173</v>
      </c>
      <c r="B61" s="29" t="s">
        <v>174</v>
      </c>
      <c r="C61" s="23" t="s">
        <v>175</v>
      </c>
      <c r="D61" s="7" t="s">
        <v>176</v>
      </c>
      <c r="E61" s="8" t="s">
        <v>19</v>
      </c>
      <c r="F61" s="10" t="s">
        <v>21</v>
      </c>
      <c r="G61" s="10" t="s">
        <v>21</v>
      </c>
      <c r="H61" s="10" t="s">
        <v>21</v>
      </c>
      <c r="I61" s="10" t="s">
        <v>21</v>
      </c>
      <c r="J61" s="10" t="s">
        <v>21</v>
      </c>
      <c r="K61" s="10" t="s">
        <v>21</v>
      </c>
      <c r="L61" s="5" t="n">
        <f aca="false">COUNTA(F61:K61)</f>
        <v>6</v>
      </c>
      <c r="M61" s="24" t="n">
        <f aca="false">COUNTIF(F61:K61,"Pass")</f>
        <v>0</v>
      </c>
      <c r="N61" s="8" t="n">
        <f aca="false">COUNTIF(F61:K61,"Fail")</f>
        <v>0</v>
      </c>
      <c r="O61" s="25" t="str">
        <f aca="false">IF(M61=0,"-",M61/L61)</f>
        <v>-</v>
      </c>
    </row>
    <row r="62" customFormat="false" ht="19.5" hidden="false" customHeight="true" outlineLevel="0" collapsed="false">
      <c r="A62" s="11" t="s">
        <v>178</v>
      </c>
      <c r="B62" s="29" t="s">
        <v>174</v>
      </c>
      <c r="C62" s="26" t="s">
        <v>175</v>
      </c>
      <c r="D62" s="12" t="s">
        <v>179</v>
      </c>
      <c r="E62" s="8" t="s">
        <v>19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  <c r="L62" s="11" t="n">
        <f aca="false">COUNTA(F62:K62)</f>
        <v>6</v>
      </c>
      <c r="M62" s="24" t="n">
        <f aca="false">COUNTIF(F62:K62,"Pass")</f>
        <v>0</v>
      </c>
      <c r="N62" s="8" t="n">
        <f aca="false">COUNTIF(F62:K62,"Fail")</f>
        <v>0</v>
      </c>
      <c r="O62" s="27" t="str">
        <f aca="false">IF(M62=0,"-",M62/L62)</f>
        <v>-</v>
      </c>
    </row>
    <row r="63" customFormat="false" ht="19.5" hidden="false" customHeight="true" outlineLevel="0" collapsed="false">
      <c r="A63" s="5" t="s">
        <v>181</v>
      </c>
      <c r="B63" s="29" t="s">
        <v>174</v>
      </c>
      <c r="C63" s="23" t="s">
        <v>175</v>
      </c>
      <c r="D63" s="7" t="s">
        <v>182</v>
      </c>
      <c r="E63" s="14" t="s">
        <v>27</v>
      </c>
      <c r="F63" s="10" t="s">
        <v>21</v>
      </c>
      <c r="G63" s="10" t="s">
        <v>21</v>
      </c>
      <c r="H63" s="10" t="s">
        <v>21</v>
      </c>
      <c r="I63" s="10" t="s">
        <v>21</v>
      </c>
      <c r="J63" s="10" t="s">
        <v>21</v>
      </c>
      <c r="K63" s="10" t="s">
        <v>21</v>
      </c>
      <c r="L63" s="5" t="n">
        <f aca="false">COUNTA(F63:K63)</f>
        <v>6</v>
      </c>
      <c r="M63" s="24" t="n">
        <f aca="false">COUNTIF(F63:K63,"Pass")</f>
        <v>0</v>
      </c>
      <c r="N63" s="8" t="n">
        <f aca="false">COUNTIF(F63:K63,"Fail")</f>
        <v>0</v>
      </c>
      <c r="O63" s="25" t="str">
        <f aca="false">IF(M63=0,"-",M63/L63)</f>
        <v>-</v>
      </c>
    </row>
    <row r="64" customFormat="false" ht="19.5" hidden="false" customHeight="true" outlineLevel="0" collapsed="false">
      <c r="A64" s="11" t="s">
        <v>184</v>
      </c>
      <c r="B64" s="29" t="s">
        <v>174</v>
      </c>
      <c r="C64" s="26" t="s">
        <v>175</v>
      </c>
      <c r="D64" s="12" t="s">
        <v>185</v>
      </c>
      <c r="E64" s="14" t="s">
        <v>27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  <c r="L64" s="11" t="n">
        <f aca="false">COUNTA(F64:K64)</f>
        <v>6</v>
      </c>
      <c r="M64" s="24" t="n">
        <f aca="false">COUNTIF(F64:K64,"Pass")</f>
        <v>0</v>
      </c>
      <c r="N64" s="8" t="n">
        <f aca="false">COUNTIF(F64:K64,"Fail")</f>
        <v>0</v>
      </c>
      <c r="O64" s="27" t="str">
        <f aca="false">IF(M64=0,"-",M64/L64)</f>
        <v>-</v>
      </c>
    </row>
    <row r="65" customFormat="false" ht="19.5" hidden="false" customHeight="true" outlineLevel="0" collapsed="false">
      <c r="A65" s="5" t="s">
        <v>186</v>
      </c>
      <c r="B65" s="29" t="s">
        <v>174</v>
      </c>
      <c r="C65" s="23" t="s">
        <v>187</v>
      </c>
      <c r="D65" s="7" t="s">
        <v>188</v>
      </c>
      <c r="E65" s="8" t="s">
        <v>19</v>
      </c>
      <c r="F65" s="10" t="s">
        <v>21</v>
      </c>
      <c r="G65" s="10" t="s">
        <v>21</v>
      </c>
      <c r="H65" s="10" t="s">
        <v>21</v>
      </c>
      <c r="I65" s="10" t="s">
        <v>21</v>
      </c>
      <c r="J65" s="10" t="s">
        <v>21</v>
      </c>
      <c r="K65" s="10" t="s">
        <v>21</v>
      </c>
      <c r="L65" s="5" t="n">
        <f aca="false">COUNTA(F65:K65)</f>
        <v>6</v>
      </c>
      <c r="M65" s="24" t="n">
        <f aca="false">COUNTIF(F65:K65,"Pass")</f>
        <v>0</v>
      </c>
      <c r="N65" s="8" t="n">
        <f aca="false">COUNTIF(F65:K65,"Fail")</f>
        <v>0</v>
      </c>
      <c r="O65" s="25" t="str">
        <f aca="false">IF(M65=0,"-",M65/L65)</f>
        <v>-</v>
      </c>
    </row>
    <row r="66" customFormat="false" ht="19.5" hidden="false" customHeight="true" outlineLevel="0" collapsed="false">
      <c r="A66" s="11" t="s">
        <v>190</v>
      </c>
      <c r="B66" s="29" t="s">
        <v>174</v>
      </c>
      <c r="C66" s="26" t="s">
        <v>187</v>
      </c>
      <c r="D66" s="12" t="s">
        <v>191</v>
      </c>
      <c r="E66" s="14" t="s">
        <v>27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  <c r="L66" s="11" t="n">
        <f aca="false">COUNTA(F66:K66)</f>
        <v>6</v>
      </c>
      <c r="M66" s="24" t="n">
        <f aca="false">COUNTIF(F66:K66,"Pass")</f>
        <v>0</v>
      </c>
      <c r="N66" s="8" t="n">
        <f aca="false">COUNTIF(F66:K66,"Fail")</f>
        <v>0</v>
      </c>
      <c r="O66" s="27" t="str">
        <f aca="false">IF(M66=0,"-",M66/L66)</f>
        <v>-</v>
      </c>
    </row>
    <row r="67" customFormat="false" ht="19.5" hidden="false" customHeight="true" outlineLevel="0" collapsed="false">
      <c r="A67" s="5" t="s">
        <v>192</v>
      </c>
      <c r="B67" s="29" t="s">
        <v>174</v>
      </c>
      <c r="C67" s="23" t="s">
        <v>187</v>
      </c>
      <c r="D67" s="7" t="s">
        <v>193</v>
      </c>
      <c r="E67" s="8" t="s">
        <v>19</v>
      </c>
      <c r="F67" s="10" t="s">
        <v>21</v>
      </c>
      <c r="G67" s="10" t="s">
        <v>21</v>
      </c>
      <c r="H67" s="10" t="s">
        <v>21</v>
      </c>
      <c r="I67" s="10" t="s">
        <v>21</v>
      </c>
      <c r="J67" s="10" t="s">
        <v>21</v>
      </c>
      <c r="K67" s="10" t="s">
        <v>21</v>
      </c>
      <c r="L67" s="5" t="n">
        <f aca="false">COUNTA(F67:K67)</f>
        <v>6</v>
      </c>
      <c r="M67" s="24" t="n">
        <f aca="false">COUNTIF(F67:K67,"Pass")</f>
        <v>0</v>
      </c>
      <c r="N67" s="8" t="n">
        <f aca="false">COUNTIF(F67:K67,"Fail")</f>
        <v>0</v>
      </c>
      <c r="O67" s="25" t="str">
        <f aca="false">IF(M67=0,"-",M67/L67)</f>
        <v>-</v>
      </c>
    </row>
    <row r="68" customFormat="false" ht="19.5" hidden="false" customHeight="true" outlineLevel="0" collapsed="false">
      <c r="A68" s="11" t="s">
        <v>194</v>
      </c>
      <c r="B68" s="29" t="s">
        <v>174</v>
      </c>
      <c r="C68" s="26" t="s">
        <v>187</v>
      </c>
      <c r="D68" s="12" t="s">
        <v>195</v>
      </c>
      <c r="E68" s="14" t="s">
        <v>27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  <c r="L68" s="11" t="n">
        <f aca="false">COUNTA(F68:K68)</f>
        <v>6</v>
      </c>
      <c r="M68" s="24" t="n">
        <f aca="false">COUNTIF(F68:K68,"Pass")</f>
        <v>0</v>
      </c>
      <c r="N68" s="8" t="n">
        <f aca="false">COUNTIF(F68:K68,"Fail")</f>
        <v>0</v>
      </c>
      <c r="O68" s="27" t="str">
        <f aca="false">IF(M68=0,"-",M68/L68)</f>
        <v>-</v>
      </c>
    </row>
    <row r="69" customFormat="false" ht="19.5" hidden="false" customHeight="true" outlineLevel="0" collapsed="false">
      <c r="A69" s="5" t="s">
        <v>196</v>
      </c>
      <c r="B69" s="29" t="s">
        <v>174</v>
      </c>
      <c r="C69" s="23" t="s">
        <v>187</v>
      </c>
      <c r="D69" s="7" t="s">
        <v>197</v>
      </c>
      <c r="E69" s="8" t="s">
        <v>19</v>
      </c>
      <c r="F69" s="10" t="s">
        <v>21</v>
      </c>
      <c r="G69" s="10" t="s">
        <v>21</v>
      </c>
      <c r="H69" s="10" t="s">
        <v>21</v>
      </c>
      <c r="I69" s="10" t="s">
        <v>21</v>
      </c>
      <c r="J69" s="10" t="s">
        <v>21</v>
      </c>
      <c r="K69" s="10" t="s">
        <v>21</v>
      </c>
      <c r="L69" s="5" t="n">
        <f aca="false">COUNTA(F69:K69)</f>
        <v>6</v>
      </c>
      <c r="M69" s="24" t="n">
        <f aca="false">COUNTIF(F69:K69,"Pass")</f>
        <v>0</v>
      </c>
      <c r="N69" s="8" t="n">
        <f aca="false">COUNTIF(F69:K69,"Fail")</f>
        <v>0</v>
      </c>
      <c r="O69" s="25" t="str">
        <f aca="false">IF(M69=0,"-",M69/L69)</f>
        <v>-</v>
      </c>
    </row>
    <row r="70" customFormat="false" ht="19.5" hidden="false" customHeight="true" outlineLevel="0" collapsed="false">
      <c r="A70" s="11" t="s">
        <v>198</v>
      </c>
      <c r="B70" s="29" t="s">
        <v>174</v>
      </c>
      <c r="C70" s="26" t="s">
        <v>199</v>
      </c>
      <c r="D70" s="12" t="s">
        <v>200</v>
      </c>
      <c r="E70" s="8" t="s">
        <v>19</v>
      </c>
      <c r="F70" s="10" t="s">
        <v>21</v>
      </c>
      <c r="G70" s="10" t="s">
        <v>21</v>
      </c>
      <c r="H70" s="10" t="s">
        <v>21</v>
      </c>
      <c r="I70" s="10" t="s">
        <v>21</v>
      </c>
      <c r="J70" s="10" t="s">
        <v>21</v>
      </c>
      <c r="K70" s="10" t="s">
        <v>21</v>
      </c>
      <c r="L70" s="11" t="n">
        <f aca="false">COUNTA(F70:K70)</f>
        <v>6</v>
      </c>
      <c r="M70" s="24" t="n">
        <f aca="false">COUNTIF(F70:K70,"Pass")</f>
        <v>0</v>
      </c>
      <c r="N70" s="8" t="n">
        <f aca="false">COUNTIF(F70:K70,"Fail")</f>
        <v>0</v>
      </c>
      <c r="O70" s="27" t="str">
        <f aca="false">IF(M70=0,"-",M70/L70)</f>
        <v>-</v>
      </c>
    </row>
    <row r="71" customFormat="false" ht="19.5" hidden="false" customHeight="true" outlineLevel="0" collapsed="false">
      <c r="A71" s="5" t="s">
        <v>202</v>
      </c>
      <c r="B71" s="29" t="s">
        <v>174</v>
      </c>
      <c r="C71" s="23" t="s">
        <v>199</v>
      </c>
      <c r="D71" s="7" t="s">
        <v>203</v>
      </c>
      <c r="E71" s="8" t="s">
        <v>19</v>
      </c>
      <c r="F71" s="10" t="s">
        <v>21</v>
      </c>
      <c r="G71" s="10" t="s">
        <v>21</v>
      </c>
      <c r="H71" s="10" t="s">
        <v>21</v>
      </c>
      <c r="I71" s="10" t="s">
        <v>21</v>
      </c>
      <c r="J71" s="10" t="s">
        <v>21</v>
      </c>
      <c r="K71" s="10" t="s">
        <v>21</v>
      </c>
      <c r="L71" s="5" t="n">
        <f aca="false">COUNTA(F71:K71)</f>
        <v>6</v>
      </c>
      <c r="M71" s="24" t="n">
        <f aca="false">COUNTIF(F71:K71,"Pass")</f>
        <v>0</v>
      </c>
      <c r="N71" s="8" t="n">
        <f aca="false">COUNTIF(F71:K71,"Fail")</f>
        <v>0</v>
      </c>
      <c r="O71" s="25" t="str">
        <f aca="false">IF(M71=0,"-",M71/L71)</f>
        <v>-</v>
      </c>
    </row>
    <row r="72" customFormat="false" ht="19.5" hidden="false" customHeight="true" outlineLevel="0" collapsed="false">
      <c r="A72" s="11" t="s">
        <v>204</v>
      </c>
      <c r="B72" s="29" t="s">
        <v>174</v>
      </c>
      <c r="C72" s="26" t="s">
        <v>199</v>
      </c>
      <c r="D72" s="12" t="s">
        <v>205</v>
      </c>
      <c r="E72" s="8" t="s">
        <v>19</v>
      </c>
      <c r="F72" s="10" t="s">
        <v>21</v>
      </c>
      <c r="G72" s="10" t="s">
        <v>21</v>
      </c>
      <c r="H72" s="10" t="s">
        <v>21</v>
      </c>
      <c r="I72" s="10" t="s">
        <v>21</v>
      </c>
      <c r="J72" s="10" t="s">
        <v>21</v>
      </c>
      <c r="K72" s="10" t="s">
        <v>21</v>
      </c>
      <c r="L72" s="11" t="n">
        <f aca="false">COUNTA(F72:K72)</f>
        <v>6</v>
      </c>
      <c r="M72" s="24" t="n">
        <f aca="false">COUNTIF(F72:K72,"Pass")</f>
        <v>0</v>
      </c>
      <c r="N72" s="8" t="n">
        <f aca="false">COUNTIF(F72:K72,"Fail")</f>
        <v>0</v>
      </c>
      <c r="O72" s="27" t="str">
        <f aca="false">IF(M72=0,"-",M72/L72)</f>
        <v>-</v>
      </c>
    </row>
    <row r="73" customFormat="false" ht="19.5" hidden="false" customHeight="true" outlineLevel="0" collapsed="false">
      <c r="A73" s="5" t="s">
        <v>207</v>
      </c>
      <c r="B73" s="29" t="s">
        <v>174</v>
      </c>
      <c r="C73" s="23" t="s">
        <v>199</v>
      </c>
      <c r="D73" s="7" t="s">
        <v>208</v>
      </c>
      <c r="E73" s="14" t="s">
        <v>27</v>
      </c>
      <c r="F73" s="10" t="s">
        <v>21</v>
      </c>
      <c r="G73" s="10" t="s">
        <v>21</v>
      </c>
      <c r="H73" s="10" t="s">
        <v>21</v>
      </c>
      <c r="I73" s="10" t="s">
        <v>21</v>
      </c>
      <c r="J73" s="10" t="s">
        <v>21</v>
      </c>
      <c r="K73" s="10" t="s">
        <v>21</v>
      </c>
      <c r="L73" s="5" t="n">
        <f aca="false">COUNTA(F73:K73)</f>
        <v>6</v>
      </c>
      <c r="M73" s="24" t="n">
        <f aca="false">COUNTIF(F73:K73,"Pass")</f>
        <v>0</v>
      </c>
      <c r="N73" s="8" t="n">
        <f aca="false">COUNTIF(F73:K73,"Fail")</f>
        <v>0</v>
      </c>
      <c r="O73" s="25" t="str">
        <f aca="false">IF(M73=0,"-",M73/L73)</f>
        <v>-</v>
      </c>
    </row>
    <row r="74" customFormat="false" ht="19.5" hidden="false" customHeight="true" outlineLevel="0" collapsed="false">
      <c r="A74" s="11" t="s">
        <v>209</v>
      </c>
      <c r="B74" s="29" t="s">
        <v>174</v>
      </c>
      <c r="C74" s="26" t="s">
        <v>210</v>
      </c>
      <c r="D74" s="12" t="s">
        <v>211</v>
      </c>
      <c r="E74" s="14" t="s">
        <v>27</v>
      </c>
      <c r="F74" s="10" t="s">
        <v>21</v>
      </c>
      <c r="G74" s="10" t="s">
        <v>21</v>
      </c>
      <c r="H74" s="10" t="s">
        <v>21</v>
      </c>
      <c r="I74" s="10" t="s">
        <v>21</v>
      </c>
      <c r="J74" s="10" t="s">
        <v>21</v>
      </c>
      <c r="K74" s="10" t="s">
        <v>21</v>
      </c>
      <c r="L74" s="11" t="n">
        <f aca="false">COUNTA(F74:K74)</f>
        <v>6</v>
      </c>
      <c r="M74" s="24" t="n">
        <f aca="false">COUNTIF(F74:K74,"Pass")</f>
        <v>0</v>
      </c>
      <c r="N74" s="8" t="n">
        <f aca="false">COUNTIF(F74:K74,"Fail")</f>
        <v>0</v>
      </c>
      <c r="O74" s="27" t="str">
        <f aca="false">IF(M74=0,"-",M74/L74)</f>
        <v>-</v>
      </c>
    </row>
    <row r="75" customFormat="false" ht="19.5" hidden="false" customHeight="true" outlineLevel="0" collapsed="false">
      <c r="A75" s="5" t="s">
        <v>213</v>
      </c>
      <c r="B75" s="29" t="s">
        <v>174</v>
      </c>
      <c r="C75" s="23" t="s">
        <v>210</v>
      </c>
      <c r="D75" s="7" t="s">
        <v>214</v>
      </c>
      <c r="E75" s="14" t="s">
        <v>27</v>
      </c>
      <c r="F75" s="10" t="s">
        <v>21</v>
      </c>
      <c r="G75" s="10" t="s">
        <v>21</v>
      </c>
      <c r="H75" s="10" t="s">
        <v>21</v>
      </c>
      <c r="I75" s="10" t="s">
        <v>21</v>
      </c>
      <c r="J75" s="10" t="s">
        <v>21</v>
      </c>
      <c r="K75" s="10" t="s">
        <v>21</v>
      </c>
      <c r="L75" s="5" t="n">
        <f aca="false">COUNTA(F75:K75)</f>
        <v>6</v>
      </c>
      <c r="M75" s="24" t="n">
        <f aca="false">COUNTIF(F75:K75,"Pass")</f>
        <v>0</v>
      </c>
      <c r="N75" s="8" t="n">
        <f aca="false">COUNTIF(F75:K75,"Fail")</f>
        <v>0</v>
      </c>
      <c r="O75" s="25" t="str">
        <f aca="false">IF(M75=0,"-",M75/L75)</f>
        <v>-</v>
      </c>
    </row>
    <row r="76" customFormat="false" ht="19.5" hidden="false" customHeight="true" outlineLevel="0" collapsed="false">
      <c r="A76" s="11" t="s">
        <v>215</v>
      </c>
      <c r="B76" s="29" t="s">
        <v>174</v>
      </c>
      <c r="C76" s="26" t="s">
        <v>210</v>
      </c>
      <c r="D76" s="12" t="s">
        <v>216</v>
      </c>
      <c r="E76" s="15" t="s">
        <v>53</v>
      </c>
      <c r="F76" s="10" t="s">
        <v>21</v>
      </c>
      <c r="G76" s="10" t="s">
        <v>21</v>
      </c>
      <c r="H76" s="10" t="s">
        <v>21</v>
      </c>
      <c r="I76" s="10" t="s">
        <v>21</v>
      </c>
      <c r="J76" s="10" t="s">
        <v>21</v>
      </c>
      <c r="K76" s="10" t="s">
        <v>21</v>
      </c>
      <c r="L76" s="11" t="n">
        <f aca="false">COUNTA(F76:K76)</f>
        <v>6</v>
      </c>
      <c r="M76" s="24" t="n">
        <f aca="false">COUNTIF(F76:K76,"Pass")</f>
        <v>0</v>
      </c>
      <c r="N76" s="8" t="n">
        <f aca="false">COUNTIF(F76:K76,"Fail")</f>
        <v>0</v>
      </c>
      <c r="O76" s="27" t="str">
        <f aca="false">IF(M76=0,"-",M76/L76)</f>
        <v>-</v>
      </c>
    </row>
    <row r="77" customFormat="false" ht="19.5" hidden="false" customHeight="true" outlineLevel="0" collapsed="false">
      <c r="A77" s="5" t="s">
        <v>217</v>
      </c>
      <c r="B77" s="29" t="s">
        <v>174</v>
      </c>
      <c r="C77" s="23" t="s">
        <v>218</v>
      </c>
      <c r="D77" s="7" t="s">
        <v>219</v>
      </c>
      <c r="E77" s="8" t="s">
        <v>19</v>
      </c>
      <c r="F77" s="10" t="s">
        <v>21</v>
      </c>
      <c r="G77" s="10" t="s">
        <v>21</v>
      </c>
      <c r="H77" s="10" t="s">
        <v>21</v>
      </c>
      <c r="I77" s="10" t="s">
        <v>21</v>
      </c>
      <c r="J77" s="10" t="s">
        <v>21</v>
      </c>
      <c r="K77" s="10" t="s">
        <v>21</v>
      </c>
      <c r="L77" s="5" t="n">
        <f aca="false">COUNTA(F77:K77)</f>
        <v>6</v>
      </c>
      <c r="M77" s="24" t="n">
        <f aca="false">COUNTIF(F77:K77,"Pass")</f>
        <v>0</v>
      </c>
      <c r="N77" s="8" t="n">
        <f aca="false">COUNTIF(F77:K77,"Fail")</f>
        <v>0</v>
      </c>
      <c r="O77" s="25" t="str">
        <f aca="false">IF(M77=0,"-",M77/L77)</f>
        <v>-</v>
      </c>
    </row>
    <row r="78" customFormat="false" ht="19.5" hidden="false" customHeight="true" outlineLevel="0" collapsed="false">
      <c r="A78" s="11" t="s">
        <v>221</v>
      </c>
      <c r="B78" s="29" t="s">
        <v>174</v>
      </c>
      <c r="C78" s="26" t="s">
        <v>218</v>
      </c>
      <c r="D78" s="12" t="s">
        <v>222</v>
      </c>
      <c r="E78" s="14" t="s">
        <v>27</v>
      </c>
      <c r="F78" s="10" t="s">
        <v>21</v>
      </c>
      <c r="G78" s="10" t="s">
        <v>21</v>
      </c>
      <c r="H78" s="10" t="s">
        <v>21</v>
      </c>
      <c r="I78" s="10" t="s">
        <v>21</v>
      </c>
      <c r="J78" s="10" t="s">
        <v>21</v>
      </c>
      <c r="K78" s="10" t="s">
        <v>21</v>
      </c>
      <c r="L78" s="11" t="n">
        <f aca="false">COUNTA(F78:K78)</f>
        <v>6</v>
      </c>
      <c r="M78" s="24" t="n">
        <f aca="false">COUNTIF(F78:K78,"Pass")</f>
        <v>0</v>
      </c>
      <c r="N78" s="8" t="n">
        <f aca="false">COUNTIF(F78:K78,"Fail")</f>
        <v>0</v>
      </c>
      <c r="O78" s="27" t="str">
        <f aca="false">IF(M78=0,"-",M78/L78)</f>
        <v>-</v>
      </c>
    </row>
    <row r="79" customFormat="false" ht="19.5" hidden="false" customHeight="true" outlineLevel="0" collapsed="false">
      <c r="A79" s="5" t="s">
        <v>223</v>
      </c>
      <c r="B79" s="29" t="s">
        <v>174</v>
      </c>
      <c r="C79" s="23" t="s">
        <v>218</v>
      </c>
      <c r="D79" s="7" t="s">
        <v>224</v>
      </c>
      <c r="E79" s="15" t="s">
        <v>53</v>
      </c>
      <c r="F79" s="10" t="s">
        <v>21</v>
      </c>
      <c r="G79" s="10" t="s">
        <v>21</v>
      </c>
      <c r="H79" s="10" t="s">
        <v>21</v>
      </c>
      <c r="I79" s="10" t="s">
        <v>21</v>
      </c>
      <c r="J79" s="10" t="s">
        <v>21</v>
      </c>
      <c r="K79" s="10" t="s">
        <v>21</v>
      </c>
      <c r="L79" s="5" t="n">
        <f aca="false">COUNTA(F79:K79)</f>
        <v>6</v>
      </c>
      <c r="M79" s="24" t="n">
        <f aca="false">COUNTIF(F79:K79,"Pass")</f>
        <v>0</v>
      </c>
      <c r="N79" s="8" t="n">
        <f aca="false">COUNTIF(F79:K79,"Fail")</f>
        <v>0</v>
      </c>
      <c r="O79" s="25" t="str">
        <f aca="false">IF(M79=0,"-",M79/L79)</f>
        <v>-</v>
      </c>
    </row>
    <row r="80" customFormat="false" ht="19.5" hidden="false" customHeight="true" outlineLevel="0" collapsed="false">
      <c r="A80" s="11" t="s">
        <v>225</v>
      </c>
      <c r="B80" s="29" t="s">
        <v>174</v>
      </c>
      <c r="C80" s="26" t="s">
        <v>218</v>
      </c>
      <c r="D80" s="12" t="s">
        <v>226</v>
      </c>
      <c r="E80" s="14" t="s">
        <v>27</v>
      </c>
      <c r="F80" s="10" t="s">
        <v>21</v>
      </c>
      <c r="G80" s="10" t="s">
        <v>21</v>
      </c>
      <c r="H80" s="10" t="s">
        <v>21</v>
      </c>
      <c r="I80" s="10" t="s">
        <v>21</v>
      </c>
      <c r="J80" s="10" t="s">
        <v>21</v>
      </c>
      <c r="K80" s="10" t="s">
        <v>21</v>
      </c>
      <c r="L80" s="11" t="n">
        <f aca="false">COUNTA(F80:K80)</f>
        <v>6</v>
      </c>
      <c r="M80" s="24" t="n">
        <f aca="false">COUNTIF(F80:K80,"Pass")</f>
        <v>0</v>
      </c>
      <c r="N80" s="8" t="n">
        <f aca="false">COUNTIF(F80:K80,"Fail")</f>
        <v>0</v>
      </c>
      <c r="O80" s="27" t="str">
        <f aca="false">IF(M80=0,"-",M80/L80)</f>
        <v>-</v>
      </c>
    </row>
    <row r="81" customFormat="false" ht="19.5" hidden="false" customHeight="true" outlineLevel="0" collapsed="false">
      <c r="A81" s="5" t="s">
        <v>227</v>
      </c>
      <c r="B81" s="29" t="s">
        <v>174</v>
      </c>
      <c r="C81" s="23" t="s">
        <v>218</v>
      </c>
      <c r="D81" s="7" t="s">
        <v>228</v>
      </c>
      <c r="E81" s="14" t="s">
        <v>27</v>
      </c>
      <c r="F81" s="10" t="s">
        <v>21</v>
      </c>
      <c r="G81" s="10" t="s">
        <v>21</v>
      </c>
      <c r="H81" s="10" t="s">
        <v>21</v>
      </c>
      <c r="I81" s="10" t="s">
        <v>21</v>
      </c>
      <c r="J81" s="10" t="s">
        <v>21</v>
      </c>
      <c r="K81" s="10" t="s">
        <v>21</v>
      </c>
      <c r="L81" s="5" t="n">
        <f aca="false">COUNTA(F81:K81)</f>
        <v>6</v>
      </c>
      <c r="M81" s="24" t="n">
        <f aca="false">COUNTIF(F81:K81,"Pass")</f>
        <v>0</v>
      </c>
      <c r="N81" s="8" t="n">
        <f aca="false">COUNTIF(F81:K81,"Fail")</f>
        <v>0</v>
      </c>
      <c r="O81" s="25" t="str">
        <f aca="false">IF(M81=0,"-",M81/L81)</f>
        <v>-</v>
      </c>
    </row>
    <row r="82" customFormat="false" ht="19.5" hidden="false" customHeight="true" outlineLevel="0" collapsed="false">
      <c r="A82" s="11" t="s">
        <v>229</v>
      </c>
      <c r="B82" s="29" t="s">
        <v>174</v>
      </c>
      <c r="C82" s="26" t="s">
        <v>218</v>
      </c>
      <c r="D82" s="12" t="s">
        <v>230</v>
      </c>
      <c r="E82" s="14" t="s">
        <v>27</v>
      </c>
      <c r="F82" s="10" t="s">
        <v>21</v>
      </c>
      <c r="G82" s="10" t="s">
        <v>21</v>
      </c>
      <c r="H82" s="10" t="s">
        <v>21</v>
      </c>
      <c r="I82" s="10" t="s">
        <v>21</v>
      </c>
      <c r="J82" s="10" t="s">
        <v>21</v>
      </c>
      <c r="K82" s="10" t="s">
        <v>21</v>
      </c>
      <c r="L82" s="11" t="n">
        <f aca="false">COUNTA(F82:K82)</f>
        <v>6</v>
      </c>
      <c r="M82" s="24" t="n">
        <f aca="false">COUNTIF(F82:K82,"Pass")</f>
        <v>0</v>
      </c>
      <c r="N82" s="8" t="n">
        <f aca="false">COUNTIF(F82:K82,"Fail")</f>
        <v>0</v>
      </c>
      <c r="O82" s="27" t="str">
        <f aca="false">IF(M82=0,"-",M82/L82)</f>
        <v>-</v>
      </c>
    </row>
    <row r="83" customFormat="false" ht="19.5" hidden="false" customHeight="true" outlineLevel="0" collapsed="false">
      <c r="A83" s="5" t="s">
        <v>231</v>
      </c>
      <c r="B83" s="29" t="s">
        <v>174</v>
      </c>
      <c r="C83" s="23" t="s">
        <v>218</v>
      </c>
      <c r="D83" s="7" t="s">
        <v>232</v>
      </c>
      <c r="E83" s="8" t="s">
        <v>19</v>
      </c>
      <c r="F83" s="10" t="s">
        <v>21</v>
      </c>
      <c r="G83" s="10" t="s">
        <v>21</v>
      </c>
      <c r="H83" s="10" t="s">
        <v>21</v>
      </c>
      <c r="I83" s="10" t="s">
        <v>21</v>
      </c>
      <c r="J83" s="10" t="s">
        <v>21</v>
      </c>
      <c r="K83" s="10" t="s">
        <v>21</v>
      </c>
      <c r="L83" s="5" t="n">
        <f aca="false">COUNTA(F83:K83)</f>
        <v>6</v>
      </c>
      <c r="M83" s="24" t="n">
        <f aca="false">COUNTIF(F83:K83,"Pass")</f>
        <v>0</v>
      </c>
      <c r="N83" s="8" t="n">
        <f aca="false">COUNTIF(F83:K83,"Fail")</f>
        <v>0</v>
      </c>
      <c r="O83" s="25" t="str">
        <f aca="false">IF(M83=0,"-",M83/L83)</f>
        <v>-</v>
      </c>
    </row>
    <row r="84" customFormat="false" ht="19.5" hidden="false" customHeight="true" outlineLevel="0" collapsed="false">
      <c r="A84" s="11" t="s">
        <v>234</v>
      </c>
      <c r="B84" s="29" t="s">
        <v>174</v>
      </c>
      <c r="C84" s="26" t="s">
        <v>218</v>
      </c>
      <c r="D84" s="12" t="s">
        <v>235</v>
      </c>
      <c r="E84" s="8" t="s">
        <v>19</v>
      </c>
      <c r="F84" s="10" t="s">
        <v>21</v>
      </c>
      <c r="G84" s="10" t="s">
        <v>21</v>
      </c>
      <c r="H84" s="10" t="s">
        <v>21</v>
      </c>
      <c r="I84" s="10" t="s">
        <v>21</v>
      </c>
      <c r="J84" s="10" t="s">
        <v>21</v>
      </c>
      <c r="K84" s="10" t="s">
        <v>21</v>
      </c>
      <c r="L84" s="11" t="n">
        <f aca="false">COUNTA(F84:K84)</f>
        <v>6</v>
      </c>
      <c r="M84" s="24" t="n">
        <f aca="false">COUNTIF(F84:K84,"Pass")</f>
        <v>0</v>
      </c>
      <c r="N84" s="8" t="n">
        <f aca="false">COUNTIF(F84:K84,"Fail")</f>
        <v>0</v>
      </c>
      <c r="O84" s="27" t="str">
        <f aca="false">IF(M84=0,"-",M84/L84)</f>
        <v>-</v>
      </c>
    </row>
    <row r="85" customFormat="false" ht="19.5" hidden="false" customHeight="true" outlineLevel="0" collapsed="false">
      <c r="A85" s="5" t="s">
        <v>236</v>
      </c>
      <c r="B85" s="29" t="s">
        <v>174</v>
      </c>
      <c r="C85" s="23" t="s">
        <v>218</v>
      </c>
      <c r="D85" s="7" t="s">
        <v>237</v>
      </c>
      <c r="E85" s="14" t="s">
        <v>27</v>
      </c>
      <c r="F85" s="10" t="s">
        <v>21</v>
      </c>
      <c r="G85" s="10" t="s">
        <v>21</v>
      </c>
      <c r="H85" s="10" t="s">
        <v>21</v>
      </c>
      <c r="I85" s="10" t="s">
        <v>21</v>
      </c>
      <c r="J85" s="10" t="s">
        <v>21</v>
      </c>
      <c r="K85" s="10" t="s">
        <v>21</v>
      </c>
      <c r="L85" s="5" t="n">
        <f aca="false">COUNTA(F85:K85)</f>
        <v>6</v>
      </c>
      <c r="M85" s="24" t="n">
        <f aca="false">COUNTIF(F85:K85,"Pass")</f>
        <v>0</v>
      </c>
      <c r="N85" s="8" t="n">
        <f aca="false">COUNTIF(F85:K85,"Fail")</f>
        <v>0</v>
      </c>
      <c r="O85" s="25" t="str">
        <f aca="false">IF(M85=0,"-",M85/L85)</f>
        <v>-</v>
      </c>
    </row>
    <row r="86" customFormat="false" ht="19.5" hidden="false" customHeight="true" outlineLevel="0" collapsed="false">
      <c r="A86" s="11" t="s">
        <v>238</v>
      </c>
      <c r="B86" s="29" t="s">
        <v>174</v>
      </c>
      <c r="C86" s="26" t="s">
        <v>218</v>
      </c>
      <c r="D86" s="12" t="s">
        <v>239</v>
      </c>
      <c r="E86" s="8" t="s">
        <v>19</v>
      </c>
      <c r="F86" s="10" t="s">
        <v>21</v>
      </c>
      <c r="G86" s="10" t="s">
        <v>21</v>
      </c>
      <c r="H86" s="10" t="s">
        <v>21</v>
      </c>
      <c r="I86" s="10" t="s">
        <v>21</v>
      </c>
      <c r="J86" s="10" t="s">
        <v>21</v>
      </c>
      <c r="K86" s="10" t="s">
        <v>21</v>
      </c>
      <c r="L86" s="11" t="n">
        <f aca="false">COUNTA(F86:K86)</f>
        <v>6</v>
      </c>
      <c r="M86" s="24" t="n">
        <f aca="false">COUNTIF(F86:K86,"Pass")</f>
        <v>0</v>
      </c>
      <c r="N86" s="8" t="n">
        <f aca="false">COUNTIF(F86:K86,"Fail")</f>
        <v>0</v>
      </c>
      <c r="O86" s="27" t="str">
        <f aca="false">IF(M86=0,"-",M86/L86)</f>
        <v>-</v>
      </c>
    </row>
    <row r="87" customFormat="false" ht="19.5" hidden="false" customHeight="true" outlineLevel="0" collapsed="false">
      <c r="A87" s="5" t="s">
        <v>241</v>
      </c>
      <c r="B87" s="29" t="s">
        <v>174</v>
      </c>
      <c r="C87" s="23" t="s">
        <v>242</v>
      </c>
      <c r="D87" s="7" t="s">
        <v>243</v>
      </c>
      <c r="E87" s="8" t="s">
        <v>19</v>
      </c>
      <c r="F87" s="10" t="s">
        <v>21</v>
      </c>
      <c r="G87" s="10" t="s">
        <v>21</v>
      </c>
      <c r="H87" s="10" t="s">
        <v>21</v>
      </c>
      <c r="I87" s="10" t="s">
        <v>21</v>
      </c>
      <c r="J87" s="10" t="s">
        <v>21</v>
      </c>
      <c r="K87" s="10" t="s">
        <v>21</v>
      </c>
      <c r="L87" s="5" t="n">
        <f aca="false">COUNTA(F87:K87)</f>
        <v>6</v>
      </c>
      <c r="M87" s="24" t="n">
        <f aca="false">COUNTIF(F87:K87,"Pass")</f>
        <v>0</v>
      </c>
      <c r="N87" s="8" t="n">
        <f aca="false">COUNTIF(F87:K87,"Fail")</f>
        <v>0</v>
      </c>
      <c r="O87" s="25" t="str">
        <f aca="false">IF(M87=0,"-",M87/L87)</f>
        <v>-</v>
      </c>
    </row>
    <row r="88" customFormat="false" ht="19.5" hidden="false" customHeight="true" outlineLevel="0" collapsed="false">
      <c r="A88" s="11" t="s">
        <v>244</v>
      </c>
      <c r="B88" s="29" t="s">
        <v>174</v>
      </c>
      <c r="C88" s="26" t="s">
        <v>242</v>
      </c>
      <c r="D88" s="12" t="s">
        <v>245</v>
      </c>
      <c r="E88" s="15" t="s">
        <v>53</v>
      </c>
      <c r="F88" s="10" t="s">
        <v>21</v>
      </c>
      <c r="G88" s="10" t="s">
        <v>21</v>
      </c>
      <c r="H88" s="10" t="s">
        <v>21</v>
      </c>
      <c r="I88" s="10" t="s">
        <v>21</v>
      </c>
      <c r="J88" s="10" t="s">
        <v>21</v>
      </c>
      <c r="K88" s="10" t="s">
        <v>21</v>
      </c>
      <c r="L88" s="11" t="n">
        <f aca="false">COUNTA(F88:K88)</f>
        <v>6</v>
      </c>
      <c r="M88" s="24" t="n">
        <f aca="false">COUNTIF(F88:K88,"Pass")</f>
        <v>0</v>
      </c>
      <c r="N88" s="8" t="n">
        <f aca="false">COUNTIF(F88:K88,"Fail")</f>
        <v>0</v>
      </c>
      <c r="O88" s="27" t="str">
        <f aca="false">IF(M88=0,"-",M88/L88)</f>
        <v>-</v>
      </c>
    </row>
    <row r="89" customFormat="false" ht="19.5" hidden="false" customHeight="true" outlineLevel="0" collapsed="false">
      <c r="A89" s="5" t="s">
        <v>246</v>
      </c>
      <c r="B89" s="29" t="s">
        <v>174</v>
      </c>
      <c r="C89" s="23" t="s">
        <v>242</v>
      </c>
      <c r="D89" s="7" t="s">
        <v>247</v>
      </c>
      <c r="E89" s="15" t="s">
        <v>53</v>
      </c>
      <c r="F89" s="10" t="s">
        <v>21</v>
      </c>
      <c r="G89" s="10" t="s">
        <v>21</v>
      </c>
      <c r="H89" s="10" t="s">
        <v>21</v>
      </c>
      <c r="I89" s="10" t="s">
        <v>21</v>
      </c>
      <c r="J89" s="10" t="s">
        <v>21</v>
      </c>
      <c r="K89" s="10" t="s">
        <v>21</v>
      </c>
      <c r="L89" s="5" t="n">
        <f aca="false">COUNTA(F89:K89)</f>
        <v>6</v>
      </c>
      <c r="M89" s="24" t="n">
        <f aca="false">COUNTIF(F89:K89,"Pass")</f>
        <v>0</v>
      </c>
      <c r="N89" s="8" t="n">
        <f aca="false">COUNTIF(F89:K89,"Fail")</f>
        <v>0</v>
      </c>
      <c r="O89" s="25" t="str">
        <f aca="false">IF(M89=0,"-",M89/L89)</f>
        <v>-</v>
      </c>
    </row>
    <row r="90" customFormat="false" ht="19.5" hidden="false" customHeight="true" outlineLevel="0" collapsed="false">
      <c r="A90" s="11" t="s">
        <v>248</v>
      </c>
      <c r="B90" s="29" t="s">
        <v>174</v>
      </c>
      <c r="C90" s="26" t="s">
        <v>242</v>
      </c>
      <c r="D90" s="12" t="s">
        <v>249</v>
      </c>
      <c r="E90" s="14" t="s">
        <v>27</v>
      </c>
      <c r="F90" s="10" t="s">
        <v>21</v>
      </c>
      <c r="G90" s="10" t="s">
        <v>21</v>
      </c>
      <c r="H90" s="10" t="s">
        <v>21</v>
      </c>
      <c r="I90" s="10" t="s">
        <v>21</v>
      </c>
      <c r="J90" s="10" t="s">
        <v>21</v>
      </c>
      <c r="K90" s="10" t="s">
        <v>21</v>
      </c>
      <c r="L90" s="11" t="n">
        <f aca="false">COUNTA(F90:K90)</f>
        <v>6</v>
      </c>
      <c r="M90" s="24" t="n">
        <f aca="false">COUNTIF(F90:K90,"Pass")</f>
        <v>0</v>
      </c>
      <c r="N90" s="8" t="n">
        <f aca="false">COUNTIF(F90:K90,"Fail")</f>
        <v>0</v>
      </c>
      <c r="O90" s="27" t="str">
        <f aca="false">IF(M90=0,"-",M90/L90)</f>
        <v>-</v>
      </c>
    </row>
    <row r="91" customFormat="false" ht="19.5" hidden="false" customHeight="true" outlineLevel="0" collapsed="false">
      <c r="A91" s="5" t="s">
        <v>250</v>
      </c>
      <c r="B91" s="29" t="s">
        <v>174</v>
      </c>
      <c r="C91" s="23" t="s">
        <v>251</v>
      </c>
      <c r="D91" s="7" t="s">
        <v>252</v>
      </c>
      <c r="E91" s="14" t="s">
        <v>27</v>
      </c>
      <c r="F91" s="10" t="s">
        <v>21</v>
      </c>
      <c r="G91" s="10" t="s">
        <v>21</v>
      </c>
      <c r="H91" s="10" t="s">
        <v>21</v>
      </c>
      <c r="I91" s="10" t="s">
        <v>21</v>
      </c>
      <c r="J91" s="10" t="s">
        <v>21</v>
      </c>
      <c r="K91" s="10" t="s">
        <v>21</v>
      </c>
      <c r="L91" s="5" t="n">
        <f aca="false">COUNTA(F91:K91)</f>
        <v>6</v>
      </c>
      <c r="M91" s="24" t="n">
        <f aca="false">COUNTIF(F91:K91,"Pass")</f>
        <v>0</v>
      </c>
      <c r="N91" s="8" t="n">
        <f aca="false">COUNTIF(F91:K91,"Fail")</f>
        <v>0</v>
      </c>
      <c r="O91" s="25" t="str">
        <f aca="false">IF(M91=0,"-",M91/L91)</f>
        <v>-</v>
      </c>
    </row>
    <row r="92" customFormat="false" ht="19.5" hidden="false" customHeight="true" outlineLevel="0" collapsed="false">
      <c r="A92" s="11" t="s">
        <v>254</v>
      </c>
      <c r="B92" s="29" t="s">
        <v>174</v>
      </c>
      <c r="C92" s="26" t="s">
        <v>251</v>
      </c>
      <c r="D92" s="12" t="s">
        <v>255</v>
      </c>
      <c r="E92" s="14" t="s">
        <v>27</v>
      </c>
      <c r="F92" s="10" t="s">
        <v>21</v>
      </c>
      <c r="G92" s="10" t="s">
        <v>21</v>
      </c>
      <c r="H92" s="10" t="s">
        <v>21</v>
      </c>
      <c r="I92" s="10" t="s">
        <v>21</v>
      </c>
      <c r="J92" s="10" t="s">
        <v>21</v>
      </c>
      <c r="K92" s="10" t="s">
        <v>21</v>
      </c>
      <c r="L92" s="11" t="n">
        <f aca="false">COUNTA(F92:K92)</f>
        <v>6</v>
      </c>
      <c r="M92" s="24" t="n">
        <f aca="false">COUNTIF(F92:K92,"Pass")</f>
        <v>0</v>
      </c>
      <c r="N92" s="8" t="n">
        <f aca="false">COUNTIF(F92:K92,"Fail")</f>
        <v>0</v>
      </c>
      <c r="O92" s="27" t="str">
        <f aca="false">IF(M92=0,"-",M92/L92)</f>
        <v>-</v>
      </c>
    </row>
    <row r="93" customFormat="false" ht="19.5" hidden="false" customHeight="true" outlineLevel="0" collapsed="false">
      <c r="A93" s="5" t="s">
        <v>256</v>
      </c>
      <c r="B93" s="29" t="s">
        <v>174</v>
      </c>
      <c r="C93" s="23" t="s">
        <v>251</v>
      </c>
      <c r="D93" s="7" t="s">
        <v>257</v>
      </c>
      <c r="E93" s="14" t="s">
        <v>27</v>
      </c>
      <c r="F93" s="10" t="s">
        <v>21</v>
      </c>
      <c r="G93" s="10" t="s">
        <v>21</v>
      </c>
      <c r="H93" s="10" t="s">
        <v>21</v>
      </c>
      <c r="I93" s="10" t="s">
        <v>21</v>
      </c>
      <c r="J93" s="10" t="s">
        <v>21</v>
      </c>
      <c r="K93" s="10" t="s">
        <v>21</v>
      </c>
      <c r="L93" s="5" t="n">
        <f aca="false">COUNTA(F93:K93)</f>
        <v>6</v>
      </c>
      <c r="M93" s="24" t="n">
        <f aca="false">COUNTIF(F93:K93,"Pass")</f>
        <v>0</v>
      </c>
      <c r="N93" s="8" t="n">
        <f aca="false">COUNTIF(F93:K93,"Fail")</f>
        <v>0</v>
      </c>
      <c r="O93" s="25" t="str">
        <f aca="false">IF(M93=0,"-",M93/L93)</f>
        <v>-</v>
      </c>
    </row>
    <row r="94" customFormat="false" ht="19.5" hidden="false" customHeight="true" outlineLevel="0" collapsed="false">
      <c r="A94" s="11" t="s">
        <v>258</v>
      </c>
      <c r="B94" s="29" t="s">
        <v>174</v>
      </c>
      <c r="C94" s="26" t="s">
        <v>251</v>
      </c>
      <c r="D94" s="12" t="s">
        <v>259</v>
      </c>
      <c r="E94" s="15" t="s">
        <v>53</v>
      </c>
      <c r="F94" s="10" t="s">
        <v>21</v>
      </c>
      <c r="G94" s="10" t="s">
        <v>21</v>
      </c>
      <c r="H94" s="10" t="s">
        <v>21</v>
      </c>
      <c r="I94" s="10" t="s">
        <v>21</v>
      </c>
      <c r="J94" s="10" t="s">
        <v>21</v>
      </c>
      <c r="K94" s="10" t="s">
        <v>21</v>
      </c>
      <c r="L94" s="11" t="n">
        <f aca="false">COUNTA(F94:K94)</f>
        <v>6</v>
      </c>
      <c r="M94" s="24" t="n">
        <f aca="false">COUNTIF(F94:K94,"Pass")</f>
        <v>0</v>
      </c>
      <c r="N94" s="8" t="n">
        <f aca="false">COUNTIF(F94:K94,"Fail")</f>
        <v>0</v>
      </c>
      <c r="O94" s="27" t="str">
        <f aca="false">IF(M94=0,"-",M94/L94)</f>
        <v>-</v>
      </c>
    </row>
    <row r="95" customFormat="false" ht="19.5" hidden="false" customHeight="true" outlineLevel="0" collapsed="false">
      <c r="A95" s="5" t="s">
        <v>260</v>
      </c>
      <c r="B95" s="29" t="s">
        <v>174</v>
      </c>
      <c r="C95" s="23" t="s">
        <v>251</v>
      </c>
      <c r="D95" s="7" t="s">
        <v>261</v>
      </c>
      <c r="E95" s="15" t="s">
        <v>53</v>
      </c>
      <c r="F95" s="10" t="s">
        <v>21</v>
      </c>
      <c r="G95" s="10" t="s">
        <v>21</v>
      </c>
      <c r="H95" s="10" t="s">
        <v>21</v>
      </c>
      <c r="I95" s="10" t="s">
        <v>21</v>
      </c>
      <c r="J95" s="10" t="s">
        <v>21</v>
      </c>
      <c r="K95" s="10" t="s">
        <v>21</v>
      </c>
      <c r="L95" s="5" t="n">
        <f aca="false">COUNTA(F95:K95)</f>
        <v>6</v>
      </c>
      <c r="M95" s="24" t="n">
        <f aca="false">COUNTIF(F95:K95,"Pass")</f>
        <v>0</v>
      </c>
      <c r="N95" s="8" t="n">
        <f aca="false">COUNTIF(F95:K95,"Fail")</f>
        <v>0</v>
      </c>
      <c r="O95" s="25" t="str">
        <f aca="false">IF(M95=0,"-",M95/L95)</f>
        <v>-</v>
      </c>
    </row>
    <row r="96" customFormat="false" ht="19.5" hidden="false" customHeight="true" outlineLevel="0" collapsed="false">
      <c r="A96" s="11" t="s">
        <v>262</v>
      </c>
      <c r="B96" s="29" t="s">
        <v>174</v>
      </c>
      <c r="C96" s="26" t="s">
        <v>263</v>
      </c>
      <c r="D96" s="12" t="s">
        <v>264</v>
      </c>
      <c r="E96" s="8" t="s">
        <v>19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  <c r="L96" s="11" t="n">
        <f aca="false">COUNTA(F96:K96)</f>
        <v>6</v>
      </c>
      <c r="M96" s="24" t="n">
        <f aca="false">COUNTIF(F96:K96,"Pass")</f>
        <v>0</v>
      </c>
      <c r="N96" s="8" t="n">
        <f aca="false">COUNTIF(F96:K96,"Fail")</f>
        <v>0</v>
      </c>
      <c r="O96" s="27" t="str">
        <f aca="false">IF(M96=0,"-",M96/L96)</f>
        <v>-</v>
      </c>
    </row>
    <row r="97" customFormat="false" ht="19.5" hidden="false" customHeight="true" outlineLevel="0" collapsed="false">
      <c r="A97" s="5" t="s">
        <v>265</v>
      </c>
      <c r="B97" s="29" t="s">
        <v>174</v>
      </c>
      <c r="C97" s="23" t="s">
        <v>263</v>
      </c>
      <c r="D97" s="7" t="s">
        <v>266</v>
      </c>
      <c r="E97" s="15" t="s">
        <v>53</v>
      </c>
      <c r="F97" s="10" t="s">
        <v>21</v>
      </c>
      <c r="G97" s="10" t="s">
        <v>21</v>
      </c>
      <c r="H97" s="10" t="s">
        <v>21</v>
      </c>
      <c r="I97" s="10" t="s">
        <v>21</v>
      </c>
      <c r="J97" s="10" t="s">
        <v>21</v>
      </c>
      <c r="K97" s="10" t="s">
        <v>21</v>
      </c>
      <c r="L97" s="5" t="n">
        <f aca="false">COUNTA(F97:K97)</f>
        <v>6</v>
      </c>
      <c r="M97" s="24" t="n">
        <f aca="false">COUNTIF(F97:K97,"Pass")</f>
        <v>0</v>
      </c>
      <c r="N97" s="8" t="n">
        <f aca="false">COUNTIF(F97:K97,"Fail")</f>
        <v>0</v>
      </c>
      <c r="O97" s="25" t="str">
        <f aca="false">IF(M97=0,"-",M97/L97)</f>
        <v>-</v>
      </c>
    </row>
    <row r="98" customFormat="false" ht="19.5" hidden="false" customHeight="true" outlineLevel="0" collapsed="false">
      <c r="A98" s="11" t="s">
        <v>268</v>
      </c>
      <c r="B98" s="29" t="s">
        <v>174</v>
      </c>
      <c r="C98" s="26" t="s">
        <v>263</v>
      </c>
      <c r="D98" s="12" t="s">
        <v>269</v>
      </c>
      <c r="E98" s="15" t="s">
        <v>53</v>
      </c>
      <c r="F98" s="10" t="s">
        <v>21</v>
      </c>
      <c r="G98" s="10" t="s">
        <v>21</v>
      </c>
      <c r="H98" s="10" t="s">
        <v>21</v>
      </c>
      <c r="I98" s="10" t="s">
        <v>21</v>
      </c>
      <c r="J98" s="10" t="s">
        <v>21</v>
      </c>
      <c r="K98" s="10" t="s">
        <v>21</v>
      </c>
      <c r="L98" s="11" t="n">
        <f aca="false">COUNTA(F98:K98)</f>
        <v>6</v>
      </c>
      <c r="M98" s="24" t="n">
        <f aca="false">COUNTIF(F98:K98,"Pass")</f>
        <v>0</v>
      </c>
      <c r="N98" s="8" t="n">
        <f aca="false">COUNTIF(F98:K98,"Fail")</f>
        <v>0</v>
      </c>
      <c r="O98" s="27" t="str">
        <f aca="false">IF(M98=0,"-",M98/L98)</f>
        <v>-</v>
      </c>
    </row>
    <row r="99" customFormat="false" ht="19.5" hidden="false" customHeight="true" outlineLevel="0" collapsed="false">
      <c r="A99" s="5" t="s">
        <v>270</v>
      </c>
      <c r="B99" s="29" t="s">
        <v>174</v>
      </c>
      <c r="C99" s="23" t="s">
        <v>263</v>
      </c>
      <c r="D99" s="7" t="s">
        <v>271</v>
      </c>
      <c r="E99" s="14" t="s">
        <v>27</v>
      </c>
      <c r="F99" s="10" t="s">
        <v>21</v>
      </c>
      <c r="G99" s="10" t="s">
        <v>21</v>
      </c>
      <c r="H99" s="10" t="s">
        <v>21</v>
      </c>
      <c r="I99" s="10" t="s">
        <v>21</v>
      </c>
      <c r="J99" s="10" t="s">
        <v>21</v>
      </c>
      <c r="K99" s="10" t="s">
        <v>21</v>
      </c>
      <c r="L99" s="5" t="n">
        <f aca="false">COUNTA(F99:K99)</f>
        <v>6</v>
      </c>
      <c r="M99" s="24" t="n">
        <f aca="false">COUNTIF(F99:K99,"Pass")</f>
        <v>0</v>
      </c>
      <c r="N99" s="8" t="n">
        <f aca="false">COUNTIF(F99:K99,"Fail")</f>
        <v>0</v>
      </c>
      <c r="O99" s="25" t="str">
        <f aca="false">IF(M99=0,"-",M99/L99)</f>
        <v>-</v>
      </c>
    </row>
    <row r="100" customFormat="false" ht="19.5" hidden="false" customHeight="true" outlineLevel="0" collapsed="false">
      <c r="A100" s="11" t="s">
        <v>272</v>
      </c>
      <c r="B100" s="29" t="s">
        <v>174</v>
      </c>
      <c r="C100" s="26" t="s">
        <v>263</v>
      </c>
      <c r="D100" s="12" t="s">
        <v>273</v>
      </c>
      <c r="E100" s="14" t="s">
        <v>27</v>
      </c>
      <c r="F100" s="10" t="s">
        <v>21</v>
      </c>
      <c r="G100" s="10" t="s">
        <v>21</v>
      </c>
      <c r="H100" s="10" t="s">
        <v>21</v>
      </c>
      <c r="I100" s="10" t="s">
        <v>21</v>
      </c>
      <c r="J100" s="10" t="s">
        <v>21</v>
      </c>
      <c r="K100" s="10" t="s">
        <v>21</v>
      </c>
      <c r="L100" s="11" t="n">
        <f aca="false">COUNTA(F100:K100)</f>
        <v>6</v>
      </c>
      <c r="M100" s="24" t="n">
        <f aca="false">COUNTIF(F100:K100,"Pass")</f>
        <v>0</v>
      </c>
      <c r="N100" s="8" t="n">
        <f aca="false">COUNTIF(F100:K100,"Fail")</f>
        <v>0</v>
      </c>
      <c r="O100" s="27" t="str">
        <f aca="false">IF(M100=0,"-",M100/L100)</f>
        <v>-</v>
      </c>
    </row>
    <row r="101" customFormat="false" ht="18" hidden="false" customHeight="true" outlineLevel="0" collapsed="false">
      <c r="A101" s="4" t="s">
        <v>274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customFormat="false" ht="19.5" hidden="false" customHeight="true" outlineLevel="0" collapsed="false">
      <c r="A102" s="5" t="s">
        <v>275</v>
      </c>
      <c r="B102" s="30" t="s">
        <v>276</v>
      </c>
      <c r="C102" s="23" t="s">
        <v>277</v>
      </c>
      <c r="D102" s="7" t="s">
        <v>278</v>
      </c>
      <c r="E102" s="8" t="s">
        <v>19</v>
      </c>
      <c r="F102" s="10" t="s">
        <v>21</v>
      </c>
      <c r="G102" s="10" t="s">
        <v>21</v>
      </c>
      <c r="H102" s="10" t="s">
        <v>21</v>
      </c>
      <c r="I102" s="10" t="s">
        <v>21</v>
      </c>
      <c r="J102" s="10" t="s">
        <v>21</v>
      </c>
      <c r="K102" s="10" t="s">
        <v>21</v>
      </c>
      <c r="L102" s="5" t="n">
        <f aca="false">COUNTA(F102:K102)</f>
        <v>6</v>
      </c>
      <c r="M102" s="24" t="n">
        <f aca="false">COUNTIF(F102:K102,"Pass")</f>
        <v>0</v>
      </c>
      <c r="N102" s="8" t="n">
        <f aca="false">COUNTIF(F102:K102,"Fail")</f>
        <v>0</v>
      </c>
      <c r="O102" s="25" t="str">
        <f aca="false">IF(M102=0,"-",M102/L102)</f>
        <v>-</v>
      </c>
    </row>
    <row r="103" customFormat="false" ht="19.5" hidden="false" customHeight="true" outlineLevel="0" collapsed="false">
      <c r="A103" s="11" t="s">
        <v>280</v>
      </c>
      <c r="B103" s="30" t="s">
        <v>276</v>
      </c>
      <c r="C103" s="26" t="s">
        <v>277</v>
      </c>
      <c r="D103" s="12" t="s">
        <v>281</v>
      </c>
      <c r="E103" s="8" t="s">
        <v>19</v>
      </c>
      <c r="F103" s="10" t="s">
        <v>21</v>
      </c>
      <c r="G103" s="10" t="s">
        <v>21</v>
      </c>
      <c r="H103" s="10" t="s">
        <v>21</v>
      </c>
      <c r="I103" s="10" t="s">
        <v>21</v>
      </c>
      <c r="J103" s="10" t="s">
        <v>21</v>
      </c>
      <c r="K103" s="10" t="s">
        <v>21</v>
      </c>
      <c r="L103" s="11" t="n">
        <f aca="false">COUNTA(F103:K103)</f>
        <v>6</v>
      </c>
      <c r="M103" s="24" t="n">
        <f aca="false">COUNTIF(F103:K103,"Pass")</f>
        <v>0</v>
      </c>
      <c r="N103" s="8" t="n">
        <f aca="false">COUNTIF(F103:K103,"Fail")</f>
        <v>0</v>
      </c>
      <c r="O103" s="27" t="str">
        <f aca="false">IF(M103=0,"-",M103/L103)</f>
        <v>-</v>
      </c>
    </row>
    <row r="104" customFormat="false" ht="19.5" hidden="false" customHeight="true" outlineLevel="0" collapsed="false">
      <c r="A104" s="5" t="s">
        <v>283</v>
      </c>
      <c r="B104" s="30" t="s">
        <v>276</v>
      </c>
      <c r="C104" s="23" t="s">
        <v>277</v>
      </c>
      <c r="D104" s="7" t="s">
        <v>284</v>
      </c>
      <c r="E104" s="8" t="s">
        <v>19</v>
      </c>
      <c r="F104" s="10" t="s">
        <v>21</v>
      </c>
      <c r="G104" s="10" t="s">
        <v>21</v>
      </c>
      <c r="H104" s="10" t="s">
        <v>21</v>
      </c>
      <c r="I104" s="10" t="s">
        <v>21</v>
      </c>
      <c r="J104" s="10" t="s">
        <v>21</v>
      </c>
      <c r="K104" s="10" t="s">
        <v>21</v>
      </c>
      <c r="L104" s="5" t="n">
        <f aca="false">COUNTA(F104:K104)</f>
        <v>6</v>
      </c>
      <c r="M104" s="24" t="n">
        <f aca="false">COUNTIF(F104:K104,"Pass")</f>
        <v>0</v>
      </c>
      <c r="N104" s="8" t="n">
        <f aca="false">COUNTIF(F104:K104,"Fail")</f>
        <v>0</v>
      </c>
      <c r="O104" s="25" t="str">
        <f aca="false">IF(M104=0,"-",M104/L104)</f>
        <v>-</v>
      </c>
    </row>
    <row r="105" customFormat="false" ht="19.5" hidden="false" customHeight="true" outlineLevel="0" collapsed="false">
      <c r="A105" s="11" t="s">
        <v>286</v>
      </c>
      <c r="B105" s="30" t="s">
        <v>276</v>
      </c>
      <c r="C105" s="26" t="s">
        <v>277</v>
      </c>
      <c r="D105" s="12" t="s">
        <v>287</v>
      </c>
      <c r="E105" s="8" t="s">
        <v>19</v>
      </c>
      <c r="F105" s="10" t="s">
        <v>21</v>
      </c>
      <c r="G105" s="10" t="s">
        <v>21</v>
      </c>
      <c r="H105" s="10" t="s">
        <v>21</v>
      </c>
      <c r="I105" s="10" t="s">
        <v>21</v>
      </c>
      <c r="J105" s="10" t="s">
        <v>21</v>
      </c>
      <c r="K105" s="10" t="s">
        <v>21</v>
      </c>
      <c r="L105" s="11" t="n">
        <f aca="false">COUNTA(F105:K105)</f>
        <v>6</v>
      </c>
      <c r="M105" s="24" t="n">
        <f aca="false">COUNTIF(F105:K105,"Pass")</f>
        <v>0</v>
      </c>
      <c r="N105" s="8" t="n">
        <f aca="false">COUNTIF(F105:K105,"Fail")</f>
        <v>0</v>
      </c>
      <c r="O105" s="27" t="str">
        <f aca="false">IF(M105=0,"-",M105/L105)</f>
        <v>-</v>
      </c>
    </row>
    <row r="106" customFormat="false" ht="19.5" hidden="false" customHeight="true" outlineLevel="0" collapsed="false">
      <c r="A106" s="5" t="s">
        <v>288</v>
      </c>
      <c r="B106" s="30" t="s">
        <v>276</v>
      </c>
      <c r="C106" s="23" t="s">
        <v>277</v>
      </c>
      <c r="D106" s="7" t="s">
        <v>289</v>
      </c>
      <c r="E106" s="14" t="s">
        <v>27</v>
      </c>
      <c r="F106" s="10" t="s">
        <v>21</v>
      </c>
      <c r="G106" s="10" t="s">
        <v>21</v>
      </c>
      <c r="H106" s="10" t="s">
        <v>21</v>
      </c>
      <c r="I106" s="10" t="s">
        <v>21</v>
      </c>
      <c r="J106" s="10" t="s">
        <v>21</v>
      </c>
      <c r="K106" s="10" t="s">
        <v>21</v>
      </c>
      <c r="L106" s="5" t="n">
        <f aca="false">COUNTA(F106:K106)</f>
        <v>6</v>
      </c>
      <c r="M106" s="24" t="n">
        <f aca="false">COUNTIF(F106:K106,"Pass")</f>
        <v>0</v>
      </c>
      <c r="N106" s="8" t="n">
        <f aca="false">COUNTIF(F106:K106,"Fail")</f>
        <v>0</v>
      </c>
      <c r="O106" s="25" t="str">
        <f aca="false">IF(M106=0,"-",M106/L106)</f>
        <v>-</v>
      </c>
    </row>
    <row r="107" customFormat="false" ht="19.5" hidden="false" customHeight="true" outlineLevel="0" collapsed="false">
      <c r="A107" s="11" t="s">
        <v>290</v>
      </c>
      <c r="B107" s="30" t="s">
        <v>276</v>
      </c>
      <c r="C107" s="26" t="s">
        <v>277</v>
      </c>
      <c r="D107" s="12" t="s">
        <v>291</v>
      </c>
      <c r="E107" s="14" t="s">
        <v>27</v>
      </c>
      <c r="F107" s="10" t="s">
        <v>21</v>
      </c>
      <c r="G107" s="10" t="s">
        <v>21</v>
      </c>
      <c r="H107" s="10" t="s">
        <v>21</v>
      </c>
      <c r="I107" s="10" t="s">
        <v>21</v>
      </c>
      <c r="J107" s="10" t="s">
        <v>21</v>
      </c>
      <c r="K107" s="10" t="s">
        <v>21</v>
      </c>
      <c r="L107" s="11" t="n">
        <f aca="false">COUNTA(F107:K107)</f>
        <v>6</v>
      </c>
      <c r="M107" s="24" t="n">
        <f aca="false">COUNTIF(F107:K107,"Pass")</f>
        <v>0</v>
      </c>
      <c r="N107" s="8" t="n">
        <f aca="false">COUNTIF(F107:K107,"Fail")</f>
        <v>0</v>
      </c>
      <c r="O107" s="27" t="str">
        <f aca="false">IF(M107=0,"-",M107/L107)</f>
        <v>-</v>
      </c>
    </row>
    <row r="108" customFormat="false" ht="19.5" hidden="false" customHeight="true" outlineLevel="0" collapsed="false">
      <c r="A108" s="5" t="s">
        <v>292</v>
      </c>
      <c r="B108" s="30" t="s">
        <v>276</v>
      </c>
      <c r="C108" s="23" t="s">
        <v>293</v>
      </c>
      <c r="D108" s="7" t="s">
        <v>294</v>
      </c>
      <c r="E108" s="8" t="s">
        <v>19</v>
      </c>
      <c r="F108" s="10" t="s">
        <v>21</v>
      </c>
      <c r="G108" s="10" t="s">
        <v>21</v>
      </c>
      <c r="H108" s="10" t="s">
        <v>21</v>
      </c>
      <c r="I108" s="10" t="s">
        <v>21</v>
      </c>
      <c r="J108" s="10" t="s">
        <v>21</v>
      </c>
      <c r="K108" s="10" t="s">
        <v>21</v>
      </c>
      <c r="L108" s="5" t="n">
        <f aca="false">COUNTA(F108:K108)</f>
        <v>6</v>
      </c>
      <c r="M108" s="24" t="n">
        <f aca="false">COUNTIF(F108:K108,"Pass")</f>
        <v>0</v>
      </c>
      <c r="N108" s="8" t="n">
        <f aca="false">COUNTIF(F108:K108,"Fail")</f>
        <v>0</v>
      </c>
      <c r="O108" s="25" t="str">
        <f aca="false">IF(M108=0,"-",M108/L108)</f>
        <v>-</v>
      </c>
    </row>
    <row r="109" customFormat="false" ht="19.5" hidden="false" customHeight="true" outlineLevel="0" collapsed="false">
      <c r="A109" s="11" t="s">
        <v>296</v>
      </c>
      <c r="B109" s="30" t="s">
        <v>276</v>
      </c>
      <c r="C109" s="26" t="s">
        <v>293</v>
      </c>
      <c r="D109" s="12" t="s">
        <v>297</v>
      </c>
      <c r="E109" s="14" t="s">
        <v>27</v>
      </c>
      <c r="F109" s="10" t="s">
        <v>21</v>
      </c>
      <c r="G109" s="10" t="s">
        <v>21</v>
      </c>
      <c r="H109" s="10" t="s">
        <v>21</v>
      </c>
      <c r="I109" s="10" t="s">
        <v>21</v>
      </c>
      <c r="J109" s="10" t="s">
        <v>21</v>
      </c>
      <c r="K109" s="10" t="s">
        <v>21</v>
      </c>
      <c r="L109" s="11" t="n">
        <f aca="false">COUNTA(F109:K109)</f>
        <v>6</v>
      </c>
      <c r="M109" s="24" t="n">
        <f aca="false">COUNTIF(F109:K109,"Pass")</f>
        <v>0</v>
      </c>
      <c r="N109" s="8" t="n">
        <f aca="false">COUNTIF(F109:K109,"Fail")</f>
        <v>0</v>
      </c>
      <c r="O109" s="27" t="str">
        <f aca="false">IF(M109=0,"-",M109/L109)</f>
        <v>-</v>
      </c>
    </row>
    <row r="110" customFormat="false" ht="19.5" hidden="false" customHeight="true" outlineLevel="0" collapsed="false">
      <c r="A110" s="5" t="s">
        <v>298</v>
      </c>
      <c r="B110" s="30" t="s">
        <v>276</v>
      </c>
      <c r="C110" s="23" t="s">
        <v>293</v>
      </c>
      <c r="D110" s="7" t="s">
        <v>299</v>
      </c>
      <c r="E110" s="8" t="s">
        <v>19</v>
      </c>
      <c r="F110" s="10" t="s">
        <v>21</v>
      </c>
      <c r="G110" s="10" t="s">
        <v>21</v>
      </c>
      <c r="H110" s="10" t="s">
        <v>21</v>
      </c>
      <c r="I110" s="10" t="s">
        <v>21</v>
      </c>
      <c r="J110" s="10" t="s">
        <v>21</v>
      </c>
      <c r="K110" s="10" t="s">
        <v>21</v>
      </c>
      <c r="L110" s="5" t="n">
        <f aca="false">COUNTA(F110:K110)</f>
        <v>6</v>
      </c>
      <c r="M110" s="24" t="n">
        <f aca="false">COUNTIF(F110:K110,"Pass")</f>
        <v>0</v>
      </c>
      <c r="N110" s="8" t="n">
        <f aca="false">COUNTIF(F110:K110,"Fail")</f>
        <v>0</v>
      </c>
      <c r="O110" s="25" t="str">
        <f aca="false">IF(M110=0,"-",M110/L110)</f>
        <v>-</v>
      </c>
    </row>
    <row r="111" customFormat="false" ht="19.5" hidden="false" customHeight="true" outlineLevel="0" collapsed="false">
      <c r="A111" s="11" t="s">
        <v>300</v>
      </c>
      <c r="B111" s="30" t="s">
        <v>276</v>
      </c>
      <c r="C111" s="26" t="s">
        <v>301</v>
      </c>
      <c r="D111" s="12" t="s">
        <v>302</v>
      </c>
      <c r="E111" s="8" t="s">
        <v>19</v>
      </c>
      <c r="F111" s="10" t="s">
        <v>21</v>
      </c>
      <c r="G111" s="10" t="s">
        <v>21</v>
      </c>
      <c r="H111" s="10" t="s">
        <v>21</v>
      </c>
      <c r="I111" s="10" t="s">
        <v>21</v>
      </c>
      <c r="J111" s="10" t="s">
        <v>21</v>
      </c>
      <c r="K111" s="10" t="s">
        <v>21</v>
      </c>
      <c r="L111" s="11" t="n">
        <f aca="false">COUNTA(F111:K111)</f>
        <v>6</v>
      </c>
      <c r="M111" s="24" t="n">
        <f aca="false">COUNTIF(F111:K111,"Pass")</f>
        <v>0</v>
      </c>
      <c r="N111" s="8" t="n">
        <f aca="false">COUNTIF(F111:K111,"Fail")</f>
        <v>0</v>
      </c>
      <c r="O111" s="27" t="str">
        <f aca="false">IF(M111=0,"-",M111/L111)</f>
        <v>-</v>
      </c>
    </row>
    <row r="112" customFormat="false" ht="19.5" hidden="false" customHeight="true" outlineLevel="0" collapsed="false">
      <c r="A112" s="5" t="s">
        <v>304</v>
      </c>
      <c r="B112" s="30" t="s">
        <v>276</v>
      </c>
      <c r="C112" s="23" t="s">
        <v>301</v>
      </c>
      <c r="D112" s="7" t="s">
        <v>305</v>
      </c>
      <c r="E112" s="8" t="s">
        <v>19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  <c r="L112" s="5" t="n">
        <f aca="false">COUNTA(F112:K112)</f>
        <v>6</v>
      </c>
      <c r="M112" s="24" t="n">
        <f aca="false">COUNTIF(F112:K112,"Pass")</f>
        <v>0</v>
      </c>
      <c r="N112" s="8" t="n">
        <f aca="false">COUNTIF(F112:K112,"Fail")</f>
        <v>0</v>
      </c>
      <c r="O112" s="25" t="str">
        <f aca="false">IF(M112=0,"-",M112/L112)</f>
        <v>-</v>
      </c>
    </row>
    <row r="113" customFormat="false" ht="19.5" hidden="false" customHeight="true" outlineLevel="0" collapsed="false">
      <c r="A113" s="11" t="s">
        <v>306</v>
      </c>
      <c r="B113" s="30" t="s">
        <v>276</v>
      </c>
      <c r="C113" s="26" t="s">
        <v>301</v>
      </c>
      <c r="D113" s="12" t="s">
        <v>307</v>
      </c>
      <c r="E113" s="8" t="s">
        <v>19</v>
      </c>
      <c r="F113" s="10" t="s">
        <v>21</v>
      </c>
      <c r="G113" s="10" t="s">
        <v>21</v>
      </c>
      <c r="H113" s="10" t="s">
        <v>21</v>
      </c>
      <c r="I113" s="10" t="s">
        <v>21</v>
      </c>
      <c r="J113" s="10" t="s">
        <v>21</v>
      </c>
      <c r="K113" s="10" t="s">
        <v>21</v>
      </c>
      <c r="L113" s="11" t="n">
        <f aca="false">COUNTA(F113:K113)</f>
        <v>6</v>
      </c>
      <c r="M113" s="24" t="n">
        <f aca="false">COUNTIF(F113:K113,"Pass")</f>
        <v>0</v>
      </c>
      <c r="N113" s="8" t="n">
        <f aca="false">COUNTIF(F113:K113,"Fail")</f>
        <v>0</v>
      </c>
      <c r="O113" s="27" t="str">
        <f aca="false">IF(M113=0,"-",M113/L113)</f>
        <v>-</v>
      </c>
    </row>
    <row r="114" customFormat="false" ht="19.5" hidden="false" customHeight="true" outlineLevel="0" collapsed="false">
      <c r="A114" s="5" t="s">
        <v>308</v>
      </c>
      <c r="B114" s="30" t="s">
        <v>276</v>
      </c>
      <c r="C114" s="23" t="s">
        <v>301</v>
      </c>
      <c r="D114" s="7" t="s">
        <v>309</v>
      </c>
      <c r="E114" s="8" t="s">
        <v>19</v>
      </c>
      <c r="F114" s="10" t="s">
        <v>21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  <c r="L114" s="5" t="n">
        <f aca="false">COUNTA(F114:K114)</f>
        <v>6</v>
      </c>
      <c r="M114" s="24" t="n">
        <f aca="false">COUNTIF(F114:K114,"Pass")</f>
        <v>0</v>
      </c>
      <c r="N114" s="8" t="n">
        <f aca="false">COUNTIF(F114:K114,"Fail")</f>
        <v>0</v>
      </c>
      <c r="O114" s="25" t="str">
        <f aca="false">IF(M114=0,"-",M114/L114)</f>
        <v>-</v>
      </c>
    </row>
    <row r="115" customFormat="false" ht="19.5" hidden="false" customHeight="true" outlineLevel="0" collapsed="false">
      <c r="A115" s="11" t="s">
        <v>311</v>
      </c>
      <c r="B115" s="30" t="s">
        <v>276</v>
      </c>
      <c r="C115" s="26" t="s">
        <v>312</v>
      </c>
      <c r="D115" s="12" t="s">
        <v>313</v>
      </c>
      <c r="E115" s="8" t="s">
        <v>19</v>
      </c>
      <c r="F115" s="10" t="s">
        <v>21</v>
      </c>
      <c r="G115" s="10" t="s">
        <v>21</v>
      </c>
      <c r="H115" s="10" t="s">
        <v>21</v>
      </c>
      <c r="I115" s="10" t="s">
        <v>21</v>
      </c>
      <c r="J115" s="10" t="s">
        <v>21</v>
      </c>
      <c r="K115" s="10" t="s">
        <v>21</v>
      </c>
      <c r="L115" s="11" t="n">
        <f aca="false">COUNTA(F115:K115)</f>
        <v>6</v>
      </c>
      <c r="M115" s="24" t="n">
        <f aca="false">COUNTIF(F115:K115,"Pass")</f>
        <v>0</v>
      </c>
      <c r="N115" s="8" t="n">
        <f aca="false">COUNTIF(F115:K115,"Fail")</f>
        <v>0</v>
      </c>
      <c r="O115" s="27" t="str">
        <f aca="false">IF(M115=0,"-",M115/L115)</f>
        <v>-</v>
      </c>
    </row>
    <row r="116" customFormat="false" ht="19.5" hidden="false" customHeight="true" outlineLevel="0" collapsed="false">
      <c r="A116" s="5" t="s">
        <v>315</v>
      </c>
      <c r="B116" s="30" t="s">
        <v>276</v>
      </c>
      <c r="C116" s="23" t="s">
        <v>312</v>
      </c>
      <c r="D116" s="7" t="s">
        <v>316</v>
      </c>
      <c r="E116" s="8" t="s">
        <v>19</v>
      </c>
      <c r="F116" s="10" t="s">
        <v>21</v>
      </c>
      <c r="G116" s="10" t="s">
        <v>21</v>
      </c>
      <c r="H116" s="10" t="s">
        <v>21</v>
      </c>
      <c r="I116" s="10" t="s">
        <v>21</v>
      </c>
      <c r="J116" s="10" t="s">
        <v>21</v>
      </c>
      <c r="K116" s="10" t="s">
        <v>21</v>
      </c>
      <c r="L116" s="5" t="n">
        <f aca="false">COUNTA(F116:K116)</f>
        <v>6</v>
      </c>
      <c r="M116" s="24" t="n">
        <f aca="false">COUNTIF(F116:K116,"Pass")</f>
        <v>0</v>
      </c>
      <c r="N116" s="8" t="n">
        <f aca="false">COUNTIF(F116:K116,"Fail")</f>
        <v>0</v>
      </c>
      <c r="O116" s="25" t="str">
        <f aca="false">IF(M116=0,"-",M116/L116)</f>
        <v>-</v>
      </c>
    </row>
    <row r="117" customFormat="false" ht="19.5" hidden="false" customHeight="true" outlineLevel="0" collapsed="false">
      <c r="A117" s="11" t="s">
        <v>317</v>
      </c>
      <c r="B117" s="30" t="s">
        <v>276</v>
      </c>
      <c r="C117" s="26" t="s">
        <v>312</v>
      </c>
      <c r="D117" s="12" t="s">
        <v>318</v>
      </c>
      <c r="E117" s="15" t="s">
        <v>53</v>
      </c>
      <c r="F117" s="10" t="s">
        <v>21</v>
      </c>
      <c r="G117" s="10" t="s">
        <v>21</v>
      </c>
      <c r="H117" s="10" t="s">
        <v>21</v>
      </c>
      <c r="I117" s="10" t="s">
        <v>21</v>
      </c>
      <c r="J117" s="10" t="s">
        <v>21</v>
      </c>
      <c r="K117" s="10" t="s">
        <v>21</v>
      </c>
      <c r="L117" s="11" t="n">
        <f aca="false">COUNTA(F117:K117)</f>
        <v>6</v>
      </c>
      <c r="M117" s="24" t="n">
        <f aca="false">COUNTIF(F117:K117,"Pass")</f>
        <v>0</v>
      </c>
      <c r="N117" s="8" t="n">
        <f aca="false">COUNTIF(F117:K117,"Fail")</f>
        <v>0</v>
      </c>
      <c r="O117" s="27" t="str">
        <f aca="false">IF(M117=0,"-",M117/L117)</f>
        <v>-</v>
      </c>
    </row>
    <row r="118" customFormat="false" ht="19.5" hidden="false" customHeight="true" outlineLevel="0" collapsed="false">
      <c r="A118" s="5" t="s">
        <v>319</v>
      </c>
      <c r="B118" s="30" t="s">
        <v>276</v>
      </c>
      <c r="C118" s="23" t="s">
        <v>312</v>
      </c>
      <c r="D118" s="7" t="s">
        <v>320</v>
      </c>
      <c r="E118" s="14" t="s">
        <v>27</v>
      </c>
      <c r="F118" s="10" t="s">
        <v>21</v>
      </c>
      <c r="G118" s="10" t="s">
        <v>21</v>
      </c>
      <c r="H118" s="10" t="s">
        <v>21</v>
      </c>
      <c r="I118" s="10" t="s">
        <v>21</v>
      </c>
      <c r="J118" s="10" t="s">
        <v>21</v>
      </c>
      <c r="K118" s="10" t="s">
        <v>21</v>
      </c>
      <c r="L118" s="5" t="n">
        <f aca="false">COUNTA(F118:K118)</f>
        <v>6</v>
      </c>
      <c r="M118" s="24" t="n">
        <f aca="false">COUNTIF(F118:K118,"Pass")</f>
        <v>0</v>
      </c>
      <c r="N118" s="8" t="n">
        <f aca="false">COUNTIF(F118:K118,"Fail")</f>
        <v>0</v>
      </c>
      <c r="O118" s="25" t="str">
        <f aca="false">IF(M118=0,"-",M118/L118)</f>
        <v>-</v>
      </c>
    </row>
    <row r="119" customFormat="false" ht="19.5" hidden="false" customHeight="true" outlineLevel="0" collapsed="false">
      <c r="A119" s="11" t="s">
        <v>321</v>
      </c>
      <c r="B119" s="30" t="s">
        <v>276</v>
      </c>
      <c r="C119" s="26" t="s">
        <v>312</v>
      </c>
      <c r="D119" s="12" t="s">
        <v>322</v>
      </c>
      <c r="E119" s="8" t="s">
        <v>19</v>
      </c>
      <c r="F119" s="10" t="s">
        <v>21</v>
      </c>
      <c r="G119" s="10" t="s">
        <v>21</v>
      </c>
      <c r="H119" s="10" t="s">
        <v>21</v>
      </c>
      <c r="I119" s="10" t="s">
        <v>21</v>
      </c>
      <c r="J119" s="10" t="s">
        <v>21</v>
      </c>
      <c r="K119" s="10" t="s">
        <v>21</v>
      </c>
      <c r="L119" s="11" t="n">
        <f aca="false">COUNTA(F119:K119)</f>
        <v>6</v>
      </c>
      <c r="M119" s="24" t="n">
        <f aca="false">COUNTIF(F119:K119,"Pass")</f>
        <v>0</v>
      </c>
      <c r="N119" s="8" t="n">
        <f aca="false">COUNTIF(F119:K119,"Fail")</f>
        <v>0</v>
      </c>
      <c r="O119" s="27" t="str">
        <f aca="false">IF(M119=0,"-",M119/L119)</f>
        <v>-</v>
      </c>
    </row>
    <row r="120" customFormat="false" ht="19.5" hidden="false" customHeight="true" outlineLevel="0" collapsed="false">
      <c r="A120" s="5" t="s">
        <v>323</v>
      </c>
      <c r="B120" s="30" t="s">
        <v>276</v>
      </c>
      <c r="C120" s="23" t="s">
        <v>324</v>
      </c>
      <c r="D120" s="7" t="s">
        <v>325</v>
      </c>
      <c r="E120" s="14" t="s">
        <v>27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  <c r="L120" s="5" t="n">
        <f aca="false">COUNTA(F120:K120)</f>
        <v>6</v>
      </c>
      <c r="M120" s="24" t="n">
        <f aca="false">COUNTIF(F120:K120,"Pass")</f>
        <v>0</v>
      </c>
      <c r="N120" s="8" t="n">
        <f aca="false">COUNTIF(F120:K120,"Fail")</f>
        <v>0</v>
      </c>
      <c r="O120" s="25" t="str">
        <f aca="false">IF(M120=0,"-",M120/L120)</f>
        <v>-</v>
      </c>
    </row>
    <row r="121" customFormat="false" ht="19.5" hidden="false" customHeight="true" outlineLevel="0" collapsed="false">
      <c r="A121" s="11" t="s">
        <v>326</v>
      </c>
      <c r="B121" s="30" t="s">
        <v>276</v>
      </c>
      <c r="C121" s="26" t="s">
        <v>324</v>
      </c>
      <c r="D121" s="12" t="s">
        <v>327</v>
      </c>
      <c r="E121" s="8" t="s">
        <v>19</v>
      </c>
      <c r="F121" s="10" t="s">
        <v>21</v>
      </c>
      <c r="G121" s="10" t="s">
        <v>21</v>
      </c>
      <c r="H121" s="10" t="s">
        <v>21</v>
      </c>
      <c r="I121" s="10" t="s">
        <v>21</v>
      </c>
      <c r="J121" s="10" t="s">
        <v>21</v>
      </c>
      <c r="K121" s="10" t="s">
        <v>21</v>
      </c>
      <c r="L121" s="11" t="n">
        <f aca="false">COUNTA(F121:K121)</f>
        <v>6</v>
      </c>
      <c r="M121" s="24" t="n">
        <f aca="false">COUNTIF(F121:K121,"Pass")</f>
        <v>0</v>
      </c>
      <c r="N121" s="8" t="n">
        <f aca="false">COUNTIF(F121:K121,"Fail")</f>
        <v>0</v>
      </c>
      <c r="O121" s="27" t="str">
        <f aca="false">IF(M121=0,"-",M121/L121)</f>
        <v>-</v>
      </c>
    </row>
    <row r="122" customFormat="false" ht="19.5" hidden="false" customHeight="true" outlineLevel="0" collapsed="false">
      <c r="A122" s="5" t="s">
        <v>328</v>
      </c>
      <c r="B122" s="30" t="s">
        <v>276</v>
      </c>
      <c r="C122" s="23" t="s">
        <v>324</v>
      </c>
      <c r="D122" s="7" t="s">
        <v>329</v>
      </c>
      <c r="E122" s="14" t="s">
        <v>27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  <c r="L122" s="5" t="n">
        <f aca="false">COUNTA(F122:K122)</f>
        <v>6</v>
      </c>
      <c r="M122" s="24" t="n">
        <f aca="false">COUNTIF(F122:K122,"Pass")</f>
        <v>0</v>
      </c>
      <c r="N122" s="8" t="n">
        <f aca="false">COUNTIF(F122:K122,"Fail")</f>
        <v>0</v>
      </c>
      <c r="O122" s="25" t="str">
        <f aca="false">IF(M122=0,"-",M122/L122)</f>
        <v>-</v>
      </c>
    </row>
    <row r="123" customFormat="false" ht="19.5" hidden="false" customHeight="true" outlineLevel="0" collapsed="false">
      <c r="A123" s="11" t="s">
        <v>330</v>
      </c>
      <c r="B123" s="30" t="s">
        <v>276</v>
      </c>
      <c r="C123" s="26" t="s">
        <v>331</v>
      </c>
      <c r="D123" s="12" t="s">
        <v>332</v>
      </c>
      <c r="E123" s="14" t="s">
        <v>27</v>
      </c>
      <c r="F123" s="10" t="s">
        <v>21</v>
      </c>
      <c r="G123" s="10" t="s">
        <v>21</v>
      </c>
      <c r="H123" s="10" t="s">
        <v>21</v>
      </c>
      <c r="I123" s="10" t="s">
        <v>21</v>
      </c>
      <c r="J123" s="10" t="s">
        <v>21</v>
      </c>
      <c r="K123" s="10" t="s">
        <v>21</v>
      </c>
      <c r="L123" s="11" t="n">
        <f aca="false">COUNTA(F123:K123)</f>
        <v>6</v>
      </c>
      <c r="M123" s="24" t="n">
        <f aca="false">COUNTIF(F123:K123,"Pass")</f>
        <v>0</v>
      </c>
      <c r="N123" s="8" t="n">
        <f aca="false">COUNTIF(F123:K123,"Fail")</f>
        <v>0</v>
      </c>
      <c r="O123" s="27" t="str">
        <f aca="false">IF(M123=0,"-",M123/L123)</f>
        <v>-</v>
      </c>
    </row>
    <row r="124" customFormat="false" ht="19.5" hidden="false" customHeight="true" outlineLevel="0" collapsed="false">
      <c r="A124" s="5" t="s">
        <v>334</v>
      </c>
      <c r="B124" s="30" t="s">
        <v>276</v>
      </c>
      <c r="C124" s="23" t="s">
        <v>331</v>
      </c>
      <c r="D124" s="7" t="s">
        <v>335</v>
      </c>
      <c r="E124" s="14" t="s">
        <v>27</v>
      </c>
      <c r="F124" s="10" t="s">
        <v>21</v>
      </c>
      <c r="G124" s="10" t="s">
        <v>21</v>
      </c>
      <c r="H124" s="10" t="s">
        <v>21</v>
      </c>
      <c r="I124" s="10" t="s">
        <v>21</v>
      </c>
      <c r="J124" s="10" t="s">
        <v>21</v>
      </c>
      <c r="K124" s="10" t="s">
        <v>21</v>
      </c>
      <c r="L124" s="5" t="n">
        <f aca="false">COUNTA(F124:K124)</f>
        <v>6</v>
      </c>
      <c r="M124" s="24" t="n">
        <f aca="false">COUNTIF(F124:K124,"Pass")</f>
        <v>0</v>
      </c>
      <c r="N124" s="8" t="n">
        <f aca="false">COUNTIF(F124:K124,"Fail")</f>
        <v>0</v>
      </c>
      <c r="O124" s="25" t="str">
        <f aca="false">IF(M124=0,"-",M124/L124)</f>
        <v>-</v>
      </c>
    </row>
    <row r="125" customFormat="false" ht="19.5" hidden="false" customHeight="true" outlineLevel="0" collapsed="false">
      <c r="A125" s="11" t="s">
        <v>336</v>
      </c>
      <c r="B125" s="30" t="s">
        <v>276</v>
      </c>
      <c r="C125" s="26" t="s">
        <v>331</v>
      </c>
      <c r="D125" s="12" t="s">
        <v>337</v>
      </c>
      <c r="E125" s="15" t="s">
        <v>53</v>
      </c>
      <c r="F125" s="10" t="s">
        <v>21</v>
      </c>
      <c r="G125" s="10" t="s">
        <v>21</v>
      </c>
      <c r="H125" s="10" t="s">
        <v>21</v>
      </c>
      <c r="I125" s="10" t="s">
        <v>21</v>
      </c>
      <c r="J125" s="10" t="s">
        <v>21</v>
      </c>
      <c r="K125" s="10" t="s">
        <v>21</v>
      </c>
      <c r="L125" s="11" t="n">
        <f aca="false">COUNTA(F125:K125)</f>
        <v>6</v>
      </c>
      <c r="M125" s="24" t="n">
        <f aca="false">COUNTIF(F125:K125,"Pass")</f>
        <v>0</v>
      </c>
      <c r="N125" s="8" t="n">
        <f aca="false">COUNTIF(F125:K125,"Fail")</f>
        <v>0</v>
      </c>
      <c r="O125" s="27" t="str">
        <f aca="false">IF(M125=0,"-",M125/L125)</f>
        <v>-</v>
      </c>
    </row>
    <row r="126" customFormat="false" ht="19.5" hidden="false" customHeight="true" outlineLevel="0" collapsed="false">
      <c r="A126" s="5" t="s">
        <v>338</v>
      </c>
      <c r="B126" s="30" t="s">
        <v>276</v>
      </c>
      <c r="C126" s="23" t="s">
        <v>339</v>
      </c>
      <c r="D126" s="7" t="s">
        <v>340</v>
      </c>
      <c r="E126" s="14" t="s">
        <v>27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  <c r="L126" s="5" t="n">
        <f aca="false">COUNTA(F126:K126)</f>
        <v>6</v>
      </c>
      <c r="M126" s="24" t="n">
        <f aca="false">COUNTIF(F126:K126,"Pass")</f>
        <v>0</v>
      </c>
      <c r="N126" s="8" t="n">
        <f aca="false">COUNTIF(F126:K126,"Fail")</f>
        <v>0</v>
      </c>
      <c r="O126" s="25" t="str">
        <f aca="false">IF(M126=0,"-",M126/L126)</f>
        <v>-</v>
      </c>
    </row>
    <row r="127" customFormat="false" ht="19.5" hidden="false" customHeight="true" outlineLevel="0" collapsed="false">
      <c r="A127" s="11" t="s">
        <v>342</v>
      </c>
      <c r="B127" s="30" t="s">
        <v>276</v>
      </c>
      <c r="C127" s="26" t="s">
        <v>339</v>
      </c>
      <c r="D127" s="12" t="s">
        <v>343</v>
      </c>
      <c r="E127" s="15" t="s">
        <v>53</v>
      </c>
      <c r="F127" s="10" t="s">
        <v>21</v>
      </c>
      <c r="G127" s="10" t="s">
        <v>21</v>
      </c>
      <c r="H127" s="10" t="s">
        <v>21</v>
      </c>
      <c r="I127" s="10" t="s">
        <v>21</v>
      </c>
      <c r="J127" s="10" t="s">
        <v>21</v>
      </c>
      <c r="K127" s="10" t="s">
        <v>21</v>
      </c>
      <c r="L127" s="11" t="n">
        <f aca="false">COUNTA(F127:K127)</f>
        <v>6</v>
      </c>
      <c r="M127" s="24" t="n">
        <f aca="false">COUNTIF(F127:K127,"Pass")</f>
        <v>0</v>
      </c>
      <c r="N127" s="8" t="n">
        <f aca="false">COUNTIF(F127:K127,"Fail")</f>
        <v>0</v>
      </c>
      <c r="O127" s="27" t="str">
        <f aca="false">IF(M127=0,"-",M127/L127)</f>
        <v>-</v>
      </c>
    </row>
    <row r="128" customFormat="false" ht="19.5" hidden="false" customHeight="true" outlineLevel="0" collapsed="false">
      <c r="A128" s="5" t="s">
        <v>344</v>
      </c>
      <c r="B128" s="30" t="s">
        <v>276</v>
      </c>
      <c r="C128" s="23" t="s">
        <v>339</v>
      </c>
      <c r="D128" s="7" t="s">
        <v>345</v>
      </c>
      <c r="E128" s="14" t="s">
        <v>27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  <c r="L128" s="5" t="n">
        <f aca="false">COUNTA(F128:K128)</f>
        <v>6</v>
      </c>
      <c r="M128" s="24" t="n">
        <f aca="false">COUNTIF(F128:K128,"Pass")</f>
        <v>0</v>
      </c>
      <c r="N128" s="8" t="n">
        <f aca="false">COUNTIF(F128:K128,"Fail")</f>
        <v>0</v>
      </c>
      <c r="O128" s="25" t="str">
        <f aca="false">IF(M128=0,"-",M128/L128)</f>
        <v>-</v>
      </c>
    </row>
    <row r="129" customFormat="false" ht="19.5" hidden="false" customHeight="true" outlineLevel="0" collapsed="false">
      <c r="A129" s="11" t="s">
        <v>346</v>
      </c>
      <c r="B129" s="30" t="s">
        <v>276</v>
      </c>
      <c r="C129" s="26" t="s">
        <v>339</v>
      </c>
      <c r="D129" s="12" t="s">
        <v>347</v>
      </c>
      <c r="E129" s="15" t="s">
        <v>53</v>
      </c>
      <c r="F129" s="10" t="s">
        <v>21</v>
      </c>
      <c r="G129" s="10" t="s">
        <v>21</v>
      </c>
      <c r="H129" s="10" t="s">
        <v>21</v>
      </c>
      <c r="I129" s="10" t="s">
        <v>21</v>
      </c>
      <c r="J129" s="10" t="s">
        <v>21</v>
      </c>
      <c r="K129" s="10" t="s">
        <v>21</v>
      </c>
      <c r="L129" s="11" t="n">
        <f aca="false">COUNTA(F129:K129)</f>
        <v>6</v>
      </c>
      <c r="M129" s="24" t="n">
        <f aca="false">COUNTIF(F129:K129,"Pass")</f>
        <v>0</v>
      </c>
      <c r="N129" s="8" t="n">
        <f aca="false">COUNTIF(F129:K129,"Fail")</f>
        <v>0</v>
      </c>
      <c r="O129" s="27" t="str">
        <f aca="false">IF(M129=0,"-",M129/L129)</f>
        <v>-</v>
      </c>
    </row>
    <row r="130" customFormat="false" ht="19.5" hidden="false" customHeight="true" outlineLevel="0" collapsed="false">
      <c r="A130" s="5" t="s">
        <v>348</v>
      </c>
      <c r="B130" s="30" t="s">
        <v>276</v>
      </c>
      <c r="C130" s="23" t="s">
        <v>349</v>
      </c>
      <c r="D130" s="7" t="s">
        <v>350</v>
      </c>
      <c r="E130" s="14" t="s">
        <v>27</v>
      </c>
      <c r="F130" s="10" t="s">
        <v>21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  <c r="L130" s="5" t="n">
        <f aca="false">COUNTA(F130:K130)</f>
        <v>6</v>
      </c>
      <c r="M130" s="24" t="n">
        <f aca="false">COUNTIF(F130:K130,"Pass")</f>
        <v>0</v>
      </c>
      <c r="N130" s="8" t="n">
        <f aca="false">COUNTIF(F130:K130,"Fail")</f>
        <v>0</v>
      </c>
      <c r="O130" s="25" t="str">
        <f aca="false">IF(M130=0,"-",M130/L130)</f>
        <v>-</v>
      </c>
    </row>
    <row r="131" customFormat="false" ht="19.5" hidden="false" customHeight="true" outlineLevel="0" collapsed="false">
      <c r="A131" s="11" t="s">
        <v>352</v>
      </c>
      <c r="B131" s="30" t="s">
        <v>276</v>
      </c>
      <c r="C131" s="26" t="s">
        <v>349</v>
      </c>
      <c r="D131" s="12" t="s">
        <v>353</v>
      </c>
      <c r="E131" s="14" t="s">
        <v>27</v>
      </c>
      <c r="F131" s="10" t="s">
        <v>21</v>
      </c>
      <c r="G131" s="10" t="s">
        <v>21</v>
      </c>
      <c r="H131" s="10" t="s">
        <v>21</v>
      </c>
      <c r="I131" s="10" t="s">
        <v>21</v>
      </c>
      <c r="J131" s="10" t="s">
        <v>21</v>
      </c>
      <c r="K131" s="10" t="s">
        <v>21</v>
      </c>
      <c r="L131" s="11" t="n">
        <f aca="false">COUNTA(F131:K131)</f>
        <v>6</v>
      </c>
      <c r="M131" s="24" t="n">
        <f aca="false">COUNTIF(F131:K131,"Pass")</f>
        <v>0</v>
      </c>
      <c r="N131" s="8" t="n">
        <f aca="false">COUNTIF(F131:K131,"Fail")</f>
        <v>0</v>
      </c>
      <c r="O131" s="27" t="str">
        <f aca="false">IF(M131=0,"-",M131/L131)</f>
        <v>-</v>
      </c>
    </row>
    <row r="132" customFormat="false" ht="19.5" hidden="false" customHeight="true" outlineLevel="0" collapsed="false">
      <c r="A132" s="5" t="s">
        <v>354</v>
      </c>
      <c r="B132" s="30" t="s">
        <v>276</v>
      </c>
      <c r="C132" s="23" t="s">
        <v>349</v>
      </c>
      <c r="D132" s="7" t="s">
        <v>355</v>
      </c>
      <c r="E132" s="8" t="s">
        <v>19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  <c r="L132" s="5" t="n">
        <f aca="false">COUNTA(F132:K132)</f>
        <v>6</v>
      </c>
      <c r="M132" s="24" t="n">
        <f aca="false">COUNTIF(F132:K132,"Pass")</f>
        <v>0</v>
      </c>
      <c r="N132" s="8" t="n">
        <f aca="false">COUNTIF(F132:K132,"Fail")</f>
        <v>0</v>
      </c>
      <c r="O132" s="25" t="str">
        <f aca="false">IF(M132=0,"-",M132/L132)</f>
        <v>-</v>
      </c>
    </row>
    <row r="133" customFormat="false" ht="19.5" hidden="false" customHeight="true" outlineLevel="0" collapsed="false">
      <c r="A133" s="11" t="s">
        <v>356</v>
      </c>
      <c r="B133" s="30" t="s">
        <v>276</v>
      </c>
      <c r="C133" s="26" t="s">
        <v>349</v>
      </c>
      <c r="D133" s="12" t="s">
        <v>357</v>
      </c>
      <c r="E133" s="8" t="s">
        <v>19</v>
      </c>
      <c r="F133" s="10" t="s">
        <v>21</v>
      </c>
      <c r="G133" s="10" t="s">
        <v>21</v>
      </c>
      <c r="H133" s="10" t="s">
        <v>21</v>
      </c>
      <c r="I133" s="10" t="s">
        <v>21</v>
      </c>
      <c r="J133" s="10" t="s">
        <v>21</v>
      </c>
      <c r="K133" s="10" t="s">
        <v>21</v>
      </c>
      <c r="L133" s="11" t="n">
        <f aca="false">COUNTA(F133:K133)</f>
        <v>6</v>
      </c>
      <c r="M133" s="24" t="n">
        <f aca="false">COUNTIF(F133:K133,"Pass")</f>
        <v>0</v>
      </c>
      <c r="N133" s="8" t="n">
        <f aca="false">COUNTIF(F133:K133,"Fail")</f>
        <v>0</v>
      </c>
      <c r="O133" s="27" t="str">
        <f aca="false">IF(M133=0,"-",M133/L133)</f>
        <v>-</v>
      </c>
    </row>
    <row r="134" customFormat="false" ht="19.5" hidden="false" customHeight="true" outlineLevel="0" collapsed="false">
      <c r="A134" s="5" t="s">
        <v>358</v>
      </c>
      <c r="B134" s="30" t="s">
        <v>276</v>
      </c>
      <c r="C134" s="23" t="s">
        <v>349</v>
      </c>
      <c r="D134" s="7" t="s">
        <v>359</v>
      </c>
      <c r="E134" s="15" t="s">
        <v>53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  <c r="L134" s="5" t="n">
        <f aca="false">COUNTA(F134:K134)</f>
        <v>6</v>
      </c>
      <c r="M134" s="24" t="n">
        <f aca="false">COUNTIF(F134:K134,"Pass")</f>
        <v>0</v>
      </c>
      <c r="N134" s="8" t="n">
        <f aca="false">COUNTIF(F134:K134,"Fail")</f>
        <v>0</v>
      </c>
      <c r="O134" s="25" t="str">
        <f aca="false">IF(M134=0,"-",M134/L134)</f>
        <v>-</v>
      </c>
    </row>
    <row r="135" customFormat="false" ht="19.5" hidden="false" customHeight="true" outlineLevel="0" collapsed="false">
      <c r="A135" s="11" t="s">
        <v>360</v>
      </c>
      <c r="B135" s="30" t="s">
        <v>276</v>
      </c>
      <c r="C135" s="26" t="s">
        <v>361</v>
      </c>
      <c r="D135" s="12" t="s">
        <v>362</v>
      </c>
      <c r="E135" s="14" t="s">
        <v>27</v>
      </c>
      <c r="F135" s="10" t="s">
        <v>21</v>
      </c>
      <c r="G135" s="10" t="s">
        <v>21</v>
      </c>
      <c r="H135" s="10" t="s">
        <v>21</v>
      </c>
      <c r="I135" s="10" t="s">
        <v>21</v>
      </c>
      <c r="J135" s="10" t="s">
        <v>21</v>
      </c>
      <c r="K135" s="10" t="s">
        <v>21</v>
      </c>
      <c r="L135" s="11" t="n">
        <f aca="false">COUNTA(F135:K135)</f>
        <v>6</v>
      </c>
      <c r="M135" s="24" t="n">
        <f aca="false">COUNTIF(F135:K135,"Pass")</f>
        <v>0</v>
      </c>
      <c r="N135" s="8" t="n">
        <f aca="false">COUNTIF(F135:K135,"Fail")</f>
        <v>0</v>
      </c>
      <c r="O135" s="27" t="str">
        <f aca="false">IF(M135=0,"-",M135/L135)</f>
        <v>-</v>
      </c>
    </row>
    <row r="136" customFormat="false" ht="19.5" hidden="false" customHeight="true" outlineLevel="0" collapsed="false">
      <c r="A136" s="5" t="s">
        <v>364</v>
      </c>
      <c r="B136" s="30" t="s">
        <v>276</v>
      </c>
      <c r="C136" s="23" t="s">
        <v>361</v>
      </c>
      <c r="D136" s="7" t="s">
        <v>365</v>
      </c>
      <c r="E136" s="14" t="s">
        <v>27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  <c r="L136" s="5" t="n">
        <f aca="false">COUNTA(F136:K136)</f>
        <v>6</v>
      </c>
      <c r="M136" s="24" t="n">
        <f aca="false">COUNTIF(F136:K136,"Pass")</f>
        <v>0</v>
      </c>
      <c r="N136" s="8" t="n">
        <f aca="false">COUNTIF(F136:K136,"Fail")</f>
        <v>0</v>
      </c>
      <c r="O136" s="25" t="str">
        <f aca="false">IF(M136=0,"-",M136/L136)</f>
        <v>-</v>
      </c>
    </row>
    <row r="137" customFormat="false" ht="19.5" hidden="false" customHeight="true" outlineLevel="0" collapsed="false">
      <c r="A137" s="11" t="s">
        <v>366</v>
      </c>
      <c r="B137" s="30" t="s">
        <v>276</v>
      </c>
      <c r="C137" s="26" t="s">
        <v>361</v>
      </c>
      <c r="D137" s="12" t="s">
        <v>367</v>
      </c>
      <c r="E137" s="8" t="s">
        <v>19</v>
      </c>
      <c r="F137" s="10" t="s">
        <v>21</v>
      </c>
      <c r="G137" s="10" t="s">
        <v>21</v>
      </c>
      <c r="H137" s="10" t="s">
        <v>21</v>
      </c>
      <c r="I137" s="10" t="s">
        <v>21</v>
      </c>
      <c r="J137" s="10" t="s">
        <v>21</v>
      </c>
      <c r="K137" s="10" t="s">
        <v>21</v>
      </c>
      <c r="L137" s="11" t="n">
        <f aca="false">COUNTA(F137:K137)</f>
        <v>6</v>
      </c>
      <c r="M137" s="24" t="n">
        <f aca="false">COUNTIF(F137:K137,"Pass")</f>
        <v>0</v>
      </c>
      <c r="N137" s="8" t="n">
        <f aca="false">COUNTIF(F137:K137,"Fail")</f>
        <v>0</v>
      </c>
      <c r="O137" s="27" t="str">
        <f aca="false">IF(M137=0,"-",M137/L137)</f>
        <v>-</v>
      </c>
    </row>
    <row r="138" customFormat="false" ht="19.5" hidden="false" customHeight="true" outlineLevel="0" collapsed="false">
      <c r="A138" s="5" t="s">
        <v>368</v>
      </c>
      <c r="B138" s="30" t="s">
        <v>276</v>
      </c>
      <c r="C138" s="23" t="s">
        <v>361</v>
      </c>
      <c r="D138" s="7" t="s">
        <v>369</v>
      </c>
      <c r="E138" s="8" t="s">
        <v>19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  <c r="L138" s="5" t="n">
        <f aca="false">COUNTA(F138:K138)</f>
        <v>6</v>
      </c>
      <c r="M138" s="24" t="n">
        <f aca="false">COUNTIF(F138:K138,"Pass")</f>
        <v>0</v>
      </c>
      <c r="N138" s="8" t="n">
        <f aca="false">COUNTIF(F138:K138,"Fail")</f>
        <v>0</v>
      </c>
      <c r="O138" s="25" t="str">
        <f aca="false">IF(M138=0,"-",M138/L138)</f>
        <v>-</v>
      </c>
    </row>
    <row r="139" customFormat="false" ht="19.5" hidden="false" customHeight="true" outlineLevel="0" collapsed="false">
      <c r="A139" s="11" t="s">
        <v>370</v>
      </c>
      <c r="B139" s="30" t="s">
        <v>276</v>
      </c>
      <c r="C139" s="26" t="s">
        <v>361</v>
      </c>
      <c r="D139" s="12" t="s">
        <v>371</v>
      </c>
      <c r="E139" s="15" t="s">
        <v>53</v>
      </c>
      <c r="F139" s="10" t="s">
        <v>21</v>
      </c>
      <c r="G139" s="10" t="s">
        <v>21</v>
      </c>
      <c r="H139" s="10" t="s">
        <v>21</v>
      </c>
      <c r="I139" s="10" t="s">
        <v>21</v>
      </c>
      <c r="J139" s="10" t="s">
        <v>21</v>
      </c>
      <c r="K139" s="10" t="s">
        <v>21</v>
      </c>
      <c r="L139" s="11" t="n">
        <f aca="false">COUNTA(F139:K139)</f>
        <v>6</v>
      </c>
      <c r="M139" s="24" t="n">
        <f aca="false">COUNTIF(F139:K139,"Pass")</f>
        <v>0</v>
      </c>
      <c r="N139" s="8" t="n">
        <f aca="false">COUNTIF(F139:K139,"Fail")</f>
        <v>0</v>
      </c>
      <c r="O139" s="27" t="str">
        <f aca="false">IF(M139=0,"-",M139/L139)</f>
        <v>-</v>
      </c>
    </row>
    <row r="140" customFormat="false" ht="19.5" hidden="false" customHeight="true" outlineLevel="0" collapsed="false">
      <c r="A140" s="5" t="s">
        <v>372</v>
      </c>
      <c r="B140" s="30" t="s">
        <v>276</v>
      </c>
      <c r="C140" s="23" t="s">
        <v>373</v>
      </c>
      <c r="D140" s="7" t="s">
        <v>374</v>
      </c>
      <c r="E140" s="14" t="s">
        <v>27</v>
      </c>
      <c r="F140" s="10" t="s">
        <v>21</v>
      </c>
      <c r="G140" s="10" t="s">
        <v>21</v>
      </c>
      <c r="H140" s="10" t="s">
        <v>21</v>
      </c>
      <c r="I140" s="10" t="s">
        <v>21</v>
      </c>
      <c r="J140" s="10" t="s">
        <v>21</v>
      </c>
      <c r="K140" s="10" t="s">
        <v>21</v>
      </c>
      <c r="L140" s="5" t="n">
        <f aca="false">COUNTA(F140:K140)</f>
        <v>6</v>
      </c>
      <c r="M140" s="24" t="n">
        <f aca="false">COUNTIF(F140:K140,"Pass")</f>
        <v>0</v>
      </c>
      <c r="N140" s="8" t="n">
        <f aca="false">COUNTIF(F140:K140,"Fail")</f>
        <v>0</v>
      </c>
      <c r="O140" s="25" t="str">
        <f aca="false">IF(M140=0,"-",M140/L140)</f>
        <v>-</v>
      </c>
    </row>
    <row r="141" customFormat="false" ht="19.5" hidden="false" customHeight="true" outlineLevel="0" collapsed="false">
      <c r="A141" s="11" t="s">
        <v>376</v>
      </c>
      <c r="B141" s="30" t="s">
        <v>276</v>
      </c>
      <c r="C141" s="26" t="s">
        <v>373</v>
      </c>
      <c r="D141" s="12" t="s">
        <v>377</v>
      </c>
      <c r="E141" s="8" t="s">
        <v>19</v>
      </c>
      <c r="F141" s="10" t="s">
        <v>21</v>
      </c>
      <c r="G141" s="10" t="s">
        <v>21</v>
      </c>
      <c r="H141" s="10" t="s">
        <v>21</v>
      </c>
      <c r="I141" s="10" t="s">
        <v>21</v>
      </c>
      <c r="J141" s="10" t="s">
        <v>21</v>
      </c>
      <c r="K141" s="10" t="s">
        <v>21</v>
      </c>
      <c r="L141" s="11" t="n">
        <f aca="false">COUNTA(F141:K141)</f>
        <v>6</v>
      </c>
      <c r="M141" s="24" t="n">
        <f aca="false">COUNTIF(F141:K141,"Pass")</f>
        <v>0</v>
      </c>
      <c r="N141" s="8" t="n">
        <f aca="false">COUNTIF(F141:K141,"Fail")</f>
        <v>0</v>
      </c>
      <c r="O141" s="27" t="str">
        <f aca="false">IF(M141=0,"-",M141/L141)</f>
        <v>-</v>
      </c>
    </row>
    <row r="142" customFormat="false" ht="19.5" hidden="false" customHeight="true" outlineLevel="0" collapsed="false">
      <c r="A142" s="5" t="s">
        <v>378</v>
      </c>
      <c r="B142" s="30" t="s">
        <v>276</v>
      </c>
      <c r="C142" s="23" t="s">
        <v>242</v>
      </c>
      <c r="D142" s="7" t="s">
        <v>379</v>
      </c>
      <c r="E142" s="8" t="s">
        <v>19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  <c r="L142" s="5" t="n">
        <f aca="false">COUNTA(F142:K142)</f>
        <v>6</v>
      </c>
      <c r="M142" s="24" t="n">
        <f aca="false">COUNTIF(F142:K142,"Pass")</f>
        <v>0</v>
      </c>
      <c r="N142" s="8" t="n">
        <f aca="false">COUNTIF(F142:K142,"Fail")</f>
        <v>0</v>
      </c>
      <c r="O142" s="25" t="str">
        <f aca="false">IF(M142=0,"-",M142/L142)</f>
        <v>-</v>
      </c>
    </row>
    <row r="143" customFormat="false" ht="19.5" hidden="false" customHeight="true" outlineLevel="0" collapsed="false">
      <c r="A143" s="11" t="s">
        <v>380</v>
      </c>
      <c r="B143" s="30" t="s">
        <v>276</v>
      </c>
      <c r="C143" s="26" t="s">
        <v>242</v>
      </c>
      <c r="D143" s="12" t="s">
        <v>381</v>
      </c>
      <c r="E143" s="8" t="s">
        <v>19</v>
      </c>
      <c r="F143" s="10" t="s">
        <v>21</v>
      </c>
      <c r="G143" s="10" t="s">
        <v>21</v>
      </c>
      <c r="H143" s="10" t="s">
        <v>21</v>
      </c>
      <c r="I143" s="10" t="s">
        <v>21</v>
      </c>
      <c r="J143" s="10" t="s">
        <v>21</v>
      </c>
      <c r="K143" s="10" t="s">
        <v>21</v>
      </c>
      <c r="L143" s="11" t="n">
        <f aca="false">COUNTA(F143:K143)</f>
        <v>6</v>
      </c>
      <c r="M143" s="24" t="n">
        <f aca="false">COUNTIF(F143:K143,"Pass")</f>
        <v>0</v>
      </c>
      <c r="N143" s="8" t="n">
        <f aca="false">COUNTIF(F143:K143,"Fail")</f>
        <v>0</v>
      </c>
      <c r="O143" s="27" t="str">
        <f aca="false">IF(M143=0,"-",M143/L143)</f>
        <v>-</v>
      </c>
    </row>
    <row r="144" customFormat="false" ht="19.5" hidden="false" customHeight="true" outlineLevel="0" collapsed="false">
      <c r="A144" s="5" t="s">
        <v>382</v>
      </c>
      <c r="B144" s="30" t="s">
        <v>276</v>
      </c>
      <c r="C144" s="23" t="s">
        <v>242</v>
      </c>
      <c r="D144" s="7" t="s">
        <v>383</v>
      </c>
      <c r="E144" s="8" t="s">
        <v>19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  <c r="L144" s="5" t="n">
        <f aca="false">COUNTA(F144:K144)</f>
        <v>6</v>
      </c>
      <c r="M144" s="24" t="n">
        <f aca="false">COUNTIF(F144:K144,"Pass")</f>
        <v>0</v>
      </c>
      <c r="N144" s="8" t="n">
        <f aca="false">COUNTIF(F144:K144,"Fail")</f>
        <v>0</v>
      </c>
      <c r="O144" s="25" t="str">
        <f aca="false">IF(M144=0,"-",M144/L144)</f>
        <v>-</v>
      </c>
    </row>
    <row r="145" customFormat="false" ht="19.5" hidden="false" customHeight="true" outlineLevel="0" collapsed="false">
      <c r="A145" s="11" t="s">
        <v>384</v>
      </c>
      <c r="B145" s="30" t="s">
        <v>276</v>
      </c>
      <c r="C145" s="26" t="s">
        <v>251</v>
      </c>
      <c r="D145" s="12" t="s">
        <v>385</v>
      </c>
      <c r="E145" s="14" t="s">
        <v>27</v>
      </c>
      <c r="F145" s="10" t="s">
        <v>21</v>
      </c>
      <c r="G145" s="10" t="s">
        <v>21</v>
      </c>
      <c r="H145" s="10" t="s">
        <v>21</v>
      </c>
      <c r="I145" s="10" t="s">
        <v>21</v>
      </c>
      <c r="J145" s="10" t="s">
        <v>21</v>
      </c>
      <c r="K145" s="10" t="s">
        <v>21</v>
      </c>
      <c r="L145" s="11" t="n">
        <f aca="false">COUNTA(F145:K145)</f>
        <v>6</v>
      </c>
      <c r="M145" s="24" t="n">
        <f aca="false">COUNTIF(F145:K145,"Pass")</f>
        <v>0</v>
      </c>
      <c r="N145" s="8" t="n">
        <f aca="false">COUNTIF(F145:K145,"Fail")</f>
        <v>0</v>
      </c>
      <c r="O145" s="27" t="str">
        <f aca="false">IF(M145=0,"-",M145/L145)</f>
        <v>-</v>
      </c>
    </row>
    <row r="146" customFormat="false" ht="19.5" hidden="false" customHeight="true" outlineLevel="0" collapsed="false">
      <c r="A146" s="5" t="s">
        <v>387</v>
      </c>
      <c r="B146" s="30" t="s">
        <v>276</v>
      </c>
      <c r="C146" s="23" t="s">
        <v>251</v>
      </c>
      <c r="D146" s="7" t="s">
        <v>388</v>
      </c>
      <c r="E146" s="14" t="s">
        <v>27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  <c r="L146" s="5" t="n">
        <f aca="false">COUNTA(F146:K146)</f>
        <v>6</v>
      </c>
      <c r="M146" s="24" t="n">
        <f aca="false">COUNTIF(F146:K146,"Pass")</f>
        <v>0</v>
      </c>
      <c r="N146" s="8" t="n">
        <f aca="false">COUNTIF(F146:K146,"Fail")</f>
        <v>0</v>
      </c>
      <c r="O146" s="25" t="str">
        <f aca="false">IF(M146=0,"-",M146/L146)</f>
        <v>-</v>
      </c>
    </row>
    <row r="147" customFormat="false" ht="19.5" hidden="false" customHeight="true" outlineLevel="0" collapsed="false">
      <c r="A147" s="11" t="s">
        <v>389</v>
      </c>
      <c r="B147" s="30" t="s">
        <v>276</v>
      </c>
      <c r="C147" s="26" t="s">
        <v>251</v>
      </c>
      <c r="D147" s="12" t="s">
        <v>390</v>
      </c>
      <c r="E147" s="14" t="s">
        <v>27</v>
      </c>
      <c r="F147" s="10" t="s">
        <v>21</v>
      </c>
      <c r="G147" s="10" t="s">
        <v>21</v>
      </c>
      <c r="H147" s="10" t="s">
        <v>21</v>
      </c>
      <c r="I147" s="10" t="s">
        <v>21</v>
      </c>
      <c r="J147" s="10" t="s">
        <v>21</v>
      </c>
      <c r="K147" s="10" t="s">
        <v>21</v>
      </c>
      <c r="L147" s="11" t="n">
        <f aca="false">COUNTA(F147:K147)</f>
        <v>6</v>
      </c>
      <c r="M147" s="24" t="n">
        <f aca="false">COUNTIF(F147:K147,"Pass")</f>
        <v>0</v>
      </c>
      <c r="N147" s="8" t="n">
        <f aca="false">COUNTIF(F147:K147,"Fail")</f>
        <v>0</v>
      </c>
      <c r="O147" s="27" t="str">
        <f aca="false">IF(M147=0,"-",M147/L147)</f>
        <v>-</v>
      </c>
    </row>
    <row r="148" customFormat="false" ht="19.5" hidden="false" customHeight="true" outlineLevel="0" collapsed="false">
      <c r="A148" s="5" t="s">
        <v>391</v>
      </c>
      <c r="B148" s="30" t="s">
        <v>276</v>
      </c>
      <c r="C148" s="23" t="s">
        <v>251</v>
      </c>
      <c r="D148" s="7" t="s">
        <v>392</v>
      </c>
      <c r="E148" s="15" t="s">
        <v>53</v>
      </c>
      <c r="F148" s="10" t="s">
        <v>21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  <c r="L148" s="5" t="n">
        <f aca="false">COUNTA(F148:K148)</f>
        <v>6</v>
      </c>
      <c r="M148" s="24" t="n">
        <f aca="false">COUNTIF(F148:K148,"Pass")</f>
        <v>0</v>
      </c>
      <c r="N148" s="8" t="n">
        <f aca="false">COUNTIF(F148:K148,"Fail")</f>
        <v>0</v>
      </c>
      <c r="O148" s="25" t="str">
        <f aca="false">IF(M148=0,"-",M148/L148)</f>
        <v>-</v>
      </c>
    </row>
    <row r="149" customFormat="false" ht="19.5" hidden="false" customHeight="true" outlineLevel="0" collapsed="false">
      <c r="A149" s="11" t="s">
        <v>393</v>
      </c>
      <c r="B149" s="30" t="s">
        <v>276</v>
      </c>
      <c r="C149" s="26" t="s">
        <v>251</v>
      </c>
      <c r="D149" s="12" t="s">
        <v>394</v>
      </c>
      <c r="E149" s="15" t="s">
        <v>53</v>
      </c>
      <c r="F149" s="10" t="s">
        <v>21</v>
      </c>
      <c r="G149" s="10" t="s">
        <v>21</v>
      </c>
      <c r="H149" s="10" t="s">
        <v>21</v>
      </c>
      <c r="I149" s="10" t="s">
        <v>21</v>
      </c>
      <c r="J149" s="10" t="s">
        <v>21</v>
      </c>
      <c r="K149" s="10" t="s">
        <v>21</v>
      </c>
      <c r="L149" s="11" t="n">
        <f aca="false">COUNTA(F149:K149)</f>
        <v>6</v>
      </c>
      <c r="M149" s="24" t="n">
        <f aca="false">COUNTIF(F149:K149,"Pass")</f>
        <v>0</v>
      </c>
      <c r="N149" s="8" t="n">
        <f aca="false">COUNTIF(F149:K149,"Fail")</f>
        <v>0</v>
      </c>
      <c r="O149" s="27" t="str">
        <f aca="false">IF(M149=0,"-",M149/L149)</f>
        <v>-</v>
      </c>
    </row>
    <row r="150" customFormat="false" ht="19.5" hidden="false" customHeight="true" outlineLevel="0" collapsed="false">
      <c r="A150" s="5" t="s">
        <v>395</v>
      </c>
      <c r="B150" s="30" t="s">
        <v>276</v>
      </c>
      <c r="C150" s="23" t="s">
        <v>251</v>
      </c>
      <c r="D150" s="7" t="s">
        <v>396</v>
      </c>
      <c r="E150" s="15" t="s">
        <v>53</v>
      </c>
      <c r="F150" s="10" t="s">
        <v>21</v>
      </c>
      <c r="G150" s="10" t="s">
        <v>21</v>
      </c>
      <c r="H150" s="10" t="s">
        <v>21</v>
      </c>
      <c r="I150" s="10" t="s">
        <v>21</v>
      </c>
      <c r="J150" s="10" t="s">
        <v>21</v>
      </c>
      <c r="K150" s="10" t="s">
        <v>21</v>
      </c>
      <c r="L150" s="5" t="n">
        <f aca="false">COUNTA(F150:K150)</f>
        <v>6</v>
      </c>
      <c r="M150" s="24" t="n">
        <f aca="false">COUNTIF(F150:K150,"Pass")</f>
        <v>0</v>
      </c>
      <c r="N150" s="8" t="n">
        <f aca="false">COUNTIF(F150:K150,"Fail")</f>
        <v>0</v>
      </c>
      <c r="O150" s="25" t="str">
        <f aca="false">IF(M150=0,"-",M150/L150)</f>
        <v>-</v>
      </c>
    </row>
    <row r="151" customFormat="false" ht="19.5" hidden="false" customHeight="true" outlineLevel="0" collapsed="false">
      <c r="A151" s="11" t="s">
        <v>397</v>
      </c>
      <c r="B151" s="30" t="s">
        <v>276</v>
      </c>
      <c r="C151" s="26" t="s">
        <v>263</v>
      </c>
      <c r="D151" s="12" t="s">
        <v>398</v>
      </c>
      <c r="E151" s="8" t="s">
        <v>19</v>
      </c>
      <c r="F151" s="10" t="s">
        <v>21</v>
      </c>
      <c r="G151" s="10" t="s">
        <v>21</v>
      </c>
      <c r="H151" s="10" t="s">
        <v>21</v>
      </c>
      <c r="I151" s="10" t="s">
        <v>21</v>
      </c>
      <c r="J151" s="10" t="s">
        <v>21</v>
      </c>
      <c r="K151" s="10" t="s">
        <v>21</v>
      </c>
      <c r="L151" s="11" t="n">
        <f aca="false">COUNTA(F151:K151)</f>
        <v>6</v>
      </c>
      <c r="M151" s="24" t="n">
        <f aca="false">COUNTIF(F151:K151,"Pass")</f>
        <v>0</v>
      </c>
      <c r="N151" s="8" t="n">
        <f aca="false">COUNTIF(F151:K151,"Fail")</f>
        <v>0</v>
      </c>
      <c r="O151" s="27" t="str">
        <f aca="false">IF(M151=0,"-",M151/L151)</f>
        <v>-</v>
      </c>
    </row>
    <row r="152" customFormat="false" ht="19.5" hidden="false" customHeight="true" outlineLevel="0" collapsed="false">
      <c r="A152" s="5" t="s">
        <v>399</v>
      </c>
      <c r="B152" s="30" t="s">
        <v>276</v>
      </c>
      <c r="C152" s="23" t="s">
        <v>263</v>
      </c>
      <c r="D152" s="7" t="s">
        <v>266</v>
      </c>
      <c r="E152" s="15" t="s">
        <v>53</v>
      </c>
      <c r="F152" s="10" t="s">
        <v>21</v>
      </c>
      <c r="G152" s="10" t="s">
        <v>21</v>
      </c>
      <c r="H152" s="10" t="s">
        <v>21</v>
      </c>
      <c r="I152" s="10" t="s">
        <v>21</v>
      </c>
      <c r="J152" s="10" t="s">
        <v>21</v>
      </c>
      <c r="K152" s="10" t="s">
        <v>21</v>
      </c>
      <c r="L152" s="5" t="n">
        <f aca="false">COUNTA(F152:K152)</f>
        <v>6</v>
      </c>
      <c r="M152" s="24" t="n">
        <f aca="false">COUNTIF(F152:K152,"Pass")</f>
        <v>0</v>
      </c>
      <c r="N152" s="8" t="n">
        <f aca="false">COUNTIF(F152:K152,"Fail")</f>
        <v>0</v>
      </c>
      <c r="O152" s="25" t="str">
        <f aca="false">IF(M152=0,"-",M152/L152)</f>
        <v>-</v>
      </c>
    </row>
    <row r="153" customFormat="false" ht="19.5" hidden="false" customHeight="true" outlineLevel="0" collapsed="false">
      <c r="A153" s="11" t="s">
        <v>401</v>
      </c>
      <c r="B153" s="30" t="s">
        <v>276</v>
      </c>
      <c r="C153" s="26" t="s">
        <v>263</v>
      </c>
      <c r="D153" s="12" t="s">
        <v>269</v>
      </c>
      <c r="E153" s="15" t="s">
        <v>53</v>
      </c>
      <c r="F153" s="10" t="s">
        <v>21</v>
      </c>
      <c r="G153" s="10" t="s">
        <v>21</v>
      </c>
      <c r="H153" s="10" t="s">
        <v>21</v>
      </c>
      <c r="I153" s="10" t="s">
        <v>21</v>
      </c>
      <c r="J153" s="10" t="s">
        <v>21</v>
      </c>
      <c r="K153" s="10" t="s">
        <v>21</v>
      </c>
      <c r="L153" s="11" t="n">
        <f aca="false">COUNTA(F153:K153)</f>
        <v>6</v>
      </c>
      <c r="M153" s="24" t="n">
        <f aca="false">COUNTIF(F153:K153,"Pass")</f>
        <v>0</v>
      </c>
      <c r="N153" s="8" t="n">
        <f aca="false">COUNTIF(F153:K153,"Fail")</f>
        <v>0</v>
      </c>
      <c r="O153" s="27" t="str">
        <f aca="false">IF(M153=0,"-",M153/L153)</f>
        <v>-</v>
      </c>
    </row>
    <row r="154" customFormat="false" ht="18" hidden="false" customHeight="true" outlineLevel="0" collapsed="false">
      <c r="A154" s="4" t="s">
        <v>402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customFormat="false" ht="19.5" hidden="false" customHeight="true" outlineLevel="0" collapsed="false">
      <c r="A155" s="5" t="s">
        <v>403</v>
      </c>
      <c r="B155" s="31" t="s">
        <v>404</v>
      </c>
      <c r="C155" s="23" t="s">
        <v>405</v>
      </c>
      <c r="D155" s="7" t="s">
        <v>406</v>
      </c>
      <c r="E155" s="8" t="s">
        <v>19</v>
      </c>
      <c r="F155" s="10" t="s">
        <v>21</v>
      </c>
      <c r="G155" s="10" t="s">
        <v>21</v>
      </c>
      <c r="H155" s="10" t="s">
        <v>21</v>
      </c>
      <c r="I155" s="10" t="s">
        <v>21</v>
      </c>
      <c r="J155" s="10" t="s">
        <v>21</v>
      </c>
      <c r="K155" s="10" t="s">
        <v>21</v>
      </c>
      <c r="L155" s="5" t="n">
        <f aca="false">COUNTA(F155:K155)</f>
        <v>6</v>
      </c>
      <c r="M155" s="24" t="n">
        <f aca="false">COUNTIF(F155:K155,"Pass")</f>
        <v>0</v>
      </c>
      <c r="N155" s="8" t="n">
        <f aca="false">COUNTIF(F155:K155,"Fail")</f>
        <v>0</v>
      </c>
      <c r="O155" s="25" t="str">
        <f aca="false">IF(M155=0,"-",M155/L155)</f>
        <v>-</v>
      </c>
    </row>
    <row r="156" customFormat="false" ht="19.5" hidden="false" customHeight="true" outlineLevel="0" collapsed="false">
      <c r="A156" s="11" t="s">
        <v>408</v>
      </c>
      <c r="B156" s="31" t="s">
        <v>404</v>
      </c>
      <c r="C156" s="26" t="s">
        <v>405</v>
      </c>
      <c r="D156" s="12" t="s">
        <v>409</v>
      </c>
      <c r="E156" s="8" t="s">
        <v>19</v>
      </c>
      <c r="F156" s="10" t="s">
        <v>21</v>
      </c>
      <c r="G156" s="10" t="s">
        <v>21</v>
      </c>
      <c r="H156" s="10" t="s">
        <v>21</v>
      </c>
      <c r="I156" s="10" t="s">
        <v>21</v>
      </c>
      <c r="J156" s="10" t="s">
        <v>21</v>
      </c>
      <c r="K156" s="10" t="s">
        <v>21</v>
      </c>
      <c r="L156" s="11" t="n">
        <f aca="false">COUNTA(F156:K156)</f>
        <v>6</v>
      </c>
      <c r="M156" s="24" t="n">
        <f aca="false">COUNTIF(F156:K156,"Pass")</f>
        <v>0</v>
      </c>
      <c r="N156" s="8" t="n">
        <f aca="false">COUNTIF(F156:K156,"Fail")</f>
        <v>0</v>
      </c>
      <c r="O156" s="27" t="str">
        <f aca="false">IF(M156=0,"-",M156/L156)</f>
        <v>-</v>
      </c>
    </row>
    <row r="157" customFormat="false" ht="19.5" hidden="false" customHeight="true" outlineLevel="0" collapsed="false">
      <c r="A157" s="5" t="s">
        <v>411</v>
      </c>
      <c r="B157" s="31" t="s">
        <v>404</v>
      </c>
      <c r="C157" s="23" t="s">
        <v>293</v>
      </c>
      <c r="D157" s="7" t="s">
        <v>412</v>
      </c>
      <c r="E157" s="8" t="s">
        <v>19</v>
      </c>
      <c r="F157" s="10" t="s">
        <v>21</v>
      </c>
      <c r="G157" s="10" t="s">
        <v>21</v>
      </c>
      <c r="H157" s="10" t="s">
        <v>21</v>
      </c>
      <c r="I157" s="10" t="s">
        <v>21</v>
      </c>
      <c r="J157" s="10" t="s">
        <v>21</v>
      </c>
      <c r="K157" s="10" t="s">
        <v>21</v>
      </c>
      <c r="L157" s="5" t="n">
        <f aca="false">COUNTA(F157:K157)</f>
        <v>6</v>
      </c>
      <c r="M157" s="24" t="n">
        <f aca="false">COUNTIF(F157:K157,"Pass")</f>
        <v>0</v>
      </c>
      <c r="N157" s="8" t="n">
        <f aca="false">COUNTIF(F157:K157,"Fail")</f>
        <v>0</v>
      </c>
      <c r="O157" s="25" t="str">
        <f aca="false">IF(M157=0,"-",M157/L157)</f>
        <v>-</v>
      </c>
    </row>
    <row r="158" customFormat="false" ht="19.5" hidden="false" customHeight="true" outlineLevel="0" collapsed="false">
      <c r="A158" s="11" t="s">
        <v>414</v>
      </c>
      <c r="B158" s="31" t="s">
        <v>404</v>
      </c>
      <c r="C158" s="26" t="s">
        <v>293</v>
      </c>
      <c r="D158" s="12" t="s">
        <v>297</v>
      </c>
      <c r="E158" s="14" t="s">
        <v>27</v>
      </c>
      <c r="F158" s="10" t="s">
        <v>21</v>
      </c>
      <c r="G158" s="10" t="s">
        <v>21</v>
      </c>
      <c r="H158" s="10" t="s">
        <v>21</v>
      </c>
      <c r="I158" s="10" t="s">
        <v>21</v>
      </c>
      <c r="J158" s="10" t="s">
        <v>21</v>
      </c>
      <c r="K158" s="10" t="s">
        <v>21</v>
      </c>
      <c r="L158" s="11" t="n">
        <f aca="false">COUNTA(F158:K158)</f>
        <v>6</v>
      </c>
      <c r="M158" s="24" t="n">
        <f aca="false">COUNTIF(F158:K158,"Pass")</f>
        <v>0</v>
      </c>
      <c r="N158" s="8" t="n">
        <f aca="false">COUNTIF(F158:K158,"Fail")</f>
        <v>0</v>
      </c>
      <c r="O158" s="27" t="str">
        <f aca="false">IF(M158=0,"-",M158/L158)</f>
        <v>-</v>
      </c>
    </row>
    <row r="159" customFormat="false" ht="19.5" hidden="false" customHeight="true" outlineLevel="0" collapsed="false">
      <c r="A159" s="5" t="s">
        <v>415</v>
      </c>
      <c r="B159" s="31" t="s">
        <v>404</v>
      </c>
      <c r="C159" s="23" t="s">
        <v>293</v>
      </c>
      <c r="D159" s="7" t="s">
        <v>416</v>
      </c>
      <c r="E159" s="8" t="s">
        <v>19</v>
      </c>
      <c r="F159" s="10" t="s">
        <v>21</v>
      </c>
      <c r="G159" s="10" t="s">
        <v>21</v>
      </c>
      <c r="H159" s="10" t="s">
        <v>21</v>
      </c>
      <c r="I159" s="10" t="s">
        <v>21</v>
      </c>
      <c r="J159" s="10" t="s">
        <v>21</v>
      </c>
      <c r="K159" s="10" t="s">
        <v>21</v>
      </c>
      <c r="L159" s="5" t="n">
        <f aca="false">COUNTA(F159:K159)</f>
        <v>6</v>
      </c>
      <c r="M159" s="24" t="n">
        <f aca="false">COUNTIF(F159:K159,"Pass")</f>
        <v>0</v>
      </c>
      <c r="N159" s="8" t="n">
        <f aca="false">COUNTIF(F159:K159,"Fail")</f>
        <v>0</v>
      </c>
      <c r="O159" s="25" t="str">
        <f aca="false">IF(M159=0,"-",M159/L159)</f>
        <v>-</v>
      </c>
    </row>
    <row r="160" customFormat="false" ht="19.5" hidden="false" customHeight="true" outlineLevel="0" collapsed="false">
      <c r="A160" s="11" t="s">
        <v>417</v>
      </c>
      <c r="B160" s="31" t="s">
        <v>404</v>
      </c>
      <c r="C160" s="26" t="s">
        <v>301</v>
      </c>
      <c r="D160" s="12" t="s">
        <v>418</v>
      </c>
      <c r="E160" s="8" t="s">
        <v>19</v>
      </c>
      <c r="F160" s="10" t="s">
        <v>21</v>
      </c>
      <c r="G160" s="10" t="s">
        <v>21</v>
      </c>
      <c r="H160" s="10" t="s">
        <v>21</v>
      </c>
      <c r="I160" s="10" t="s">
        <v>21</v>
      </c>
      <c r="J160" s="10" t="s">
        <v>21</v>
      </c>
      <c r="K160" s="10" t="s">
        <v>21</v>
      </c>
      <c r="L160" s="11" t="n">
        <f aca="false">COUNTA(F160:K160)</f>
        <v>6</v>
      </c>
      <c r="M160" s="24" t="n">
        <f aca="false">COUNTIF(F160:K160,"Pass")</f>
        <v>0</v>
      </c>
      <c r="N160" s="8" t="n">
        <f aca="false">COUNTIF(F160:K160,"Fail")</f>
        <v>0</v>
      </c>
      <c r="O160" s="27" t="str">
        <f aca="false">IF(M160=0,"-",M160/L160)</f>
        <v>-</v>
      </c>
    </row>
    <row r="161" customFormat="false" ht="19.5" hidden="false" customHeight="true" outlineLevel="0" collapsed="false">
      <c r="A161" s="5" t="s">
        <v>420</v>
      </c>
      <c r="B161" s="31" t="s">
        <v>404</v>
      </c>
      <c r="C161" s="23" t="s">
        <v>301</v>
      </c>
      <c r="D161" s="7" t="s">
        <v>305</v>
      </c>
      <c r="E161" s="8" t="s">
        <v>19</v>
      </c>
      <c r="F161" s="10" t="s">
        <v>21</v>
      </c>
      <c r="G161" s="10" t="s">
        <v>21</v>
      </c>
      <c r="H161" s="10" t="s">
        <v>21</v>
      </c>
      <c r="I161" s="10" t="s">
        <v>21</v>
      </c>
      <c r="J161" s="10" t="s">
        <v>21</v>
      </c>
      <c r="K161" s="10" t="s">
        <v>21</v>
      </c>
      <c r="L161" s="5" t="n">
        <f aca="false">COUNTA(F161:K161)</f>
        <v>6</v>
      </c>
      <c r="M161" s="24" t="n">
        <f aca="false">COUNTIF(F161:K161,"Pass")</f>
        <v>0</v>
      </c>
      <c r="N161" s="8" t="n">
        <f aca="false">COUNTIF(F161:K161,"Fail")</f>
        <v>0</v>
      </c>
      <c r="O161" s="25" t="str">
        <f aca="false">IF(M161=0,"-",M161/L161)</f>
        <v>-</v>
      </c>
    </row>
    <row r="162" customFormat="false" ht="19.5" hidden="false" customHeight="true" outlineLevel="0" collapsed="false">
      <c r="A162" s="11" t="s">
        <v>421</v>
      </c>
      <c r="B162" s="31" t="s">
        <v>404</v>
      </c>
      <c r="C162" s="26" t="s">
        <v>301</v>
      </c>
      <c r="D162" s="12" t="s">
        <v>422</v>
      </c>
      <c r="E162" s="8" t="s">
        <v>19</v>
      </c>
      <c r="F162" s="10" t="s">
        <v>21</v>
      </c>
      <c r="G162" s="10" t="s">
        <v>21</v>
      </c>
      <c r="H162" s="10" t="s">
        <v>21</v>
      </c>
      <c r="I162" s="10" t="s">
        <v>21</v>
      </c>
      <c r="J162" s="10" t="s">
        <v>21</v>
      </c>
      <c r="K162" s="10" t="s">
        <v>21</v>
      </c>
      <c r="L162" s="11" t="n">
        <f aca="false">COUNTA(F162:K162)</f>
        <v>6</v>
      </c>
      <c r="M162" s="24" t="n">
        <f aca="false">COUNTIF(F162:K162,"Pass")</f>
        <v>0</v>
      </c>
      <c r="N162" s="8" t="n">
        <f aca="false">COUNTIF(F162:K162,"Fail")</f>
        <v>0</v>
      </c>
      <c r="O162" s="27" t="str">
        <f aca="false">IF(M162=0,"-",M162/L162)</f>
        <v>-</v>
      </c>
    </row>
    <row r="163" customFormat="false" ht="19.5" hidden="false" customHeight="true" outlineLevel="0" collapsed="false">
      <c r="A163" s="5" t="s">
        <v>423</v>
      </c>
      <c r="B163" s="31" t="s">
        <v>404</v>
      </c>
      <c r="C163" s="23" t="s">
        <v>301</v>
      </c>
      <c r="D163" s="7" t="s">
        <v>424</v>
      </c>
      <c r="E163" s="14" t="s">
        <v>27</v>
      </c>
      <c r="F163" s="10" t="s">
        <v>21</v>
      </c>
      <c r="G163" s="10" t="s">
        <v>21</v>
      </c>
      <c r="H163" s="10" t="s">
        <v>21</v>
      </c>
      <c r="I163" s="10" t="s">
        <v>21</v>
      </c>
      <c r="J163" s="10" t="s">
        <v>21</v>
      </c>
      <c r="K163" s="10" t="s">
        <v>21</v>
      </c>
      <c r="L163" s="5" t="n">
        <f aca="false">COUNTA(F163:K163)</f>
        <v>6</v>
      </c>
      <c r="M163" s="24" t="n">
        <f aca="false">COUNTIF(F163:K163,"Pass")</f>
        <v>0</v>
      </c>
      <c r="N163" s="8" t="n">
        <f aca="false">COUNTIF(F163:K163,"Fail")</f>
        <v>0</v>
      </c>
      <c r="O163" s="25" t="str">
        <f aca="false">IF(M163=0,"-",M163/L163)</f>
        <v>-</v>
      </c>
    </row>
    <row r="164" customFormat="false" ht="19.5" hidden="false" customHeight="true" outlineLevel="0" collapsed="false">
      <c r="A164" s="11" t="s">
        <v>425</v>
      </c>
      <c r="B164" s="31" t="s">
        <v>404</v>
      </c>
      <c r="C164" s="26" t="s">
        <v>426</v>
      </c>
      <c r="D164" s="12" t="s">
        <v>332</v>
      </c>
      <c r="E164" s="8" t="s">
        <v>19</v>
      </c>
      <c r="F164" s="10" t="s">
        <v>21</v>
      </c>
      <c r="G164" s="10" t="s">
        <v>21</v>
      </c>
      <c r="H164" s="10" t="s">
        <v>21</v>
      </c>
      <c r="I164" s="10" t="s">
        <v>21</v>
      </c>
      <c r="J164" s="10" t="s">
        <v>21</v>
      </c>
      <c r="K164" s="10" t="s">
        <v>21</v>
      </c>
      <c r="L164" s="11" t="n">
        <f aca="false">COUNTA(F164:K164)</f>
        <v>6</v>
      </c>
      <c r="M164" s="24" t="n">
        <f aca="false">COUNTIF(F164:K164,"Pass")</f>
        <v>0</v>
      </c>
      <c r="N164" s="8" t="n">
        <f aca="false">COUNTIF(F164:K164,"Fail")</f>
        <v>0</v>
      </c>
      <c r="O164" s="27" t="str">
        <f aca="false">IF(M164=0,"-",M164/L164)</f>
        <v>-</v>
      </c>
    </row>
    <row r="165" customFormat="false" ht="19.5" hidden="false" customHeight="true" outlineLevel="0" collapsed="false">
      <c r="A165" s="5" t="s">
        <v>428</v>
      </c>
      <c r="B165" s="31" t="s">
        <v>404</v>
      </c>
      <c r="C165" s="23" t="s">
        <v>426</v>
      </c>
      <c r="D165" s="7" t="s">
        <v>429</v>
      </c>
      <c r="E165" s="8" t="s">
        <v>19</v>
      </c>
      <c r="F165" s="10" t="s">
        <v>21</v>
      </c>
      <c r="G165" s="10" t="s">
        <v>21</v>
      </c>
      <c r="H165" s="10" t="s">
        <v>21</v>
      </c>
      <c r="I165" s="10" t="s">
        <v>21</v>
      </c>
      <c r="J165" s="10" t="s">
        <v>21</v>
      </c>
      <c r="K165" s="10" t="s">
        <v>21</v>
      </c>
      <c r="L165" s="5" t="n">
        <f aca="false">COUNTA(F165:K165)</f>
        <v>6</v>
      </c>
      <c r="M165" s="24" t="n">
        <f aca="false">COUNTIF(F165:K165,"Pass")</f>
        <v>0</v>
      </c>
      <c r="N165" s="8" t="n">
        <f aca="false">COUNTIF(F165:K165,"Fail")</f>
        <v>0</v>
      </c>
      <c r="O165" s="25" t="str">
        <f aca="false">IF(M165=0,"-",M165/L165)</f>
        <v>-</v>
      </c>
    </row>
    <row r="166" customFormat="false" ht="19.5" hidden="false" customHeight="true" outlineLevel="0" collapsed="false">
      <c r="A166" s="11" t="s">
        <v>430</v>
      </c>
      <c r="B166" s="31" t="s">
        <v>404</v>
      </c>
      <c r="C166" s="26" t="s">
        <v>426</v>
      </c>
      <c r="D166" s="12" t="s">
        <v>431</v>
      </c>
      <c r="E166" s="14" t="s">
        <v>27</v>
      </c>
      <c r="F166" s="10" t="s">
        <v>21</v>
      </c>
      <c r="G166" s="10" t="s">
        <v>21</v>
      </c>
      <c r="H166" s="10" t="s">
        <v>21</v>
      </c>
      <c r="I166" s="10" t="s">
        <v>21</v>
      </c>
      <c r="J166" s="10" t="s">
        <v>21</v>
      </c>
      <c r="K166" s="10" t="s">
        <v>21</v>
      </c>
      <c r="L166" s="11" t="n">
        <f aca="false">COUNTA(F166:K166)</f>
        <v>6</v>
      </c>
      <c r="M166" s="24" t="n">
        <f aca="false">COUNTIF(F166:K166,"Pass")</f>
        <v>0</v>
      </c>
      <c r="N166" s="8" t="n">
        <f aca="false">COUNTIF(F166:K166,"Fail")</f>
        <v>0</v>
      </c>
      <c r="O166" s="27" t="str">
        <f aca="false">IF(M166=0,"-",M166/L166)</f>
        <v>-</v>
      </c>
    </row>
    <row r="167" customFormat="false" ht="19.5" hidden="false" customHeight="true" outlineLevel="0" collapsed="false">
      <c r="A167" s="5" t="s">
        <v>432</v>
      </c>
      <c r="B167" s="31" t="s">
        <v>404</v>
      </c>
      <c r="C167" s="23" t="s">
        <v>426</v>
      </c>
      <c r="D167" s="7" t="s">
        <v>433</v>
      </c>
      <c r="E167" s="14" t="s">
        <v>27</v>
      </c>
      <c r="F167" s="10" t="s">
        <v>21</v>
      </c>
      <c r="G167" s="10" t="s">
        <v>21</v>
      </c>
      <c r="H167" s="10" t="s">
        <v>21</v>
      </c>
      <c r="I167" s="10" t="s">
        <v>21</v>
      </c>
      <c r="J167" s="10" t="s">
        <v>21</v>
      </c>
      <c r="K167" s="10" t="s">
        <v>21</v>
      </c>
      <c r="L167" s="5" t="n">
        <f aca="false">COUNTA(F167:K167)</f>
        <v>6</v>
      </c>
      <c r="M167" s="24" t="n">
        <f aca="false">COUNTIF(F167:K167,"Pass")</f>
        <v>0</v>
      </c>
      <c r="N167" s="8" t="n">
        <f aca="false">COUNTIF(F167:K167,"Fail")</f>
        <v>0</v>
      </c>
      <c r="O167" s="25" t="str">
        <f aca="false">IF(M167=0,"-",M167/L167)</f>
        <v>-</v>
      </c>
    </row>
    <row r="168" customFormat="false" ht="19.5" hidden="false" customHeight="true" outlineLevel="0" collapsed="false">
      <c r="A168" s="11" t="s">
        <v>434</v>
      </c>
      <c r="B168" s="31" t="s">
        <v>404</v>
      </c>
      <c r="C168" s="26" t="s">
        <v>435</v>
      </c>
      <c r="D168" s="12" t="s">
        <v>436</v>
      </c>
      <c r="E168" s="8" t="s">
        <v>19</v>
      </c>
      <c r="F168" s="10" t="s">
        <v>21</v>
      </c>
      <c r="G168" s="10" t="s">
        <v>21</v>
      </c>
      <c r="H168" s="10" t="s">
        <v>21</v>
      </c>
      <c r="I168" s="10" t="s">
        <v>21</v>
      </c>
      <c r="J168" s="10" t="s">
        <v>21</v>
      </c>
      <c r="K168" s="10" t="s">
        <v>21</v>
      </c>
      <c r="L168" s="11" t="n">
        <f aca="false">COUNTA(F168:K168)</f>
        <v>6</v>
      </c>
      <c r="M168" s="24" t="n">
        <f aca="false">COUNTIF(F168:K168,"Pass")</f>
        <v>0</v>
      </c>
      <c r="N168" s="8" t="n">
        <f aca="false">COUNTIF(F168:K168,"Fail")</f>
        <v>0</v>
      </c>
      <c r="O168" s="27" t="str">
        <f aca="false">IF(M168=0,"-",M168/L168)</f>
        <v>-</v>
      </c>
    </row>
    <row r="169" customFormat="false" ht="19.5" hidden="false" customHeight="true" outlineLevel="0" collapsed="false">
      <c r="A169" s="5" t="s">
        <v>438</v>
      </c>
      <c r="B169" s="31" t="s">
        <v>404</v>
      </c>
      <c r="C169" s="23" t="s">
        <v>435</v>
      </c>
      <c r="D169" s="7" t="s">
        <v>439</v>
      </c>
      <c r="E169" s="8" t="s">
        <v>19</v>
      </c>
      <c r="F169" s="10" t="s">
        <v>21</v>
      </c>
      <c r="G169" s="10" t="s">
        <v>21</v>
      </c>
      <c r="H169" s="10" t="s">
        <v>21</v>
      </c>
      <c r="I169" s="10" t="s">
        <v>21</v>
      </c>
      <c r="J169" s="10" t="s">
        <v>21</v>
      </c>
      <c r="K169" s="10" t="s">
        <v>21</v>
      </c>
      <c r="L169" s="5" t="n">
        <f aca="false">COUNTA(F169:K169)</f>
        <v>6</v>
      </c>
      <c r="M169" s="24" t="n">
        <f aca="false">COUNTIF(F169:K169,"Pass")</f>
        <v>0</v>
      </c>
      <c r="N169" s="8" t="n">
        <f aca="false">COUNTIF(F169:K169,"Fail")</f>
        <v>0</v>
      </c>
      <c r="O169" s="25" t="str">
        <f aca="false">IF(M169=0,"-",M169/L169)</f>
        <v>-</v>
      </c>
    </row>
    <row r="170" customFormat="false" ht="19.5" hidden="false" customHeight="true" outlineLevel="0" collapsed="false">
      <c r="A170" s="11" t="s">
        <v>440</v>
      </c>
      <c r="B170" s="31" t="s">
        <v>404</v>
      </c>
      <c r="C170" s="26" t="s">
        <v>435</v>
      </c>
      <c r="D170" s="12" t="s">
        <v>441</v>
      </c>
      <c r="E170" s="8" t="s">
        <v>19</v>
      </c>
      <c r="F170" s="10" t="s">
        <v>21</v>
      </c>
      <c r="G170" s="10" t="s">
        <v>21</v>
      </c>
      <c r="H170" s="10" t="s">
        <v>21</v>
      </c>
      <c r="I170" s="10" t="s">
        <v>21</v>
      </c>
      <c r="J170" s="10" t="s">
        <v>21</v>
      </c>
      <c r="K170" s="10" t="s">
        <v>21</v>
      </c>
      <c r="L170" s="11" t="n">
        <f aca="false">COUNTA(F170:K170)</f>
        <v>6</v>
      </c>
      <c r="M170" s="24" t="n">
        <f aca="false">COUNTIF(F170:K170,"Pass")</f>
        <v>0</v>
      </c>
      <c r="N170" s="8" t="n">
        <f aca="false">COUNTIF(F170:K170,"Fail")</f>
        <v>0</v>
      </c>
      <c r="O170" s="27" t="str">
        <f aca="false">IF(M170=0,"-",M170/L170)</f>
        <v>-</v>
      </c>
    </row>
    <row r="171" customFormat="false" ht="19.5" hidden="false" customHeight="true" outlineLevel="0" collapsed="false">
      <c r="A171" s="5" t="s">
        <v>442</v>
      </c>
      <c r="B171" s="31" t="s">
        <v>404</v>
      </c>
      <c r="C171" s="23" t="s">
        <v>443</v>
      </c>
      <c r="D171" s="7" t="s">
        <v>444</v>
      </c>
      <c r="E171" s="8" t="s">
        <v>19</v>
      </c>
      <c r="F171" s="10" t="s">
        <v>21</v>
      </c>
      <c r="G171" s="10" t="s">
        <v>21</v>
      </c>
      <c r="H171" s="10" t="s">
        <v>21</v>
      </c>
      <c r="I171" s="10" t="s">
        <v>21</v>
      </c>
      <c r="J171" s="10" t="s">
        <v>21</v>
      </c>
      <c r="K171" s="10" t="s">
        <v>21</v>
      </c>
      <c r="L171" s="5" t="n">
        <f aca="false">COUNTA(F171:K171)</f>
        <v>6</v>
      </c>
      <c r="M171" s="24" t="n">
        <f aca="false">COUNTIF(F171:K171,"Pass")</f>
        <v>0</v>
      </c>
      <c r="N171" s="8" t="n">
        <f aca="false">COUNTIF(F171:K171,"Fail")</f>
        <v>0</v>
      </c>
      <c r="O171" s="25" t="str">
        <f aca="false">IF(M171=0,"-",M171/L171)</f>
        <v>-</v>
      </c>
    </row>
    <row r="172" customFormat="false" ht="19.5" hidden="false" customHeight="true" outlineLevel="0" collapsed="false">
      <c r="A172" s="11" t="s">
        <v>446</v>
      </c>
      <c r="B172" s="31" t="s">
        <v>404</v>
      </c>
      <c r="C172" s="26" t="s">
        <v>443</v>
      </c>
      <c r="D172" s="12" t="s">
        <v>447</v>
      </c>
      <c r="E172" s="8" t="s">
        <v>19</v>
      </c>
      <c r="F172" s="10" t="s">
        <v>21</v>
      </c>
      <c r="G172" s="10" t="s">
        <v>21</v>
      </c>
      <c r="H172" s="10" t="s">
        <v>21</v>
      </c>
      <c r="I172" s="10" t="s">
        <v>21</v>
      </c>
      <c r="J172" s="10" t="s">
        <v>21</v>
      </c>
      <c r="K172" s="10" t="s">
        <v>21</v>
      </c>
      <c r="L172" s="11" t="n">
        <f aca="false">COUNTA(F172:K172)</f>
        <v>6</v>
      </c>
      <c r="M172" s="24" t="n">
        <f aca="false">COUNTIF(F172:K172,"Pass")</f>
        <v>0</v>
      </c>
      <c r="N172" s="8" t="n">
        <f aca="false">COUNTIF(F172:K172,"Fail")</f>
        <v>0</v>
      </c>
      <c r="O172" s="27" t="str">
        <f aca="false">IF(M172=0,"-",M172/L172)</f>
        <v>-</v>
      </c>
    </row>
    <row r="173" customFormat="false" ht="19.5" hidden="false" customHeight="true" outlineLevel="0" collapsed="false">
      <c r="A173" s="5" t="s">
        <v>448</v>
      </c>
      <c r="B173" s="31" t="s">
        <v>404</v>
      </c>
      <c r="C173" s="23" t="s">
        <v>443</v>
      </c>
      <c r="D173" s="7" t="s">
        <v>449</v>
      </c>
      <c r="E173" s="8" t="s">
        <v>19</v>
      </c>
      <c r="F173" s="10" t="s">
        <v>21</v>
      </c>
      <c r="G173" s="10" t="s">
        <v>21</v>
      </c>
      <c r="H173" s="10" t="s">
        <v>21</v>
      </c>
      <c r="I173" s="10" t="s">
        <v>21</v>
      </c>
      <c r="J173" s="10" t="s">
        <v>21</v>
      </c>
      <c r="K173" s="10" t="s">
        <v>21</v>
      </c>
      <c r="L173" s="5" t="n">
        <f aca="false">COUNTA(F173:K173)</f>
        <v>6</v>
      </c>
      <c r="M173" s="24" t="n">
        <f aca="false">COUNTIF(F173:K173,"Pass")</f>
        <v>0</v>
      </c>
      <c r="N173" s="8" t="n">
        <f aca="false">COUNTIF(F173:K173,"Fail")</f>
        <v>0</v>
      </c>
      <c r="O173" s="25" t="str">
        <f aca="false">IF(M173=0,"-",M173/L173)</f>
        <v>-</v>
      </c>
    </row>
    <row r="174" customFormat="false" ht="19.5" hidden="false" customHeight="true" outlineLevel="0" collapsed="false">
      <c r="A174" s="11" t="s">
        <v>450</v>
      </c>
      <c r="B174" s="31" t="s">
        <v>404</v>
      </c>
      <c r="C174" s="26" t="s">
        <v>443</v>
      </c>
      <c r="D174" s="12" t="s">
        <v>451</v>
      </c>
      <c r="E174" s="14" t="s">
        <v>27</v>
      </c>
      <c r="F174" s="10" t="s">
        <v>21</v>
      </c>
      <c r="G174" s="10" t="s">
        <v>21</v>
      </c>
      <c r="H174" s="10" t="s">
        <v>21</v>
      </c>
      <c r="I174" s="10" t="s">
        <v>21</v>
      </c>
      <c r="J174" s="10" t="s">
        <v>21</v>
      </c>
      <c r="K174" s="10" t="s">
        <v>21</v>
      </c>
      <c r="L174" s="11" t="n">
        <f aca="false">COUNTA(F174:K174)</f>
        <v>6</v>
      </c>
      <c r="M174" s="24" t="n">
        <f aca="false">COUNTIF(F174:K174,"Pass")</f>
        <v>0</v>
      </c>
      <c r="N174" s="8" t="n">
        <f aca="false">COUNTIF(F174:K174,"Fail")</f>
        <v>0</v>
      </c>
      <c r="O174" s="27" t="str">
        <f aca="false">IF(M174=0,"-",M174/L174)</f>
        <v>-</v>
      </c>
    </row>
    <row r="175" customFormat="false" ht="19.5" hidden="false" customHeight="true" outlineLevel="0" collapsed="false">
      <c r="A175" s="5" t="s">
        <v>452</v>
      </c>
      <c r="B175" s="31" t="s">
        <v>404</v>
      </c>
      <c r="C175" s="23" t="s">
        <v>453</v>
      </c>
      <c r="D175" s="7" t="s">
        <v>454</v>
      </c>
      <c r="E175" s="8" t="s">
        <v>19</v>
      </c>
      <c r="F175" s="10" t="s">
        <v>21</v>
      </c>
      <c r="G175" s="10" t="s">
        <v>21</v>
      </c>
      <c r="H175" s="10" t="s">
        <v>21</v>
      </c>
      <c r="I175" s="10" t="s">
        <v>21</v>
      </c>
      <c r="J175" s="10" t="s">
        <v>21</v>
      </c>
      <c r="K175" s="10" t="s">
        <v>21</v>
      </c>
      <c r="L175" s="5" t="n">
        <f aca="false">COUNTA(F175:K175)</f>
        <v>6</v>
      </c>
      <c r="M175" s="24" t="n">
        <f aca="false">COUNTIF(F175:K175,"Pass")</f>
        <v>0</v>
      </c>
      <c r="N175" s="8" t="n">
        <f aca="false">COUNTIF(F175:K175,"Fail")</f>
        <v>0</v>
      </c>
      <c r="O175" s="25" t="str">
        <f aca="false">IF(M175=0,"-",M175/L175)</f>
        <v>-</v>
      </c>
    </row>
    <row r="176" customFormat="false" ht="19.5" hidden="false" customHeight="true" outlineLevel="0" collapsed="false">
      <c r="A176" s="11" t="s">
        <v>456</v>
      </c>
      <c r="B176" s="31" t="s">
        <v>404</v>
      </c>
      <c r="C176" s="26" t="s">
        <v>453</v>
      </c>
      <c r="D176" s="12" t="s">
        <v>457</v>
      </c>
      <c r="E176" s="14" t="s">
        <v>27</v>
      </c>
      <c r="F176" s="10" t="s">
        <v>21</v>
      </c>
      <c r="G176" s="10" t="s">
        <v>21</v>
      </c>
      <c r="H176" s="10" t="s">
        <v>21</v>
      </c>
      <c r="I176" s="10" t="s">
        <v>21</v>
      </c>
      <c r="J176" s="10" t="s">
        <v>21</v>
      </c>
      <c r="K176" s="10" t="s">
        <v>21</v>
      </c>
      <c r="L176" s="11" t="n">
        <f aca="false">COUNTA(F176:K176)</f>
        <v>6</v>
      </c>
      <c r="M176" s="24" t="n">
        <f aca="false">COUNTIF(F176:K176,"Pass")</f>
        <v>0</v>
      </c>
      <c r="N176" s="8" t="n">
        <f aca="false">COUNTIF(F176:K176,"Fail")</f>
        <v>0</v>
      </c>
      <c r="O176" s="27" t="str">
        <f aca="false">IF(M176=0,"-",M176/L176)</f>
        <v>-</v>
      </c>
    </row>
    <row r="177" customFormat="false" ht="19.5" hidden="false" customHeight="true" outlineLevel="0" collapsed="false">
      <c r="A177" s="5" t="s">
        <v>458</v>
      </c>
      <c r="B177" s="31" t="s">
        <v>404</v>
      </c>
      <c r="C177" s="23" t="s">
        <v>453</v>
      </c>
      <c r="D177" s="7" t="s">
        <v>459</v>
      </c>
      <c r="E177" s="15" t="s">
        <v>53</v>
      </c>
      <c r="F177" s="10" t="s">
        <v>21</v>
      </c>
      <c r="G177" s="10" t="s">
        <v>21</v>
      </c>
      <c r="H177" s="10" t="s">
        <v>21</v>
      </c>
      <c r="I177" s="10" t="s">
        <v>21</v>
      </c>
      <c r="J177" s="10" t="s">
        <v>21</v>
      </c>
      <c r="K177" s="10" t="s">
        <v>21</v>
      </c>
      <c r="L177" s="5" t="n">
        <f aca="false">COUNTA(F177:K177)</f>
        <v>6</v>
      </c>
      <c r="M177" s="24" t="n">
        <f aca="false">COUNTIF(F177:K177,"Pass")</f>
        <v>0</v>
      </c>
      <c r="N177" s="8" t="n">
        <f aca="false">COUNTIF(F177:K177,"Fail")</f>
        <v>0</v>
      </c>
      <c r="O177" s="25" t="str">
        <f aca="false">IF(M177=0,"-",M177/L177)</f>
        <v>-</v>
      </c>
    </row>
    <row r="178" customFormat="false" ht="19.5" hidden="false" customHeight="true" outlineLevel="0" collapsed="false">
      <c r="A178" s="11" t="s">
        <v>460</v>
      </c>
      <c r="B178" s="31" t="s">
        <v>404</v>
      </c>
      <c r="C178" s="26" t="s">
        <v>453</v>
      </c>
      <c r="D178" s="12" t="s">
        <v>461</v>
      </c>
      <c r="E178" s="8" t="s">
        <v>19</v>
      </c>
      <c r="F178" s="10" t="s">
        <v>21</v>
      </c>
      <c r="G178" s="10" t="s">
        <v>21</v>
      </c>
      <c r="H178" s="10" t="s">
        <v>21</v>
      </c>
      <c r="I178" s="10" t="s">
        <v>21</v>
      </c>
      <c r="J178" s="10" t="s">
        <v>21</v>
      </c>
      <c r="K178" s="10" t="s">
        <v>21</v>
      </c>
      <c r="L178" s="11" t="n">
        <f aca="false">COUNTA(F178:K178)</f>
        <v>6</v>
      </c>
      <c r="M178" s="24" t="n">
        <f aca="false">COUNTIF(F178:K178,"Pass")</f>
        <v>0</v>
      </c>
      <c r="N178" s="8" t="n">
        <f aca="false">COUNTIF(F178:K178,"Fail")</f>
        <v>0</v>
      </c>
      <c r="O178" s="27" t="str">
        <f aca="false">IF(M178=0,"-",M178/L178)</f>
        <v>-</v>
      </c>
    </row>
    <row r="179" customFormat="false" ht="19.5" hidden="false" customHeight="true" outlineLevel="0" collapsed="false">
      <c r="A179" s="5" t="s">
        <v>462</v>
      </c>
      <c r="B179" s="31" t="s">
        <v>404</v>
      </c>
      <c r="C179" s="23" t="s">
        <v>453</v>
      </c>
      <c r="D179" s="7" t="s">
        <v>463</v>
      </c>
      <c r="E179" s="14" t="s">
        <v>27</v>
      </c>
      <c r="F179" s="10" t="s">
        <v>21</v>
      </c>
      <c r="G179" s="10" t="s">
        <v>21</v>
      </c>
      <c r="H179" s="10" t="s">
        <v>21</v>
      </c>
      <c r="I179" s="10" t="s">
        <v>21</v>
      </c>
      <c r="J179" s="10" t="s">
        <v>21</v>
      </c>
      <c r="K179" s="10" t="s">
        <v>21</v>
      </c>
      <c r="L179" s="5" t="n">
        <f aca="false">COUNTA(F179:K179)</f>
        <v>6</v>
      </c>
      <c r="M179" s="24" t="n">
        <f aca="false">COUNTIF(F179:K179,"Pass")</f>
        <v>0</v>
      </c>
      <c r="N179" s="8" t="n">
        <f aca="false">COUNTIF(F179:K179,"Fail")</f>
        <v>0</v>
      </c>
      <c r="O179" s="25" t="str">
        <f aca="false">IF(M179=0,"-",M179/L179)</f>
        <v>-</v>
      </c>
    </row>
    <row r="180" customFormat="false" ht="19.5" hidden="false" customHeight="true" outlineLevel="0" collapsed="false">
      <c r="A180" s="11" t="s">
        <v>465</v>
      </c>
      <c r="B180" s="31" t="s">
        <v>404</v>
      </c>
      <c r="C180" s="26" t="s">
        <v>453</v>
      </c>
      <c r="D180" s="12" t="s">
        <v>466</v>
      </c>
      <c r="E180" s="8" t="s">
        <v>19</v>
      </c>
      <c r="F180" s="10" t="s">
        <v>21</v>
      </c>
      <c r="G180" s="10" t="s">
        <v>21</v>
      </c>
      <c r="H180" s="10" t="s">
        <v>21</v>
      </c>
      <c r="I180" s="10" t="s">
        <v>21</v>
      </c>
      <c r="J180" s="10" t="s">
        <v>21</v>
      </c>
      <c r="K180" s="10" t="s">
        <v>21</v>
      </c>
      <c r="L180" s="11" t="n">
        <f aca="false">COUNTA(F180:K180)</f>
        <v>6</v>
      </c>
      <c r="M180" s="24" t="n">
        <f aca="false">COUNTIF(F180:K180,"Pass")</f>
        <v>0</v>
      </c>
      <c r="N180" s="8" t="n">
        <f aca="false">COUNTIF(F180:K180,"Fail")</f>
        <v>0</v>
      </c>
      <c r="O180" s="27" t="str">
        <f aca="false">IF(M180=0,"-",M180/L180)</f>
        <v>-</v>
      </c>
    </row>
    <row r="181" customFormat="false" ht="19.5" hidden="false" customHeight="true" outlineLevel="0" collapsed="false">
      <c r="A181" s="5" t="s">
        <v>467</v>
      </c>
      <c r="B181" s="31" t="s">
        <v>404</v>
      </c>
      <c r="C181" s="23" t="s">
        <v>453</v>
      </c>
      <c r="D181" s="7" t="s">
        <v>468</v>
      </c>
      <c r="E181" s="15" t="s">
        <v>53</v>
      </c>
      <c r="F181" s="10" t="s">
        <v>21</v>
      </c>
      <c r="G181" s="10" t="s">
        <v>21</v>
      </c>
      <c r="H181" s="10" t="s">
        <v>21</v>
      </c>
      <c r="I181" s="10" t="s">
        <v>21</v>
      </c>
      <c r="J181" s="10" t="s">
        <v>21</v>
      </c>
      <c r="K181" s="10" t="s">
        <v>21</v>
      </c>
      <c r="L181" s="5" t="n">
        <f aca="false">COUNTA(F181:K181)</f>
        <v>6</v>
      </c>
      <c r="M181" s="24" t="n">
        <f aca="false">COUNTIF(F181:K181,"Pass")</f>
        <v>0</v>
      </c>
      <c r="N181" s="8" t="n">
        <f aca="false">COUNTIF(F181:K181,"Fail")</f>
        <v>0</v>
      </c>
      <c r="O181" s="25" t="str">
        <f aca="false">IF(M181=0,"-",M181/L181)</f>
        <v>-</v>
      </c>
    </row>
    <row r="182" customFormat="false" ht="19.5" hidden="false" customHeight="true" outlineLevel="0" collapsed="false">
      <c r="A182" s="11" t="s">
        <v>469</v>
      </c>
      <c r="B182" s="31" t="s">
        <v>404</v>
      </c>
      <c r="C182" s="26" t="s">
        <v>453</v>
      </c>
      <c r="D182" s="12" t="s">
        <v>470</v>
      </c>
      <c r="E182" s="8" t="s">
        <v>19</v>
      </c>
      <c r="F182" s="10" t="s">
        <v>21</v>
      </c>
      <c r="G182" s="10" t="s">
        <v>21</v>
      </c>
      <c r="H182" s="10" t="s">
        <v>21</v>
      </c>
      <c r="I182" s="10" t="s">
        <v>21</v>
      </c>
      <c r="J182" s="10" t="s">
        <v>21</v>
      </c>
      <c r="K182" s="10" t="s">
        <v>21</v>
      </c>
      <c r="L182" s="11" t="n">
        <f aca="false">COUNTA(F182:K182)</f>
        <v>6</v>
      </c>
      <c r="M182" s="24" t="n">
        <f aca="false">COUNTIF(F182:K182,"Pass")</f>
        <v>0</v>
      </c>
      <c r="N182" s="8" t="n">
        <f aca="false">COUNTIF(F182:K182,"Fail")</f>
        <v>0</v>
      </c>
      <c r="O182" s="27" t="str">
        <f aca="false">IF(M182=0,"-",M182/L182)</f>
        <v>-</v>
      </c>
    </row>
    <row r="183" customFormat="false" ht="19.5" hidden="false" customHeight="true" outlineLevel="0" collapsed="false">
      <c r="A183" s="5" t="s">
        <v>471</v>
      </c>
      <c r="B183" s="31" t="s">
        <v>404</v>
      </c>
      <c r="C183" s="23" t="s">
        <v>453</v>
      </c>
      <c r="D183" s="7" t="s">
        <v>472</v>
      </c>
      <c r="E183" s="14" t="s">
        <v>27</v>
      </c>
      <c r="F183" s="10" t="s">
        <v>21</v>
      </c>
      <c r="G183" s="10" t="s">
        <v>21</v>
      </c>
      <c r="H183" s="10" t="s">
        <v>21</v>
      </c>
      <c r="I183" s="10" t="s">
        <v>21</v>
      </c>
      <c r="J183" s="10" t="s">
        <v>21</v>
      </c>
      <c r="K183" s="10" t="s">
        <v>21</v>
      </c>
      <c r="L183" s="5" t="n">
        <f aca="false">COUNTA(F183:K183)</f>
        <v>6</v>
      </c>
      <c r="M183" s="24" t="n">
        <f aca="false">COUNTIF(F183:K183,"Pass")</f>
        <v>0</v>
      </c>
      <c r="N183" s="8" t="n">
        <f aca="false">COUNTIF(F183:K183,"Fail")</f>
        <v>0</v>
      </c>
      <c r="O183" s="25" t="str">
        <f aca="false">IF(M183=0,"-",M183/L183)</f>
        <v>-</v>
      </c>
    </row>
    <row r="184" customFormat="false" ht="19.5" hidden="false" customHeight="true" outlineLevel="0" collapsed="false">
      <c r="A184" s="11" t="s">
        <v>473</v>
      </c>
      <c r="B184" s="31" t="s">
        <v>404</v>
      </c>
      <c r="C184" s="26" t="s">
        <v>453</v>
      </c>
      <c r="D184" s="12" t="s">
        <v>474</v>
      </c>
      <c r="E184" s="8" t="s">
        <v>19</v>
      </c>
      <c r="F184" s="10" t="s">
        <v>21</v>
      </c>
      <c r="G184" s="10" t="s">
        <v>21</v>
      </c>
      <c r="H184" s="10" t="s">
        <v>21</v>
      </c>
      <c r="I184" s="10" t="s">
        <v>21</v>
      </c>
      <c r="J184" s="10" t="s">
        <v>21</v>
      </c>
      <c r="K184" s="10" t="s">
        <v>21</v>
      </c>
      <c r="L184" s="11" t="n">
        <f aca="false">COUNTA(F184:K184)</f>
        <v>6</v>
      </c>
      <c r="M184" s="24" t="n">
        <f aca="false">COUNTIF(F184:K184,"Pass")</f>
        <v>0</v>
      </c>
      <c r="N184" s="8" t="n">
        <f aca="false">COUNTIF(F184:K184,"Fail")</f>
        <v>0</v>
      </c>
      <c r="O184" s="27" t="str">
        <f aca="false">IF(M184=0,"-",M184/L184)</f>
        <v>-</v>
      </c>
    </row>
    <row r="185" customFormat="false" ht="19.5" hidden="false" customHeight="true" outlineLevel="0" collapsed="false">
      <c r="A185" s="5" t="s">
        <v>475</v>
      </c>
      <c r="B185" s="31" t="s">
        <v>404</v>
      </c>
      <c r="C185" s="23" t="s">
        <v>453</v>
      </c>
      <c r="D185" s="7" t="s">
        <v>476</v>
      </c>
      <c r="E185" s="14" t="s">
        <v>27</v>
      </c>
      <c r="F185" s="10" t="s">
        <v>21</v>
      </c>
      <c r="G185" s="10" t="s">
        <v>21</v>
      </c>
      <c r="H185" s="10" t="s">
        <v>21</v>
      </c>
      <c r="I185" s="10" t="s">
        <v>21</v>
      </c>
      <c r="J185" s="10" t="s">
        <v>21</v>
      </c>
      <c r="K185" s="10" t="s">
        <v>21</v>
      </c>
      <c r="L185" s="5" t="n">
        <f aca="false">COUNTA(F185:K185)</f>
        <v>6</v>
      </c>
      <c r="M185" s="24" t="n">
        <f aca="false">COUNTIF(F185:K185,"Pass")</f>
        <v>0</v>
      </c>
      <c r="N185" s="8" t="n">
        <f aca="false">COUNTIF(F185:K185,"Fail")</f>
        <v>0</v>
      </c>
      <c r="O185" s="25" t="str">
        <f aca="false">IF(M185=0,"-",M185/L185)</f>
        <v>-</v>
      </c>
    </row>
    <row r="186" customFormat="false" ht="19.5" hidden="false" customHeight="true" outlineLevel="0" collapsed="false">
      <c r="A186" s="11" t="s">
        <v>478</v>
      </c>
      <c r="B186" s="31" t="s">
        <v>404</v>
      </c>
      <c r="C186" s="26" t="s">
        <v>453</v>
      </c>
      <c r="D186" s="12" t="s">
        <v>479</v>
      </c>
      <c r="E186" s="8" t="s">
        <v>19</v>
      </c>
      <c r="F186" s="10" t="s">
        <v>21</v>
      </c>
      <c r="G186" s="10" t="s">
        <v>21</v>
      </c>
      <c r="H186" s="10" t="s">
        <v>21</v>
      </c>
      <c r="I186" s="10" t="s">
        <v>21</v>
      </c>
      <c r="J186" s="10" t="s">
        <v>21</v>
      </c>
      <c r="K186" s="10" t="s">
        <v>21</v>
      </c>
      <c r="L186" s="11" t="n">
        <f aca="false">COUNTA(F186:K186)</f>
        <v>6</v>
      </c>
      <c r="M186" s="24" t="n">
        <f aca="false">COUNTIF(F186:K186,"Pass")</f>
        <v>0</v>
      </c>
      <c r="N186" s="8" t="n">
        <f aca="false">COUNTIF(F186:K186,"Fail")</f>
        <v>0</v>
      </c>
      <c r="O186" s="27" t="str">
        <f aca="false">IF(M186=0,"-",M186/L186)</f>
        <v>-</v>
      </c>
    </row>
    <row r="187" customFormat="false" ht="19.5" hidden="false" customHeight="true" outlineLevel="0" collapsed="false">
      <c r="A187" s="5" t="s">
        <v>480</v>
      </c>
      <c r="B187" s="31" t="s">
        <v>404</v>
      </c>
      <c r="C187" s="23" t="s">
        <v>453</v>
      </c>
      <c r="D187" s="7" t="s">
        <v>481</v>
      </c>
      <c r="E187" s="8" t="s">
        <v>19</v>
      </c>
      <c r="F187" s="10" t="s">
        <v>21</v>
      </c>
      <c r="G187" s="10" t="s">
        <v>21</v>
      </c>
      <c r="H187" s="10" t="s">
        <v>21</v>
      </c>
      <c r="I187" s="10" t="s">
        <v>21</v>
      </c>
      <c r="J187" s="10" t="s">
        <v>21</v>
      </c>
      <c r="K187" s="10" t="s">
        <v>21</v>
      </c>
      <c r="L187" s="5" t="n">
        <f aca="false">COUNTA(F187:K187)</f>
        <v>6</v>
      </c>
      <c r="M187" s="24" t="n">
        <f aca="false">COUNTIF(F187:K187,"Pass")</f>
        <v>0</v>
      </c>
      <c r="N187" s="8" t="n">
        <f aca="false">COUNTIF(F187:K187,"Fail")</f>
        <v>0</v>
      </c>
      <c r="O187" s="25" t="str">
        <f aca="false">IF(M187=0,"-",M187/L187)</f>
        <v>-</v>
      </c>
    </row>
    <row r="188" customFormat="false" ht="19.5" hidden="false" customHeight="true" outlineLevel="0" collapsed="false">
      <c r="A188" s="11" t="s">
        <v>483</v>
      </c>
      <c r="B188" s="31" t="s">
        <v>404</v>
      </c>
      <c r="C188" s="26" t="s">
        <v>484</v>
      </c>
      <c r="D188" s="12" t="s">
        <v>485</v>
      </c>
      <c r="E188" s="14" t="s">
        <v>27</v>
      </c>
      <c r="F188" s="10" t="s">
        <v>21</v>
      </c>
      <c r="G188" s="10" t="s">
        <v>21</v>
      </c>
      <c r="H188" s="10" t="s">
        <v>21</v>
      </c>
      <c r="I188" s="10" t="s">
        <v>21</v>
      </c>
      <c r="J188" s="10" t="s">
        <v>21</v>
      </c>
      <c r="K188" s="10" t="s">
        <v>21</v>
      </c>
      <c r="L188" s="11" t="n">
        <f aca="false">COUNTA(F188:K188)</f>
        <v>6</v>
      </c>
      <c r="M188" s="24" t="n">
        <f aca="false">COUNTIF(F188:K188,"Pass")</f>
        <v>0</v>
      </c>
      <c r="N188" s="8" t="n">
        <f aca="false">COUNTIF(F188:K188,"Fail")</f>
        <v>0</v>
      </c>
      <c r="O188" s="27" t="str">
        <f aca="false">IF(M188=0,"-",M188/L188)</f>
        <v>-</v>
      </c>
    </row>
    <row r="189" customFormat="false" ht="19.5" hidden="false" customHeight="true" outlineLevel="0" collapsed="false">
      <c r="A189" s="5" t="s">
        <v>487</v>
      </c>
      <c r="B189" s="31" t="s">
        <v>404</v>
      </c>
      <c r="C189" s="23" t="s">
        <v>484</v>
      </c>
      <c r="D189" s="7" t="s">
        <v>488</v>
      </c>
      <c r="E189" s="14" t="s">
        <v>27</v>
      </c>
      <c r="F189" s="10" t="s">
        <v>21</v>
      </c>
      <c r="G189" s="10" t="s">
        <v>21</v>
      </c>
      <c r="H189" s="10" t="s">
        <v>21</v>
      </c>
      <c r="I189" s="10" t="s">
        <v>21</v>
      </c>
      <c r="J189" s="10" t="s">
        <v>21</v>
      </c>
      <c r="K189" s="10" t="s">
        <v>21</v>
      </c>
      <c r="L189" s="5" t="n">
        <f aca="false">COUNTA(F189:K189)</f>
        <v>6</v>
      </c>
      <c r="M189" s="24" t="n">
        <f aca="false">COUNTIF(F189:K189,"Pass")</f>
        <v>0</v>
      </c>
      <c r="N189" s="8" t="n">
        <f aca="false">COUNTIF(F189:K189,"Fail")</f>
        <v>0</v>
      </c>
      <c r="O189" s="25" t="str">
        <f aca="false">IF(M189=0,"-",M189/L189)</f>
        <v>-</v>
      </c>
    </row>
    <row r="190" customFormat="false" ht="19.5" hidden="false" customHeight="true" outlineLevel="0" collapsed="false">
      <c r="A190" s="11" t="s">
        <v>489</v>
      </c>
      <c r="B190" s="31" t="s">
        <v>404</v>
      </c>
      <c r="C190" s="26" t="s">
        <v>484</v>
      </c>
      <c r="D190" s="12" t="s">
        <v>490</v>
      </c>
      <c r="E190" s="15" t="s">
        <v>53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  <c r="L190" s="11" t="n">
        <f aca="false">COUNTA(F190:K190)</f>
        <v>6</v>
      </c>
      <c r="M190" s="24" t="n">
        <f aca="false">COUNTIF(F190:K190,"Pass")</f>
        <v>0</v>
      </c>
      <c r="N190" s="8" t="n">
        <f aca="false">COUNTIF(F190:K190,"Fail")</f>
        <v>0</v>
      </c>
      <c r="O190" s="27" t="str">
        <f aca="false">IF(M190=0,"-",M190/L190)</f>
        <v>-</v>
      </c>
    </row>
    <row r="191" customFormat="false" ht="19.5" hidden="false" customHeight="true" outlineLevel="0" collapsed="false">
      <c r="A191" s="5" t="s">
        <v>491</v>
      </c>
      <c r="B191" s="31" t="s">
        <v>404</v>
      </c>
      <c r="C191" s="23" t="s">
        <v>484</v>
      </c>
      <c r="D191" s="7" t="s">
        <v>492</v>
      </c>
      <c r="E191" s="8" t="s">
        <v>19</v>
      </c>
      <c r="F191" s="10" t="s">
        <v>21</v>
      </c>
      <c r="G191" s="10" t="s">
        <v>21</v>
      </c>
      <c r="H191" s="10" t="s">
        <v>21</v>
      </c>
      <c r="I191" s="10" t="s">
        <v>21</v>
      </c>
      <c r="J191" s="10" t="s">
        <v>21</v>
      </c>
      <c r="K191" s="10" t="s">
        <v>21</v>
      </c>
      <c r="L191" s="5" t="n">
        <f aca="false">COUNTA(F191:K191)</f>
        <v>6</v>
      </c>
      <c r="M191" s="24" t="n">
        <f aca="false">COUNTIF(F191:K191,"Pass")</f>
        <v>0</v>
      </c>
      <c r="N191" s="8" t="n">
        <f aca="false">COUNTIF(F191:K191,"Fail")</f>
        <v>0</v>
      </c>
      <c r="O191" s="25" t="str">
        <f aca="false">IF(M191=0,"-",M191/L191)</f>
        <v>-</v>
      </c>
    </row>
    <row r="192" customFormat="false" ht="19.5" hidden="false" customHeight="true" outlineLevel="0" collapsed="false">
      <c r="A192" s="11" t="s">
        <v>493</v>
      </c>
      <c r="B192" s="31" t="s">
        <v>404</v>
      </c>
      <c r="C192" s="26" t="s">
        <v>484</v>
      </c>
      <c r="D192" s="12" t="s">
        <v>494</v>
      </c>
      <c r="E192" s="8" t="s">
        <v>19</v>
      </c>
      <c r="F192" s="10" t="s">
        <v>21</v>
      </c>
      <c r="G192" s="10" t="s">
        <v>21</v>
      </c>
      <c r="H192" s="10" t="s">
        <v>21</v>
      </c>
      <c r="I192" s="10" t="s">
        <v>21</v>
      </c>
      <c r="J192" s="10" t="s">
        <v>21</v>
      </c>
      <c r="K192" s="10" t="s">
        <v>21</v>
      </c>
      <c r="L192" s="11" t="n">
        <f aca="false">COUNTA(F192:K192)</f>
        <v>6</v>
      </c>
      <c r="M192" s="24" t="n">
        <f aca="false">COUNTIF(F192:K192,"Pass")</f>
        <v>0</v>
      </c>
      <c r="N192" s="8" t="n">
        <f aca="false">COUNTIF(F192:K192,"Fail")</f>
        <v>0</v>
      </c>
      <c r="O192" s="27" t="str">
        <f aca="false">IF(M192=0,"-",M192/L192)</f>
        <v>-</v>
      </c>
    </row>
    <row r="193" customFormat="false" ht="19.5" hidden="false" customHeight="true" outlineLevel="0" collapsed="false">
      <c r="A193" s="5" t="s">
        <v>495</v>
      </c>
      <c r="B193" s="31" t="s">
        <v>404</v>
      </c>
      <c r="C193" s="23" t="s">
        <v>484</v>
      </c>
      <c r="D193" s="7" t="s">
        <v>496</v>
      </c>
      <c r="E193" s="8" t="s">
        <v>19</v>
      </c>
      <c r="F193" s="10" t="s">
        <v>21</v>
      </c>
      <c r="G193" s="10" t="s">
        <v>21</v>
      </c>
      <c r="H193" s="10" t="s">
        <v>21</v>
      </c>
      <c r="I193" s="10" t="s">
        <v>21</v>
      </c>
      <c r="J193" s="10" t="s">
        <v>21</v>
      </c>
      <c r="K193" s="10" t="s">
        <v>21</v>
      </c>
      <c r="L193" s="5" t="n">
        <f aca="false">COUNTA(F193:K193)</f>
        <v>6</v>
      </c>
      <c r="M193" s="24" t="n">
        <f aca="false">COUNTIF(F193:K193,"Pass")</f>
        <v>0</v>
      </c>
      <c r="N193" s="8" t="n">
        <f aca="false">COUNTIF(F193:K193,"Fail")</f>
        <v>0</v>
      </c>
      <c r="O193" s="25" t="str">
        <f aca="false">IF(M193=0,"-",M193/L193)</f>
        <v>-</v>
      </c>
    </row>
    <row r="194" customFormat="false" ht="19.5" hidden="false" customHeight="true" outlineLevel="0" collapsed="false">
      <c r="A194" s="11" t="s">
        <v>497</v>
      </c>
      <c r="B194" s="31" t="s">
        <v>404</v>
      </c>
      <c r="C194" s="26" t="s">
        <v>484</v>
      </c>
      <c r="D194" s="12" t="s">
        <v>498</v>
      </c>
      <c r="E194" s="8" t="s">
        <v>19</v>
      </c>
      <c r="F194" s="10" t="s">
        <v>21</v>
      </c>
      <c r="G194" s="10" t="s">
        <v>21</v>
      </c>
      <c r="H194" s="10" t="s">
        <v>21</v>
      </c>
      <c r="I194" s="10" t="s">
        <v>21</v>
      </c>
      <c r="J194" s="10" t="s">
        <v>21</v>
      </c>
      <c r="K194" s="10" t="s">
        <v>21</v>
      </c>
      <c r="L194" s="11" t="n">
        <f aca="false">COUNTA(F194:K194)</f>
        <v>6</v>
      </c>
      <c r="M194" s="24" t="n">
        <f aca="false">COUNTIF(F194:K194,"Pass")</f>
        <v>0</v>
      </c>
      <c r="N194" s="8" t="n">
        <f aca="false">COUNTIF(F194:K194,"Fail")</f>
        <v>0</v>
      </c>
      <c r="O194" s="27" t="str">
        <f aca="false">IF(M194=0,"-",M194/L194)</f>
        <v>-</v>
      </c>
    </row>
    <row r="195" customFormat="false" ht="19.5" hidden="false" customHeight="true" outlineLevel="0" collapsed="false">
      <c r="A195" s="5" t="s">
        <v>500</v>
      </c>
      <c r="B195" s="31" t="s">
        <v>404</v>
      </c>
      <c r="C195" s="23" t="s">
        <v>501</v>
      </c>
      <c r="D195" s="7" t="s">
        <v>502</v>
      </c>
      <c r="E195" s="14" t="s">
        <v>27</v>
      </c>
      <c r="F195" s="10" t="s">
        <v>21</v>
      </c>
      <c r="G195" s="10" t="s">
        <v>21</v>
      </c>
      <c r="H195" s="10" t="s">
        <v>21</v>
      </c>
      <c r="I195" s="10" t="s">
        <v>21</v>
      </c>
      <c r="J195" s="10" t="s">
        <v>21</v>
      </c>
      <c r="K195" s="10" t="s">
        <v>21</v>
      </c>
      <c r="L195" s="5" t="n">
        <f aca="false">COUNTA(F195:K195)</f>
        <v>6</v>
      </c>
      <c r="M195" s="24" t="n">
        <f aca="false">COUNTIF(F195:K195,"Pass")</f>
        <v>0</v>
      </c>
      <c r="N195" s="8" t="n">
        <f aca="false">COUNTIF(F195:K195,"Fail")</f>
        <v>0</v>
      </c>
      <c r="O195" s="25" t="str">
        <f aca="false">IF(M195=0,"-",M195/L195)</f>
        <v>-</v>
      </c>
    </row>
    <row r="196" customFormat="false" ht="19.5" hidden="false" customHeight="true" outlineLevel="0" collapsed="false">
      <c r="A196" s="11" t="s">
        <v>504</v>
      </c>
      <c r="B196" s="31" t="s">
        <v>404</v>
      </c>
      <c r="C196" s="26" t="s">
        <v>501</v>
      </c>
      <c r="D196" s="12" t="s">
        <v>505</v>
      </c>
      <c r="E196" s="15" t="s">
        <v>53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  <c r="L196" s="11" t="n">
        <f aca="false">COUNTA(F196:K196)</f>
        <v>6</v>
      </c>
      <c r="M196" s="24" t="n">
        <f aca="false">COUNTIF(F196:K196,"Pass")</f>
        <v>0</v>
      </c>
      <c r="N196" s="8" t="n">
        <f aca="false">COUNTIF(F196:K196,"Fail")</f>
        <v>0</v>
      </c>
      <c r="O196" s="27" t="str">
        <f aca="false">IF(M196=0,"-",M196/L196)</f>
        <v>-</v>
      </c>
    </row>
    <row r="197" customFormat="false" ht="19.5" hidden="false" customHeight="true" outlineLevel="0" collapsed="false">
      <c r="A197" s="5" t="s">
        <v>506</v>
      </c>
      <c r="B197" s="31" t="s">
        <v>404</v>
      </c>
      <c r="C197" s="23" t="s">
        <v>501</v>
      </c>
      <c r="D197" s="7" t="s">
        <v>507</v>
      </c>
      <c r="E197" s="8" t="s">
        <v>19</v>
      </c>
      <c r="F197" s="10" t="s">
        <v>21</v>
      </c>
      <c r="G197" s="10" t="s">
        <v>21</v>
      </c>
      <c r="H197" s="10" t="s">
        <v>21</v>
      </c>
      <c r="I197" s="10" t="s">
        <v>21</v>
      </c>
      <c r="J197" s="10" t="s">
        <v>21</v>
      </c>
      <c r="K197" s="10" t="s">
        <v>21</v>
      </c>
      <c r="L197" s="5" t="n">
        <f aca="false">COUNTA(F197:K197)</f>
        <v>6</v>
      </c>
      <c r="M197" s="24" t="n">
        <f aca="false">COUNTIF(F197:K197,"Pass")</f>
        <v>0</v>
      </c>
      <c r="N197" s="8" t="n">
        <f aca="false">COUNTIF(F197:K197,"Fail")</f>
        <v>0</v>
      </c>
      <c r="O197" s="25" t="str">
        <f aca="false">IF(M197=0,"-",M197/L197)</f>
        <v>-</v>
      </c>
    </row>
    <row r="198" customFormat="false" ht="19.5" hidden="false" customHeight="true" outlineLevel="0" collapsed="false">
      <c r="A198" s="11" t="s">
        <v>508</v>
      </c>
      <c r="B198" s="31" t="s">
        <v>404</v>
      </c>
      <c r="C198" s="26" t="s">
        <v>501</v>
      </c>
      <c r="D198" s="12" t="s">
        <v>509</v>
      </c>
      <c r="E198" s="14" t="s">
        <v>27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  <c r="L198" s="11" t="n">
        <f aca="false">COUNTA(F198:K198)</f>
        <v>6</v>
      </c>
      <c r="M198" s="24" t="n">
        <f aca="false">COUNTIF(F198:K198,"Pass")</f>
        <v>0</v>
      </c>
      <c r="N198" s="8" t="n">
        <f aca="false">COUNTIF(F198:K198,"Fail")</f>
        <v>0</v>
      </c>
      <c r="O198" s="27" t="str">
        <f aca="false">IF(M198=0,"-",M198/L198)</f>
        <v>-</v>
      </c>
    </row>
    <row r="199" customFormat="false" ht="19.5" hidden="false" customHeight="true" outlineLevel="0" collapsed="false">
      <c r="A199" s="5" t="s">
        <v>510</v>
      </c>
      <c r="B199" s="31" t="s">
        <v>404</v>
      </c>
      <c r="C199" s="23" t="s">
        <v>501</v>
      </c>
      <c r="D199" s="7" t="s">
        <v>511</v>
      </c>
      <c r="E199" s="14" t="s">
        <v>27</v>
      </c>
      <c r="F199" s="10" t="s">
        <v>21</v>
      </c>
      <c r="G199" s="10" t="s">
        <v>21</v>
      </c>
      <c r="H199" s="10" t="s">
        <v>21</v>
      </c>
      <c r="I199" s="10" t="s">
        <v>21</v>
      </c>
      <c r="J199" s="10" t="s">
        <v>21</v>
      </c>
      <c r="K199" s="10" t="s">
        <v>21</v>
      </c>
      <c r="L199" s="5" t="n">
        <f aca="false">COUNTA(F199:K199)</f>
        <v>6</v>
      </c>
      <c r="M199" s="24" t="n">
        <f aca="false">COUNTIF(F199:K199,"Pass")</f>
        <v>0</v>
      </c>
      <c r="N199" s="8" t="n">
        <f aca="false">COUNTIF(F199:K199,"Fail")</f>
        <v>0</v>
      </c>
      <c r="O199" s="25" t="str">
        <f aca="false">IF(M199=0,"-",M199/L199)</f>
        <v>-</v>
      </c>
    </row>
    <row r="200" customFormat="false" ht="19.5" hidden="false" customHeight="true" outlineLevel="0" collapsed="false">
      <c r="A200" s="11" t="s">
        <v>512</v>
      </c>
      <c r="B200" s="31" t="s">
        <v>404</v>
      </c>
      <c r="C200" s="26" t="s">
        <v>501</v>
      </c>
      <c r="D200" s="12" t="s">
        <v>513</v>
      </c>
      <c r="E200" s="14" t="s">
        <v>27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  <c r="L200" s="11" t="n">
        <f aca="false">COUNTA(F200:K200)</f>
        <v>6</v>
      </c>
      <c r="M200" s="24" t="n">
        <f aca="false">COUNTIF(F200:K200,"Pass")</f>
        <v>0</v>
      </c>
      <c r="N200" s="8" t="n">
        <f aca="false">COUNTIF(F200:K200,"Fail")</f>
        <v>0</v>
      </c>
      <c r="O200" s="27" t="str">
        <f aca="false">IF(M200=0,"-",M200/L200)</f>
        <v>-</v>
      </c>
    </row>
    <row r="201" customFormat="false" ht="19.5" hidden="false" customHeight="true" outlineLevel="0" collapsed="false">
      <c r="A201" s="5" t="s">
        <v>515</v>
      </c>
      <c r="B201" s="31" t="s">
        <v>404</v>
      </c>
      <c r="C201" s="23" t="s">
        <v>242</v>
      </c>
      <c r="D201" s="7" t="s">
        <v>516</v>
      </c>
      <c r="E201" s="8" t="s">
        <v>19</v>
      </c>
      <c r="F201" s="10" t="s">
        <v>21</v>
      </c>
      <c r="G201" s="10" t="s">
        <v>21</v>
      </c>
      <c r="H201" s="10" t="s">
        <v>21</v>
      </c>
      <c r="I201" s="10" t="s">
        <v>21</v>
      </c>
      <c r="J201" s="10" t="s">
        <v>21</v>
      </c>
      <c r="K201" s="10" t="s">
        <v>21</v>
      </c>
      <c r="L201" s="5" t="n">
        <f aca="false">COUNTA(F201:K201)</f>
        <v>6</v>
      </c>
      <c r="M201" s="24" t="n">
        <f aca="false">COUNTIF(F201:K201,"Pass")</f>
        <v>0</v>
      </c>
      <c r="N201" s="8" t="n">
        <f aca="false">COUNTIF(F201:K201,"Fail")</f>
        <v>0</v>
      </c>
      <c r="O201" s="25" t="str">
        <f aca="false">IF(M201=0,"-",M201/L201)</f>
        <v>-</v>
      </c>
    </row>
    <row r="202" customFormat="false" ht="19.5" hidden="false" customHeight="true" outlineLevel="0" collapsed="false">
      <c r="A202" s="11" t="s">
        <v>517</v>
      </c>
      <c r="B202" s="31" t="s">
        <v>404</v>
      </c>
      <c r="C202" s="26" t="s">
        <v>242</v>
      </c>
      <c r="D202" s="12" t="s">
        <v>518</v>
      </c>
      <c r="E202" s="8" t="s">
        <v>19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  <c r="L202" s="11" t="n">
        <f aca="false">COUNTA(F202:K202)</f>
        <v>6</v>
      </c>
      <c r="M202" s="24" t="n">
        <f aca="false">COUNTIF(F202:K202,"Pass")</f>
        <v>0</v>
      </c>
      <c r="N202" s="8" t="n">
        <f aca="false">COUNTIF(F202:K202,"Fail")</f>
        <v>0</v>
      </c>
      <c r="O202" s="27" t="str">
        <f aca="false">IF(M202=0,"-",M202/L202)</f>
        <v>-</v>
      </c>
    </row>
    <row r="203" customFormat="false" ht="19.5" hidden="false" customHeight="true" outlineLevel="0" collapsed="false">
      <c r="A203" s="5" t="s">
        <v>519</v>
      </c>
      <c r="B203" s="31" t="s">
        <v>404</v>
      </c>
      <c r="C203" s="23" t="s">
        <v>242</v>
      </c>
      <c r="D203" s="7" t="s">
        <v>520</v>
      </c>
      <c r="E203" s="8" t="s">
        <v>19</v>
      </c>
      <c r="F203" s="10" t="s">
        <v>21</v>
      </c>
      <c r="G203" s="10" t="s">
        <v>21</v>
      </c>
      <c r="H203" s="10" t="s">
        <v>21</v>
      </c>
      <c r="I203" s="10" t="s">
        <v>21</v>
      </c>
      <c r="J203" s="10" t="s">
        <v>21</v>
      </c>
      <c r="K203" s="10" t="s">
        <v>21</v>
      </c>
      <c r="L203" s="5" t="n">
        <f aca="false">COUNTA(F203:K203)</f>
        <v>6</v>
      </c>
      <c r="M203" s="24" t="n">
        <f aca="false">COUNTIF(F203:K203,"Pass")</f>
        <v>0</v>
      </c>
      <c r="N203" s="8" t="n">
        <f aca="false">COUNTIF(F203:K203,"Fail")</f>
        <v>0</v>
      </c>
      <c r="O203" s="25" t="str">
        <f aca="false">IF(M203=0,"-",M203/L203)</f>
        <v>-</v>
      </c>
    </row>
    <row r="204" customFormat="false" ht="19.5" hidden="false" customHeight="true" outlineLevel="0" collapsed="false">
      <c r="A204" s="11" t="s">
        <v>521</v>
      </c>
      <c r="B204" s="31" t="s">
        <v>404</v>
      </c>
      <c r="C204" s="26" t="s">
        <v>242</v>
      </c>
      <c r="D204" s="12" t="s">
        <v>522</v>
      </c>
      <c r="E204" s="8" t="s">
        <v>19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  <c r="L204" s="11" t="n">
        <f aca="false">COUNTA(F204:K204)</f>
        <v>6</v>
      </c>
      <c r="M204" s="24" t="n">
        <f aca="false">COUNTIF(F204:K204,"Pass")</f>
        <v>0</v>
      </c>
      <c r="N204" s="8" t="n">
        <f aca="false">COUNTIF(F204:K204,"Fail")</f>
        <v>0</v>
      </c>
      <c r="O204" s="27" t="str">
        <f aca="false">IF(M204=0,"-",M204/L204)</f>
        <v>-</v>
      </c>
    </row>
    <row r="205" customFormat="false" ht="19.5" hidden="false" customHeight="true" outlineLevel="0" collapsed="false">
      <c r="A205" s="5" t="s">
        <v>523</v>
      </c>
      <c r="B205" s="31" t="s">
        <v>404</v>
      </c>
      <c r="C205" s="23" t="s">
        <v>251</v>
      </c>
      <c r="D205" s="7" t="s">
        <v>524</v>
      </c>
      <c r="E205" s="14" t="s">
        <v>27</v>
      </c>
      <c r="F205" s="10" t="s">
        <v>21</v>
      </c>
      <c r="G205" s="10" t="s">
        <v>21</v>
      </c>
      <c r="H205" s="10" t="s">
        <v>21</v>
      </c>
      <c r="I205" s="10" t="s">
        <v>21</v>
      </c>
      <c r="J205" s="10" t="s">
        <v>21</v>
      </c>
      <c r="K205" s="10" t="s">
        <v>21</v>
      </c>
      <c r="L205" s="5" t="n">
        <f aca="false">COUNTA(F205:K205)</f>
        <v>6</v>
      </c>
      <c r="M205" s="24" t="n">
        <f aca="false">COUNTIF(F205:K205,"Pass")</f>
        <v>0</v>
      </c>
      <c r="N205" s="8" t="n">
        <f aca="false">COUNTIF(F205:K205,"Fail")</f>
        <v>0</v>
      </c>
      <c r="O205" s="25" t="str">
        <f aca="false">IF(M205=0,"-",M205/L205)</f>
        <v>-</v>
      </c>
    </row>
    <row r="206" customFormat="false" ht="19.5" hidden="false" customHeight="true" outlineLevel="0" collapsed="false">
      <c r="A206" s="11" t="s">
        <v>526</v>
      </c>
      <c r="B206" s="31" t="s">
        <v>404</v>
      </c>
      <c r="C206" s="26" t="s">
        <v>251</v>
      </c>
      <c r="D206" s="12" t="s">
        <v>527</v>
      </c>
      <c r="E206" s="14" t="s">
        <v>27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  <c r="L206" s="11" t="n">
        <f aca="false">COUNTA(F206:K206)</f>
        <v>6</v>
      </c>
      <c r="M206" s="24" t="n">
        <f aca="false">COUNTIF(F206:K206,"Pass")</f>
        <v>0</v>
      </c>
      <c r="N206" s="8" t="n">
        <f aca="false">COUNTIF(F206:K206,"Fail")</f>
        <v>0</v>
      </c>
      <c r="O206" s="27" t="str">
        <f aca="false">IF(M206=0,"-",M206/L206)</f>
        <v>-</v>
      </c>
    </row>
    <row r="207" customFormat="false" ht="19.5" hidden="false" customHeight="true" outlineLevel="0" collapsed="false">
      <c r="A207" s="5" t="s">
        <v>528</v>
      </c>
      <c r="B207" s="31" t="s">
        <v>404</v>
      </c>
      <c r="C207" s="23" t="s">
        <v>251</v>
      </c>
      <c r="D207" s="7" t="s">
        <v>529</v>
      </c>
      <c r="E207" s="14" t="s">
        <v>27</v>
      </c>
      <c r="F207" s="10" t="s">
        <v>21</v>
      </c>
      <c r="G207" s="10" t="s">
        <v>21</v>
      </c>
      <c r="H207" s="10" t="s">
        <v>21</v>
      </c>
      <c r="I207" s="10" t="s">
        <v>21</v>
      </c>
      <c r="J207" s="10" t="s">
        <v>21</v>
      </c>
      <c r="K207" s="10" t="s">
        <v>21</v>
      </c>
      <c r="L207" s="5" t="n">
        <f aca="false">COUNTA(F207:K207)</f>
        <v>6</v>
      </c>
      <c r="M207" s="24" t="n">
        <f aca="false">COUNTIF(F207:K207,"Pass")</f>
        <v>0</v>
      </c>
      <c r="N207" s="8" t="n">
        <f aca="false">COUNTIF(F207:K207,"Fail")</f>
        <v>0</v>
      </c>
      <c r="O207" s="25" t="str">
        <f aca="false">IF(M207=0,"-",M207/L207)</f>
        <v>-</v>
      </c>
    </row>
    <row r="208" customFormat="false" ht="19.5" hidden="false" customHeight="true" outlineLevel="0" collapsed="false">
      <c r="A208" s="11" t="s">
        <v>530</v>
      </c>
      <c r="B208" s="31" t="s">
        <v>404</v>
      </c>
      <c r="C208" s="26" t="s">
        <v>251</v>
      </c>
      <c r="D208" s="12" t="s">
        <v>531</v>
      </c>
      <c r="E208" s="8" t="s">
        <v>19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  <c r="L208" s="11" t="n">
        <f aca="false">COUNTA(F208:K208)</f>
        <v>6</v>
      </c>
      <c r="M208" s="24" t="n">
        <f aca="false">COUNTIF(F208:K208,"Pass")</f>
        <v>0</v>
      </c>
      <c r="N208" s="8" t="n">
        <f aca="false">COUNTIF(F208:K208,"Fail")</f>
        <v>0</v>
      </c>
      <c r="O208" s="27" t="str">
        <f aca="false">IF(M208=0,"-",M208/L208)</f>
        <v>-</v>
      </c>
    </row>
    <row r="209" customFormat="false" ht="19.5" hidden="false" customHeight="true" outlineLevel="0" collapsed="false">
      <c r="A209" s="5" t="s">
        <v>532</v>
      </c>
      <c r="B209" s="31" t="s">
        <v>404</v>
      </c>
      <c r="C209" s="23" t="s">
        <v>263</v>
      </c>
      <c r="D209" s="7" t="s">
        <v>533</v>
      </c>
      <c r="E209" s="8" t="s">
        <v>19</v>
      </c>
      <c r="F209" s="10" t="s">
        <v>21</v>
      </c>
      <c r="G209" s="10" t="s">
        <v>21</v>
      </c>
      <c r="H209" s="10" t="s">
        <v>21</v>
      </c>
      <c r="I209" s="10" t="s">
        <v>21</v>
      </c>
      <c r="J209" s="10" t="s">
        <v>21</v>
      </c>
      <c r="K209" s="10" t="s">
        <v>21</v>
      </c>
      <c r="L209" s="5" t="n">
        <f aca="false">COUNTA(F209:K209)</f>
        <v>6</v>
      </c>
      <c r="M209" s="24" t="n">
        <f aca="false">COUNTIF(F209:K209,"Pass")</f>
        <v>0</v>
      </c>
      <c r="N209" s="8" t="n">
        <f aca="false">COUNTIF(F209:K209,"Fail")</f>
        <v>0</v>
      </c>
      <c r="O209" s="25" t="str">
        <f aca="false">IF(M209=0,"-",M209/L209)</f>
        <v>-</v>
      </c>
    </row>
    <row r="210" customFormat="false" ht="19.5" hidden="false" customHeight="true" outlineLevel="0" collapsed="false">
      <c r="A210" s="11" t="s">
        <v>534</v>
      </c>
      <c r="B210" s="31" t="s">
        <v>404</v>
      </c>
      <c r="C210" s="26" t="s">
        <v>263</v>
      </c>
      <c r="D210" s="12" t="s">
        <v>535</v>
      </c>
      <c r="E210" s="8" t="s">
        <v>19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  <c r="L210" s="11" t="n">
        <f aca="false">COUNTA(F210:K210)</f>
        <v>6</v>
      </c>
      <c r="M210" s="24" t="n">
        <f aca="false">COUNTIF(F210:K210,"Pass")</f>
        <v>0</v>
      </c>
      <c r="N210" s="8" t="n">
        <f aca="false">COUNTIF(F210:K210,"Fail")</f>
        <v>0</v>
      </c>
      <c r="O210" s="27" t="str">
        <f aca="false">IF(M210=0,"-",M210/L210)</f>
        <v>-</v>
      </c>
    </row>
    <row r="211" customFormat="false" ht="19.5" hidden="false" customHeight="true" outlineLevel="0" collapsed="false">
      <c r="A211" s="5" t="s">
        <v>537</v>
      </c>
      <c r="B211" s="31" t="s">
        <v>404</v>
      </c>
      <c r="C211" s="23" t="s">
        <v>263</v>
      </c>
      <c r="D211" s="7" t="s">
        <v>266</v>
      </c>
      <c r="E211" s="15" t="s">
        <v>53</v>
      </c>
      <c r="F211" s="10" t="s">
        <v>21</v>
      </c>
      <c r="G211" s="10" t="s">
        <v>21</v>
      </c>
      <c r="H211" s="10" t="s">
        <v>21</v>
      </c>
      <c r="I211" s="10" t="s">
        <v>21</v>
      </c>
      <c r="J211" s="10" t="s">
        <v>21</v>
      </c>
      <c r="K211" s="10" t="s">
        <v>21</v>
      </c>
      <c r="L211" s="5" t="n">
        <f aca="false">COUNTA(F211:K211)</f>
        <v>6</v>
      </c>
      <c r="M211" s="24" t="n">
        <f aca="false">COUNTIF(F211:K211,"Pass")</f>
        <v>0</v>
      </c>
      <c r="N211" s="8" t="n">
        <f aca="false">COUNTIF(F211:K211,"Fail")</f>
        <v>0</v>
      </c>
      <c r="O211" s="25" t="str">
        <f aca="false">IF(M211=0,"-",M211/L211)</f>
        <v>-</v>
      </c>
    </row>
    <row r="212" customFormat="false" ht="19.5" hidden="false" customHeight="true" outlineLevel="0" collapsed="false">
      <c r="A212" s="11" t="s">
        <v>538</v>
      </c>
      <c r="B212" s="31" t="s">
        <v>404</v>
      </c>
      <c r="C212" s="26" t="s">
        <v>263</v>
      </c>
      <c r="D212" s="12" t="s">
        <v>269</v>
      </c>
      <c r="E212" s="15" t="s">
        <v>53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  <c r="L212" s="11" t="n">
        <f aca="false">COUNTA(F212:K212)</f>
        <v>6</v>
      </c>
      <c r="M212" s="24" t="n">
        <f aca="false">COUNTIF(F212:K212,"Pass")</f>
        <v>0</v>
      </c>
      <c r="N212" s="8" t="n">
        <f aca="false">COUNTIF(F212:K212,"Fail")</f>
        <v>0</v>
      </c>
      <c r="O212" s="27" t="str">
        <f aca="false">IF(M212=0,"-",M212/L212)</f>
        <v>-</v>
      </c>
    </row>
    <row r="213" customFormat="false" ht="19.5" hidden="false" customHeight="true" outlineLevel="0" collapsed="false">
      <c r="A213" s="5" t="s">
        <v>539</v>
      </c>
      <c r="B213" s="31" t="s">
        <v>404</v>
      </c>
      <c r="C213" s="23" t="s">
        <v>263</v>
      </c>
      <c r="D213" s="7" t="s">
        <v>540</v>
      </c>
      <c r="E213" s="14" t="s">
        <v>27</v>
      </c>
      <c r="F213" s="10" t="s">
        <v>21</v>
      </c>
      <c r="G213" s="10" t="s">
        <v>21</v>
      </c>
      <c r="H213" s="10" t="s">
        <v>21</v>
      </c>
      <c r="I213" s="10" t="s">
        <v>21</v>
      </c>
      <c r="J213" s="10" t="s">
        <v>21</v>
      </c>
      <c r="K213" s="10" t="s">
        <v>21</v>
      </c>
      <c r="L213" s="5" t="n">
        <f aca="false">COUNTA(F213:K213)</f>
        <v>6</v>
      </c>
      <c r="M213" s="24" t="n">
        <f aca="false">COUNTIF(F213:K213,"Pass")</f>
        <v>0</v>
      </c>
      <c r="N213" s="8" t="n">
        <f aca="false">COUNTIF(F213:K213,"Fail")</f>
        <v>0</v>
      </c>
      <c r="O213" s="25" t="str">
        <f aca="false">IF(M213=0,"-",M213/L213)</f>
        <v>-</v>
      </c>
    </row>
    <row r="214" customFormat="false" ht="19.5" hidden="false" customHeight="true" outlineLevel="0" collapsed="false">
      <c r="A214" s="11" t="s">
        <v>541</v>
      </c>
      <c r="B214" s="31" t="s">
        <v>404</v>
      </c>
      <c r="C214" s="26" t="s">
        <v>263</v>
      </c>
      <c r="D214" s="12" t="s">
        <v>542</v>
      </c>
      <c r="E214" s="8" t="s">
        <v>19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  <c r="L214" s="11" t="n">
        <f aca="false">COUNTA(F214:K214)</f>
        <v>6</v>
      </c>
      <c r="M214" s="24" t="n">
        <f aca="false">COUNTIF(F214:K214,"Pass")</f>
        <v>0</v>
      </c>
      <c r="N214" s="8" t="n">
        <f aca="false">COUNTIF(F214:K214,"Fail")</f>
        <v>0</v>
      </c>
      <c r="O214" s="27" t="str">
        <f aca="false">IF(M214=0,"-",M214/L214)</f>
        <v>-</v>
      </c>
    </row>
    <row r="215" customFormat="false" ht="18" hidden="false" customHeight="true" outlineLevel="0" collapsed="false">
      <c r="A215" s="4" t="s">
        <v>543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customFormat="false" ht="19.5" hidden="false" customHeight="true" outlineLevel="0" collapsed="false">
      <c r="A216" s="5" t="s">
        <v>544</v>
      </c>
      <c r="B216" s="32" t="s">
        <v>545</v>
      </c>
      <c r="C216" s="23" t="s">
        <v>546</v>
      </c>
      <c r="D216" s="7" t="s">
        <v>547</v>
      </c>
      <c r="E216" s="8" t="s">
        <v>19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  <c r="L216" s="5" t="n">
        <f aca="false">COUNTA(F216:K216)</f>
        <v>6</v>
      </c>
      <c r="M216" s="24" t="n">
        <f aca="false">COUNTIF(F216:K216,"Pass")</f>
        <v>0</v>
      </c>
      <c r="N216" s="8" t="n">
        <f aca="false">COUNTIF(F216:K216,"Fail")</f>
        <v>0</v>
      </c>
      <c r="O216" s="25" t="str">
        <f aca="false">IF(M216=0,"-",M216/L216)</f>
        <v>-</v>
      </c>
    </row>
    <row r="217" customFormat="false" ht="19.5" hidden="false" customHeight="true" outlineLevel="0" collapsed="false">
      <c r="A217" s="11" t="s">
        <v>549</v>
      </c>
      <c r="B217" s="32" t="s">
        <v>545</v>
      </c>
      <c r="C217" s="26" t="s">
        <v>546</v>
      </c>
      <c r="D217" s="12" t="s">
        <v>550</v>
      </c>
      <c r="E217" s="8" t="s">
        <v>19</v>
      </c>
      <c r="F217" s="10" t="s">
        <v>21</v>
      </c>
      <c r="G217" s="10" t="s">
        <v>21</v>
      </c>
      <c r="H217" s="10" t="s">
        <v>21</v>
      </c>
      <c r="I217" s="10" t="s">
        <v>21</v>
      </c>
      <c r="J217" s="10" t="s">
        <v>21</v>
      </c>
      <c r="K217" s="10" t="s">
        <v>21</v>
      </c>
      <c r="L217" s="11" t="n">
        <f aca="false">COUNTA(F217:K217)</f>
        <v>6</v>
      </c>
      <c r="M217" s="24" t="n">
        <f aca="false">COUNTIF(F217:K217,"Pass")</f>
        <v>0</v>
      </c>
      <c r="N217" s="8" t="n">
        <f aca="false">COUNTIF(F217:K217,"Fail")</f>
        <v>0</v>
      </c>
      <c r="O217" s="27" t="str">
        <f aca="false">IF(M217=0,"-",M217/L217)</f>
        <v>-</v>
      </c>
    </row>
    <row r="218" customFormat="false" ht="19.5" hidden="false" customHeight="true" outlineLevel="0" collapsed="false">
      <c r="A218" s="5" t="s">
        <v>552</v>
      </c>
      <c r="B218" s="32" t="s">
        <v>545</v>
      </c>
      <c r="C218" s="23" t="s">
        <v>293</v>
      </c>
      <c r="D218" s="7" t="s">
        <v>553</v>
      </c>
      <c r="E218" s="8" t="s">
        <v>19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  <c r="L218" s="5" t="n">
        <f aca="false">COUNTA(F218:K218)</f>
        <v>6</v>
      </c>
      <c r="M218" s="24" t="n">
        <f aca="false">COUNTIF(F218:K218,"Pass")</f>
        <v>0</v>
      </c>
      <c r="N218" s="8" t="n">
        <f aca="false">COUNTIF(F218:K218,"Fail")</f>
        <v>0</v>
      </c>
      <c r="O218" s="25" t="str">
        <f aca="false">IF(M218=0,"-",M218/L218)</f>
        <v>-</v>
      </c>
    </row>
    <row r="219" customFormat="false" ht="19.5" hidden="false" customHeight="true" outlineLevel="0" collapsed="false">
      <c r="A219" s="11" t="s">
        <v>555</v>
      </c>
      <c r="B219" s="32" t="s">
        <v>545</v>
      </c>
      <c r="C219" s="26" t="s">
        <v>293</v>
      </c>
      <c r="D219" s="12" t="s">
        <v>297</v>
      </c>
      <c r="E219" s="14" t="s">
        <v>27</v>
      </c>
      <c r="F219" s="10" t="s">
        <v>21</v>
      </c>
      <c r="G219" s="10" t="s">
        <v>21</v>
      </c>
      <c r="H219" s="10" t="s">
        <v>21</v>
      </c>
      <c r="I219" s="10" t="s">
        <v>21</v>
      </c>
      <c r="J219" s="10" t="s">
        <v>21</v>
      </c>
      <c r="K219" s="10" t="s">
        <v>21</v>
      </c>
      <c r="L219" s="11" t="n">
        <f aca="false">COUNTA(F219:K219)</f>
        <v>6</v>
      </c>
      <c r="M219" s="24" t="n">
        <f aca="false">COUNTIF(F219:K219,"Pass")</f>
        <v>0</v>
      </c>
      <c r="N219" s="8" t="n">
        <f aca="false">COUNTIF(F219:K219,"Fail")</f>
        <v>0</v>
      </c>
      <c r="O219" s="27" t="str">
        <f aca="false">IF(M219=0,"-",M219/L219)</f>
        <v>-</v>
      </c>
    </row>
    <row r="220" customFormat="false" ht="19.5" hidden="false" customHeight="true" outlineLevel="0" collapsed="false">
      <c r="A220" s="5" t="s">
        <v>556</v>
      </c>
      <c r="B220" s="32" t="s">
        <v>545</v>
      </c>
      <c r="C220" s="23" t="s">
        <v>293</v>
      </c>
      <c r="D220" s="7" t="s">
        <v>557</v>
      </c>
      <c r="E220" s="8" t="s">
        <v>19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  <c r="L220" s="5" t="n">
        <f aca="false">COUNTA(F220:K220)</f>
        <v>6</v>
      </c>
      <c r="M220" s="24" t="n">
        <f aca="false">COUNTIF(F220:K220,"Pass")</f>
        <v>0</v>
      </c>
      <c r="N220" s="8" t="n">
        <f aca="false">COUNTIF(F220:K220,"Fail")</f>
        <v>0</v>
      </c>
      <c r="O220" s="25" t="str">
        <f aca="false">IF(M220=0,"-",M220/L220)</f>
        <v>-</v>
      </c>
    </row>
    <row r="221" customFormat="false" ht="19.5" hidden="false" customHeight="true" outlineLevel="0" collapsed="false">
      <c r="A221" s="11" t="s">
        <v>558</v>
      </c>
      <c r="B221" s="32" t="s">
        <v>545</v>
      </c>
      <c r="C221" s="26" t="s">
        <v>301</v>
      </c>
      <c r="D221" s="12" t="s">
        <v>559</v>
      </c>
      <c r="E221" s="8" t="s">
        <v>19</v>
      </c>
      <c r="F221" s="10" t="s">
        <v>21</v>
      </c>
      <c r="G221" s="10" t="s">
        <v>21</v>
      </c>
      <c r="H221" s="10" t="s">
        <v>21</v>
      </c>
      <c r="I221" s="10" t="s">
        <v>21</v>
      </c>
      <c r="J221" s="10" t="s">
        <v>21</v>
      </c>
      <c r="K221" s="10" t="s">
        <v>21</v>
      </c>
      <c r="L221" s="11" t="n">
        <f aca="false">COUNTA(F221:K221)</f>
        <v>6</v>
      </c>
      <c r="M221" s="24" t="n">
        <f aca="false">COUNTIF(F221:K221,"Pass")</f>
        <v>0</v>
      </c>
      <c r="N221" s="8" t="n">
        <f aca="false">COUNTIF(F221:K221,"Fail")</f>
        <v>0</v>
      </c>
      <c r="O221" s="27" t="str">
        <f aca="false">IF(M221=0,"-",M221/L221)</f>
        <v>-</v>
      </c>
    </row>
    <row r="222" customFormat="false" ht="19.5" hidden="false" customHeight="true" outlineLevel="0" collapsed="false">
      <c r="A222" s="5" t="s">
        <v>561</v>
      </c>
      <c r="B222" s="32" t="s">
        <v>545</v>
      </c>
      <c r="C222" s="23" t="s">
        <v>301</v>
      </c>
      <c r="D222" s="7" t="s">
        <v>305</v>
      </c>
      <c r="E222" s="8" t="s">
        <v>19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  <c r="L222" s="5" t="n">
        <f aca="false">COUNTA(F222:K222)</f>
        <v>6</v>
      </c>
      <c r="M222" s="24" t="n">
        <f aca="false">COUNTIF(F222:K222,"Pass")</f>
        <v>0</v>
      </c>
      <c r="N222" s="8" t="n">
        <f aca="false">COUNTIF(F222:K222,"Fail")</f>
        <v>0</v>
      </c>
      <c r="O222" s="25" t="str">
        <f aca="false">IF(M222=0,"-",M222/L222)</f>
        <v>-</v>
      </c>
    </row>
    <row r="223" customFormat="false" ht="19.5" hidden="false" customHeight="true" outlineLevel="0" collapsed="false">
      <c r="A223" s="11" t="s">
        <v>562</v>
      </c>
      <c r="B223" s="32" t="s">
        <v>545</v>
      </c>
      <c r="C223" s="26" t="s">
        <v>301</v>
      </c>
      <c r="D223" s="12" t="s">
        <v>307</v>
      </c>
      <c r="E223" s="8" t="s">
        <v>19</v>
      </c>
      <c r="F223" s="10" t="s">
        <v>21</v>
      </c>
      <c r="G223" s="10" t="s">
        <v>21</v>
      </c>
      <c r="H223" s="10" t="s">
        <v>21</v>
      </c>
      <c r="I223" s="10" t="s">
        <v>21</v>
      </c>
      <c r="J223" s="10" t="s">
        <v>21</v>
      </c>
      <c r="K223" s="10" t="s">
        <v>21</v>
      </c>
      <c r="L223" s="11" t="n">
        <f aca="false">COUNTA(F223:K223)</f>
        <v>6</v>
      </c>
      <c r="M223" s="24" t="n">
        <f aca="false">COUNTIF(F223:K223,"Pass")</f>
        <v>0</v>
      </c>
      <c r="N223" s="8" t="n">
        <f aca="false">COUNTIF(F223:K223,"Fail")</f>
        <v>0</v>
      </c>
      <c r="O223" s="27" t="str">
        <f aca="false">IF(M223=0,"-",M223/L223)</f>
        <v>-</v>
      </c>
    </row>
    <row r="224" customFormat="false" ht="19.5" hidden="false" customHeight="true" outlineLevel="0" collapsed="false">
      <c r="A224" s="5" t="s">
        <v>563</v>
      </c>
      <c r="B224" s="32" t="s">
        <v>545</v>
      </c>
      <c r="C224" s="23" t="s">
        <v>564</v>
      </c>
      <c r="D224" s="7" t="s">
        <v>565</v>
      </c>
      <c r="E224" s="8" t="s">
        <v>19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  <c r="L224" s="5" t="n">
        <f aca="false">COUNTA(F224:K224)</f>
        <v>6</v>
      </c>
      <c r="M224" s="24" t="n">
        <f aca="false">COUNTIF(F224:K224,"Pass")</f>
        <v>0</v>
      </c>
      <c r="N224" s="8" t="n">
        <f aca="false">COUNTIF(F224:K224,"Fail")</f>
        <v>0</v>
      </c>
      <c r="O224" s="25" t="str">
        <f aca="false">IF(M224=0,"-",M224/L224)</f>
        <v>-</v>
      </c>
    </row>
    <row r="225" customFormat="false" ht="19.5" hidden="false" customHeight="true" outlineLevel="0" collapsed="false">
      <c r="A225" s="11" t="s">
        <v>567</v>
      </c>
      <c r="B225" s="32" t="s">
        <v>545</v>
      </c>
      <c r="C225" s="26" t="s">
        <v>564</v>
      </c>
      <c r="D225" s="12" t="s">
        <v>568</v>
      </c>
      <c r="E225" s="8" t="s">
        <v>19</v>
      </c>
      <c r="F225" s="10" t="s">
        <v>21</v>
      </c>
      <c r="G225" s="10" t="s">
        <v>21</v>
      </c>
      <c r="H225" s="10" t="s">
        <v>21</v>
      </c>
      <c r="I225" s="10" t="s">
        <v>21</v>
      </c>
      <c r="J225" s="10" t="s">
        <v>21</v>
      </c>
      <c r="K225" s="10" t="s">
        <v>21</v>
      </c>
      <c r="L225" s="11" t="n">
        <f aca="false">COUNTA(F225:K225)</f>
        <v>6</v>
      </c>
      <c r="M225" s="24" t="n">
        <f aca="false">COUNTIF(F225:K225,"Pass")</f>
        <v>0</v>
      </c>
      <c r="N225" s="8" t="n">
        <f aca="false">COUNTIF(F225:K225,"Fail")</f>
        <v>0</v>
      </c>
      <c r="O225" s="27" t="str">
        <f aca="false">IF(M225=0,"-",M225/L225)</f>
        <v>-</v>
      </c>
    </row>
    <row r="226" customFormat="false" ht="19.5" hidden="false" customHeight="true" outlineLevel="0" collapsed="false">
      <c r="A226" s="5" t="s">
        <v>569</v>
      </c>
      <c r="B226" s="32" t="s">
        <v>545</v>
      </c>
      <c r="C226" s="23" t="s">
        <v>564</v>
      </c>
      <c r="D226" s="7" t="s">
        <v>570</v>
      </c>
      <c r="E226" s="14" t="s">
        <v>27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  <c r="L226" s="5" t="n">
        <f aca="false">COUNTA(F226:K226)</f>
        <v>6</v>
      </c>
      <c r="M226" s="24" t="n">
        <f aca="false">COUNTIF(F226:K226,"Pass")</f>
        <v>0</v>
      </c>
      <c r="N226" s="8" t="n">
        <f aca="false">COUNTIF(F226:K226,"Fail")</f>
        <v>0</v>
      </c>
      <c r="O226" s="25" t="str">
        <f aca="false">IF(M226=0,"-",M226/L226)</f>
        <v>-</v>
      </c>
    </row>
    <row r="227" customFormat="false" ht="19.5" hidden="false" customHeight="true" outlineLevel="0" collapsed="false">
      <c r="A227" s="11" t="s">
        <v>571</v>
      </c>
      <c r="B227" s="32" t="s">
        <v>545</v>
      </c>
      <c r="C227" s="26" t="s">
        <v>564</v>
      </c>
      <c r="D227" s="12" t="s">
        <v>572</v>
      </c>
      <c r="E227" s="8" t="s">
        <v>19</v>
      </c>
      <c r="F227" s="10" t="s">
        <v>21</v>
      </c>
      <c r="G227" s="10" t="s">
        <v>21</v>
      </c>
      <c r="H227" s="10" t="s">
        <v>21</v>
      </c>
      <c r="I227" s="10" t="s">
        <v>21</v>
      </c>
      <c r="J227" s="10" t="s">
        <v>21</v>
      </c>
      <c r="K227" s="10" t="s">
        <v>21</v>
      </c>
      <c r="L227" s="11" t="n">
        <f aca="false">COUNTA(F227:K227)</f>
        <v>6</v>
      </c>
      <c r="M227" s="24" t="n">
        <f aca="false">COUNTIF(F227:K227,"Pass")</f>
        <v>0</v>
      </c>
      <c r="N227" s="8" t="n">
        <f aca="false">COUNTIF(F227:K227,"Fail")</f>
        <v>0</v>
      </c>
      <c r="O227" s="27" t="str">
        <f aca="false">IF(M227=0,"-",M227/L227)</f>
        <v>-</v>
      </c>
    </row>
    <row r="228" customFormat="false" ht="19.5" hidden="false" customHeight="true" outlineLevel="0" collapsed="false">
      <c r="A228" s="5" t="s">
        <v>574</v>
      </c>
      <c r="B228" s="32" t="s">
        <v>545</v>
      </c>
      <c r="C228" s="23" t="s">
        <v>426</v>
      </c>
      <c r="D228" s="7" t="s">
        <v>332</v>
      </c>
      <c r="E228" s="8" t="s">
        <v>19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  <c r="L228" s="5" t="n">
        <f aca="false">COUNTA(F228:K228)</f>
        <v>6</v>
      </c>
      <c r="M228" s="24" t="n">
        <f aca="false">COUNTIF(F228:K228,"Pass")</f>
        <v>0</v>
      </c>
      <c r="N228" s="8" t="n">
        <f aca="false">COUNTIF(F228:K228,"Fail")</f>
        <v>0</v>
      </c>
      <c r="O228" s="25" t="str">
        <f aca="false">IF(M228=0,"-",M228/L228)</f>
        <v>-</v>
      </c>
    </row>
    <row r="229" customFormat="false" ht="19.5" hidden="false" customHeight="true" outlineLevel="0" collapsed="false">
      <c r="A229" s="11" t="s">
        <v>576</v>
      </c>
      <c r="B229" s="32" t="s">
        <v>545</v>
      </c>
      <c r="C229" s="26" t="s">
        <v>426</v>
      </c>
      <c r="D229" s="12" t="s">
        <v>429</v>
      </c>
      <c r="E229" s="8" t="s">
        <v>19</v>
      </c>
      <c r="F229" s="10" t="s">
        <v>21</v>
      </c>
      <c r="G229" s="10" t="s">
        <v>21</v>
      </c>
      <c r="H229" s="10" t="s">
        <v>21</v>
      </c>
      <c r="I229" s="10" t="s">
        <v>21</v>
      </c>
      <c r="J229" s="10" t="s">
        <v>21</v>
      </c>
      <c r="K229" s="10" t="s">
        <v>21</v>
      </c>
      <c r="L229" s="11" t="n">
        <f aca="false">COUNTA(F229:K229)</f>
        <v>6</v>
      </c>
      <c r="M229" s="24" t="n">
        <f aca="false">COUNTIF(F229:K229,"Pass")</f>
        <v>0</v>
      </c>
      <c r="N229" s="8" t="n">
        <f aca="false">COUNTIF(F229:K229,"Fail")</f>
        <v>0</v>
      </c>
      <c r="O229" s="27" t="str">
        <f aca="false">IF(M229=0,"-",M229/L229)</f>
        <v>-</v>
      </c>
    </row>
    <row r="230" customFormat="false" ht="19.5" hidden="false" customHeight="true" outlineLevel="0" collapsed="false">
      <c r="A230" s="5" t="s">
        <v>577</v>
      </c>
      <c r="B230" s="32" t="s">
        <v>545</v>
      </c>
      <c r="C230" s="23" t="s">
        <v>426</v>
      </c>
      <c r="D230" s="7" t="s">
        <v>578</v>
      </c>
      <c r="E230" s="14" t="s">
        <v>27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  <c r="L230" s="5" t="n">
        <f aca="false">COUNTA(F230:K230)</f>
        <v>6</v>
      </c>
      <c r="M230" s="24" t="n">
        <f aca="false">COUNTIF(F230:K230,"Pass")</f>
        <v>0</v>
      </c>
      <c r="N230" s="8" t="n">
        <f aca="false">COUNTIF(F230:K230,"Fail")</f>
        <v>0</v>
      </c>
      <c r="O230" s="25" t="str">
        <f aca="false">IF(M230=0,"-",M230/L230)</f>
        <v>-</v>
      </c>
    </row>
    <row r="231" customFormat="false" ht="19.5" hidden="false" customHeight="true" outlineLevel="0" collapsed="false">
      <c r="A231" s="11" t="s">
        <v>579</v>
      </c>
      <c r="B231" s="32" t="s">
        <v>545</v>
      </c>
      <c r="C231" s="26" t="s">
        <v>580</v>
      </c>
      <c r="D231" s="12" t="s">
        <v>581</v>
      </c>
      <c r="E231" s="8" t="s">
        <v>19</v>
      </c>
      <c r="F231" s="10" t="s">
        <v>21</v>
      </c>
      <c r="G231" s="10" t="s">
        <v>21</v>
      </c>
      <c r="H231" s="10" t="s">
        <v>21</v>
      </c>
      <c r="I231" s="10" t="s">
        <v>21</v>
      </c>
      <c r="J231" s="10" t="s">
        <v>21</v>
      </c>
      <c r="K231" s="10" t="s">
        <v>21</v>
      </c>
      <c r="L231" s="11" t="n">
        <f aca="false">COUNTA(F231:K231)</f>
        <v>6</v>
      </c>
      <c r="M231" s="24" t="n">
        <f aca="false">COUNTIF(F231:K231,"Pass")</f>
        <v>0</v>
      </c>
      <c r="N231" s="8" t="n">
        <f aca="false">COUNTIF(F231:K231,"Fail")</f>
        <v>0</v>
      </c>
      <c r="O231" s="27" t="str">
        <f aca="false">IF(M231=0,"-",M231/L231)</f>
        <v>-</v>
      </c>
    </row>
    <row r="232" customFormat="false" ht="19.5" hidden="false" customHeight="true" outlineLevel="0" collapsed="false">
      <c r="A232" s="5" t="s">
        <v>583</v>
      </c>
      <c r="B232" s="32" t="s">
        <v>545</v>
      </c>
      <c r="C232" s="23" t="s">
        <v>580</v>
      </c>
      <c r="D232" s="7" t="s">
        <v>584</v>
      </c>
      <c r="E232" s="8" t="s">
        <v>19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  <c r="L232" s="5" t="n">
        <f aca="false">COUNTA(F232:K232)</f>
        <v>6</v>
      </c>
      <c r="M232" s="24" t="n">
        <f aca="false">COUNTIF(F232:K232,"Pass")</f>
        <v>0</v>
      </c>
      <c r="N232" s="8" t="n">
        <f aca="false">COUNTIF(F232:K232,"Fail")</f>
        <v>0</v>
      </c>
      <c r="O232" s="25" t="str">
        <f aca="false">IF(M232=0,"-",M232/L232)</f>
        <v>-</v>
      </c>
    </row>
    <row r="233" customFormat="false" ht="19.5" hidden="false" customHeight="true" outlineLevel="0" collapsed="false">
      <c r="A233" s="11" t="s">
        <v>585</v>
      </c>
      <c r="B233" s="32" t="s">
        <v>545</v>
      </c>
      <c r="C233" s="26" t="s">
        <v>580</v>
      </c>
      <c r="D233" s="12" t="s">
        <v>586</v>
      </c>
      <c r="E233" s="8" t="s">
        <v>19</v>
      </c>
      <c r="F233" s="10" t="s">
        <v>21</v>
      </c>
      <c r="G233" s="10" t="s">
        <v>21</v>
      </c>
      <c r="H233" s="10" t="s">
        <v>21</v>
      </c>
      <c r="I233" s="10" t="s">
        <v>21</v>
      </c>
      <c r="J233" s="10" t="s">
        <v>21</v>
      </c>
      <c r="K233" s="10" t="s">
        <v>21</v>
      </c>
      <c r="L233" s="11" t="n">
        <f aca="false">COUNTA(F233:K233)</f>
        <v>6</v>
      </c>
      <c r="M233" s="24" t="n">
        <f aca="false">COUNTIF(F233:K233,"Pass")</f>
        <v>0</v>
      </c>
      <c r="N233" s="8" t="n">
        <f aca="false">COUNTIF(F233:K233,"Fail")</f>
        <v>0</v>
      </c>
      <c r="O233" s="27" t="str">
        <f aca="false">IF(M233=0,"-",M233/L233)</f>
        <v>-</v>
      </c>
    </row>
    <row r="234" customFormat="false" ht="19.5" hidden="false" customHeight="true" outlineLevel="0" collapsed="false">
      <c r="A234" s="5" t="s">
        <v>587</v>
      </c>
      <c r="B234" s="32" t="s">
        <v>545</v>
      </c>
      <c r="C234" s="23" t="s">
        <v>580</v>
      </c>
      <c r="D234" s="7" t="s">
        <v>588</v>
      </c>
      <c r="E234" s="14" t="s">
        <v>27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  <c r="L234" s="5" t="n">
        <f aca="false">COUNTA(F234:K234)</f>
        <v>6</v>
      </c>
      <c r="M234" s="24" t="n">
        <f aca="false">COUNTIF(F234:K234,"Pass")</f>
        <v>0</v>
      </c>
      <c r="N234" s="8" t="n">
        <f aca="false">COUNTIF(F234:K234,"Fail")</f>
        <v>0</v>
      </c>
      <c r="O234" s="25" t="str">
        <f aca="false">IF(M234=0,"-",M234/L234)</f>
        <v>-</v>
      </c>
    </row>
    <row r="235" customFormat="false" ht="19.5" hidden="false" customHeight="true" outlineLevel="0" collapsed="false">
      <c r="A235" s="11" t="s">
        <v>589</v>
      </c>
      <c r="B235" s="32" t="s">
        <v>545</v>
      </c>
      <c r="C235" s="26" t="s">
        <v>580</v>
      </c>
      <c r="D235" s="12" t="s">
        <v>590</v>
      </c>
      <c r="E235" s="8" t="s">
        <v>19</v>
      </c>
      <c r="F235" s="10" t="s">
        <v>21</v>
      </c>
      <c r="G235" s="10" t="s">
        <v>21</v>
      </c>
      <c r="H235" s="10" t="s">
        <v>21</v>
      </c>
      <c r="I235" s="10" t="s">
        <v>21</v>
      </c>
      <c r="J235" s="10" t="s">
        <v>21</v>
      </c>
      <c r="K235" s="10" t="s">
        <v>21</v>
      </c>
      <c r="L235" s="11" t="n">
        <f aca="false">COUNTA(F235:K235)</f>
        <v>6</v>
      </c>
      <c r="M235" s="24" t="n">
        <f aca="false">COUNTIF(F235:K235,"Pass")</f>
        <v>0</v>
      </c>
      <c r="N235" s="8" t="n">
        <f aca="false">COUNTIF(F235:K235,"Fail")</f>
        <v>0</v>
      </c>
      <c r="O235" s="27" t="str">
        <f aca="false">IF(M235=0,"-",M235/L235)</f>
        <v>-</v>
      </c>
    </row>
    <row r="236" customFormat="false" ht="19.5" hidden="false" customHeight="true" outlineLevel="0" collapsed="false">
      <c r="A236" s="5" t="s">
        <v>591</v>
      </c>
      <c r="B236" s="32" t="s">
        <v>545</v>
      </c>
      <c r="C236" s="23" t="s">
        <v>580</v>
      </c>
      <c r="D236" s="7" t="s">
        <v>322</v>
      </c>
      <c r="E236" s="8" t="s">
        <v>19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  <c r="L236" s="5" t="n">
        <f aca="false">COUNTA(F236:K236)</f>
        <v>6</v>
      </c>
      <c r="M236" s="24" t="n">
        <f aca="false">COUNTIF(F236:K236,"Pass")</f>
        <v>0</v>
      </c>
      <c r="N236" s="8" t="n">
        <f aca="false">COUNTIF(F236:K236,"Fail")</f>
        <v>0</v>
      </c>
      <c r="O236" s="25" t="str">
        <f aca="false">IF(M236=0,"-",M236/L236)</f>
        <v>-</v>
      </c>
    </row>
    <row r="237" customFormat="false" ht="19.5" hidden="false" customHeight="true" outlineLevel="0" collapsed="false">
      <c r="A237" s="11" t="s">
        <v>592</v>
      </c>
      <c r="B237" s="32" t="s">
        <v>545</v>
      </c>
      <c r="C237" s="26" t="s">
        <v>580</v>
      </c>
      <c r="D237" s="12" t="s">
        <v>593</v>
      </c>
      <c r="E237" s="8" t="s">
        <v>19</v>
      </c>
      <c r="F237" s="10" t="s">
        <v>21</v>
      </c>
      <c r="G237" s="10" t="s">
        <v>21</v>
      </c>
      <c r="H237" s="10" t="s">
        <v>21</v>
      </c>
      <c r="I237" s="10" t="s">
        <v>21</v>
      </c>
      <c r="J237" s="10" t="s">
        <v>21</v>
      </c>
      <c r="K237" s="10" t="s">
        <v>21</v>
      </c>
      <c r="L237" s="11" t="n">
        <f aca="false">COUNTA(F237:K237)</f>
        <v>6</v>
      </c>
      <c r="M237" s="24" t="n">
        <f aca="false">COUNTIF(F237:K237,"Pass")</f>
        <v>0</v>
      </c>
      <c r="N237" s="8" t="n">
        <f aca="false">COUNTIF(F237:K237,"Fail")</f>
        <v>0</v>
      </c>
      <c r="O237" s="27" t="str">
        <f aca="false">IF(M237=0,"-",M237/L237)</f>
        <v>-</v>
      </c>
    </row>
    <row r="238" customFormat="false" ht="19.5" hidden="false" customHeight="true" outlineLevel="0" collapsed="false">
      <c r="A238" s="5" t="s">
        <v>595</v>
      </c>
      <c r="B238" s="32" t="s">
        <v>545</v>
      </c>
      <c r="C238" s="23" t="s">
        <v>596</v>
      </c>
      <c r="D238" s="7" t="s">
        <v>597</v>
      </c>
      <c r="E238" s="14" t="s">
        <v>27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  <c r="L238" s="5" t="n">
        <f aca="false">COUNTA(F238:K238)</f>
        <v>6</v>
      </c>
      <c r="M238" s="24" t="n">
        <f aca="false">COUNTIF(F238:K238,"Pass")</f>
        <v>0</v>
      </c>
      <c r="N238" s="8" t="n">
        <f aca="false">COUNTIF(F238:K238,"Fail")</f>
        <v>0</v>
      </c>
      <c r="O238" s="25" t="str">
        <f aca="false">IF(M238=0,"-",M238/L238)</f>
        <v>-</v>
      </c>
    </row>
    <row r="239" customFormat="false" ht="19.5" hidden="false" customHeight="true" outlineLevel="0" collapsed="false">
      <c r="A239" s="11" t="s">
        <v>599</v>
      </c>
      <c r="B239" s="32" t="s">
        <v>545</v>
      </c>
      <c r="C239" s="26" t="s">
        <v>596</v>
      </c>
      <c r="D239" s="12" t="s">
        <v>600</v>
      </c>
      <c r="E239" s="14" t="s">
        <v>27</v>
      </c>
      <c r="F239" s="10" t="s">
        <v>21</v>
      </c>
      <c r="G239" s="10" t="s">
        <v>21</v>
      </c>
      <c r="H239" s="10" t="s">
        <v>21</v>
      </c>
      <c r="I239" s="10" t="s">
        <v>21</v>
      </c>
      <c r="J239" s="10" t="s">
        <v>21</v>
      </c>
      <c r="K239" s="10" t="s">
        <v>21</v>
      </c>
      <c r="L239" s="11" t="n">
        <f aca="false">COUNTA(F239:K239)</f>
        <v>6</v>
      </c>
      <c r="M239" s="24" t="n">
        <f aca="false">COUNTIF(F239:K239,"Pass")</f>
        <v>0</v>
      </c>
      <c r="N239" s="8" t="n">
        <f aca="false">COUNTIF(F239:K239,"Fail")</f>
        <v>0</v>
      </c>
      <c r="O239" s="27" t="str">
        <f aca="false">IF(M239=0,"-",M239/L239)</f>
        <v>-</v>
      </c>
    </row>
    <row r="240" customFormat="false" ht="19.5" hidden="false" customHeight="true" outlineLevel="0" collapsed="false">
      <c r="A240" s="5" t="s">
        <v>601</v>
      </c>
      <c r="B240" s="32" t="s">
        <v>545</v>
      </c>
      <c r="C240" s="23" t="s">
        <v>596</v>
      </c>
      <c r="D240" s="7" t="s">
        <v>602</v>
      </c>
      <c r="E240" s="8" t="s">
        <v>19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  <c r="L240" s="5" t="n">
        <f aca="false">COUNTA(F240:K240)</f>
        <v>6</v>
      </c>
      <c r="M240" s="24" t="n">
        <f aca="false">COUNTIF(F240:K240,"Pass")</f>
        <v>0</v>
      </c>
      <c r="N240" s="8" t="n">
        <f aca="false">COUNTIF(F240:K240,"Fail")</f>
        <v>0</v>
      </c>
      <c r="O240" s="25" t="str">
        <f aca="false">IF(M240=0,"-",M240/L240)</f>
        <v>-</v>
      </c>
    </row>
    <row r="241" customFormat="false" ht="19.5" hidden="false" customHeight="true" outlineLevel="0" collapsed="false">
      <c r="A241" s="11" t="s">
        <v>603</v>
      </c>
      <c r="B241" s="32" t="s">
        <v>545</v>
      </c>
      <c r="C241" s="26" t="s">
        <v>596</v>
      </c>
      <c r="D241" s="12" t="s">
        <v>604</v>
      </c>
      <c r="E241" s="8" t="s">
        <v>19</v>
      </c>
      <c r="F241" s="10" t="s">
        <v>21</v>
      </c>
      <c r="G241" s="10" t="s">
        <v>21</v>
      </c>
      <c r="H241" s="10" t="s">
        <v>21</v>
      </c>
      <c r="I241" s="10" t="s">
        <v>21</v>
      </c>
      <c r="J241" s="10" t="s">
        <v>21</v>
      </c>
      <c r="K241" s="10" t="s">
        <v>21</v>
      </c>
      <c r="L241" s="11" t="n">
        <f aca="false">COUNTA(F241:K241)</f>
        <v>6</v>
      </c>
      <c r="M241" s="24" t="n">
        <f aca="false">COUNTIF(F241:K241,"Pass")</f>
        <v>0</v>
      </c>
      <c r="N241" s="8" t="n">
        <f aca="false">COUNTIF(F241:K241,"Fail")</f>
        <v>0</v>
      </c>
      <c r="O241" s="27" t="str">
        <f aca="false">IF(M241=0,"-",M241/L241)</f>
        <v>-</v>
      </c>
    </row>
    <row r="242" customFormat="false" ht="19.5" hidden="false" customHeight="true" outlineLevel="0" collapsed="false">
      <c r="A242" s="5" t="s">
        <v>605</v>
      </c>
      <c r="B242" s="32" t="s">
        <v>545</v>
      </c>
      <c r="C242" s="23" t="s">
        <v>596</v>
      </c>
      <c r="D242" s="7" t="s">
        <v>606</v>
      </c>
      <c r="E242" s="8" t="s">
        <v>19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  <c r="L242" s="5" t="n">
        <f aca="false">COUNTA(F242:K242)</f>
        <v>6</v>
      </c>
      <c r="M242" s="24" t="n">
        <f aca="false">COUNTIF(F242:K242,"Pass")</f>
        <v>0</v>
      </c>
      <c r="N242" s="8" t="n">
        <f aca="false">COUNTIF(F242:K242,"Fail")</f>
        <v>0</v>
      </c>
      <c r="O242" s="25" t="str">
        <f aca="false">IF(M242=0,"-",M242/L242)</f>
        <v>-</v>
      </c>
    </row>
    <row r="243" customFormat="false" ht="19.5" hidden="false" customHeight="true" outlineLevel="0" collapsed="false">
      <c r="A243" s="11" t="s">
        <v>607</v>
      </c>
      <c r="B243" s="32" t="s">
        <v>545</v>
      </c>
      <c r="C243" s="26" t="s">
        <v>596</v>
      </c>
      <c r="D243" s="12" t="s">
        <v>608</v>
      </c>
      <c r="E243" s="8" t="s">
        <v>19</v>
      </c>
      <c r="F243" s="10" t="s">
        <v>21</v>
      </c>
      <c r="G243" s="10" t="s">
        <v>21</v>
      </c>
      <c r="H243" s="10" t="s">
        <v>21</v>
      </c>
      <c r="I243" s="10" t="s">
        <v>21</v>
      </c>
      <c r="J243" s="10" t="s">
        <v>21</v>
      </c>
      <c r="K243" s="10" t="s">
        <v>21</v>
      </c>
      <c r="L243" s="11" t="n">
        <f aca="false">COUNTA(F243:K243)</f>
        <v>6</v>
      </c>
      <c r="M243" s="24" t="n">
        <f aca="false">COUNTIF(F243:K243,"Pass")</f>
        <v>0</v>
      </c>
      <c r="N243" s="8" t="n">
        <f aca="false">COUNTIF(F243:K243,"Fail")</f>
        <v>0</v>
      </c>
      <c r="O243" s="27" t="str">
        <f aca="false">IF(M243=0,"-",M243/L243)</f>
        <v>-</v>
      </c>
    </row>
    <row r="244" customFormat="false" ht="19.5" hidden="false" customHeight="true" outlineLevel="0" collapsed="false">
      <c r="A244" s="5" t="s">
        <v>609</v>
      </c>
      <c r="B244" s="32" t="s">
        <v>545</v>
      </c>
      <c r="C244" s="23" t="s">
        <v>610</v>
      </c>
      <c r="D244" s="7" t="s">
        <v>611</v>
      </c>
      <c r="E244" s="15" t="s">
        <v>53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  <c r="L244" s="5" t="n">
        <f aca="false">COUNTA(F244:K244)</f>
        <v>6</v>
      </c>
      <c r="M244" s="24" t="n">
        <f aca="false">COUNTIF(F244:K244,"Pass")</f>
        <v>0</v>
      </c>
      <c r="N244" s="8" t="n">
        <f aca="false">COUNTIF(F244:K244,"Fail")</f>
        <v>0</v>
      </c>
      <c r="O244" s="25" t="str">
        <f aca="false">IF(M244=0,"-",M244/L244)</f>
        <v>-</v>
      </c>
    </row>
    <row r="245" customFormat="false" ht="19.5" hidden="false" customHeight="true" outlineLevel="0" collapsed="false">
      <c r="A245" s="11" t="s">
        <v>613</v>
      </c>
      <c r="B245" s="32" t="s">
        <v>545</v>
      </c>
      <c r="C245" s="26" t="s">
        <v>610</v>
      </c>
      <c r="D245" s="12" t="s">
        <v>614</v>
      </c>
      <c r="E245" s="15" t="s">
        <v>53</v>
      </c>
      <c r="F245" s="10" t="s">
        <v>21</v>
      </c>
      <c r="G245" s="10" t="s">
        <v>21</v>
      </c>
      <c r="H245" s="10" t="s">
        <v>21</v>
      </c>
      <c r="I245" s="10" t="s">
        <v>21</v>
      </c>
      <c r="J245" s="10" t="s">
        <v>21</v>
      </c>
      <c r="K245" s="10" t="s">
        <v>21</v>
      </c>
      <c r="L245" s="11" t="n">
        <f aca="false">COUNTA(F245:K245)</f>
        <v>6</v>
      </c>
      <c r="M245" s="24" t="n">
        <f aca="false">COUNTIF(F245:K245,"Pass")</f>
        <v>0</v>
      </c>
      <c r="N245" s="8" t="n">
        <f aca="false">COUNTIF(F245:K245,"Fail")</f>
        <v>0</v>
      </c>
      <c r="O245" s="27" t="str">
        <f aca="false">IF(M245=0,"-",M245/L245)</f>
        <v>-</v>
      </c>
    </row>
    <row r="246" customFormat="false" ht="19.5" hidden="false" customHeight="true" outlineLevel="0" collapsed="false">
      <c r="A246" s="5" t="s">
        <v>615</v>
      </c>
      <c r="B246" s="32" t="s">
        <v>545</v>
      </c>
      <c r="C246" s="23" t="s">
        <v>610</v>
      </c>
      <c r="D246" s="7" t="s">
        <v>616</v>
      </c>
      <c r="E246" s="15" t="s">
        <v>53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  <c r="L246" s="5" t="n">
        <f aca="false">COUNTA(F246:K246)</f>
        <v>6</v>
      </c>
      <c r="M246" s="24" t="n">
        <f aca="false">COUNTIF(F246:K246,"Pass")</f>
        <v>0</v>
      </c>
      <c r="N246" s="8" t="n">
        <f aca="false">COUNTIF(F246:K246,"Fail")</f>
        <v>0</v>
      </c>
      <c r="O246" s="25" t="str">
        <f aca="false">IF(M246=0,"-",M246/L246)</f>
        <v>-</v>
      </c>
    </row>
    <row r="247" customFormat="false" ht="19.5" hidden="false" customHeight="true" outlineLevel="0" collapsed="false">
      <c r="A247" s="11" t="s">
        <v>617</v>
      </c>
      <c r="B247" s="32" t="s">
        <v>545</v>
      </c>
      <c r="C247" s="26" t="s">
        <v>618</v>
      </c>
      <c r="D247" s="12" t="s">
        <v>619</v>
      </c>
      <c r="E247" s="8" t="s">
        <v>19</v>
      </c>
      <c r="F247" s="10" t="s">
        <v>21</v>
      </c>
      <c r="G247" s="10" t="s">
        <v>21</v>
      </c>
      <c r="H247" s="10" t="s">
        <v>21</v>
      </c>
      <c r="I247" s="10" t="s">
        <v>21</v>
      </c>
      <c r="J247" s="10" t="s">
        <v>21</v>
      </c>
      <c r="K247" s="10" t="s">
        <v>21</v>
      </c>
      <c r="L247" s="11" t="n">
        <f aca="false">COUNTA(F247:K247)</f>
        <v>6</v>
      </c>
      <c r="M247" s="24" t="n">
        <f aca="false">COUNTIF(F247:K247,"Pass")</f>
        <v>0</v>
      </c>
      <c r="N247" s="8" t="n">
        <f aca="false">COUNTIF(F247:K247,"Fail")</f>
        <v>0</v>
      </c>
      <c r="O247" s="27" t="str">
        <f aca="false">IF(M247=0,"-",M247/L247)</f>
        <v>-</v>
      </c>
    </row>
    <row r="248" customFormat="false" ht="19.5" hidden="false" customHeight="true" outlineLevel="0" collapsed="false">
      <c r="A248" s="5" t="s">
        <v>621</v>
      </c>
      <c r="B248" s="32" t="s">
        <v>545</v>
      </c>
      <c r="C248" s="23" t="s">
        <v>618</v>
      </c>
      <c r="D248" s="7" t="s">
        <v>439</v>
      </c>
      <c r="E248" s="8" t="s">
        <v>19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  <c r="L248" s="5" t="n">
        <f aca="false">COUNTA(F248:K248)</f>
        <v>6</v>
      </c>
      <c r="M248" s="24" t="n">
        <f aca="false">COUNTIF(F248:K248,"Pass")</f>
        <v>0</v>
      </c>
      <c r="N248" s="8" t="n">
        <f aca="false">COUNTIF(F248:K248,"Fail")</f>
        <v>0</v>
      </c>
      <c r="O248" s="25" t="str">
        <f aca="false">IF(M248=0,"-",M248/L248)</f>
        <v>-</v>
      </c>
    </row>
    <row r="249" customFormat="false" ht="19.5" hidden="false" customHeight="true" outlineLevel="0" collapsed="false">
      <c r="A249" s="11" t="s">
        <v>622</v>
      </c>
      <c r="B249" s="32" t="s">
        <v>545</v>
      </c>
      <c r="C249" s="26" t="s">
        <v>618</v>
      </c>
      <c r="D249" s="12" t="s">
        <v>623</v>
      </c>
      <c r="E249" s="8" t="s">
        <v>19</v>
      </c>
      <c r="F249" s="10" t="s">
        <v>21</v>
      </c>
      <c r="G249" s="10" t="s">
        <v>21</v>
      </c>
      <c r="H249" s="10" t="s">
        <v>21</v>
      </c>
      <c r="I249" s="10" t="s">
        <v>21</v>
      </c>
      <c r="J249" s="10" t="s">
        <v>21</v>
      </c>
      <c r="K249" s="10" t="s">
        <v>21</v>
      </c>
      <c r="L249" s="11" t="n">
        <f aca="false">COUNTA(F249:K249)</f>
        <v>6</v>
      </c>
      <c r="M249" s="24" t="n">
        <f aca="false">COUNTIF(F249:K249,"Pass")</f>
        <v>0</v>
      </c>
      <c r="N249" s="8" t="n">
        <f aca="false">COUNTIF(F249:K249,"Fail")</f>
        <v>0</v>
      </c>
      <c r="O249" s="27" t="str">
        <f aca="false">IF(M249=0,"-",M249/L249)</f>
        <v>-</v>
      </c>
    </row>
    <row r="250" customFormat="false" ht="19.5" hidden="false" customHeight="true" outlineLevel="0" collapsed="false">
      <c r="A250" s="5" t="s">
        <v>624</v>
      </c>
      <c r="B250" s="32" t="s">
        <v>545</v>
      </c>
      <c r="C250" s="23" t="s">
        <v>618</v>
      </c>
      <c r="D250" s="7" t="s">
        <v>625</v>
      </c>
      <c r="E250" s="8" t="s">
        <v>19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  <c r="L250" s="5" t="n">
        <f aca="false">COUNTA(F250:K250)</f>
        <v>6</v>
      </c>
      <c r="M250" s="24" t="n">
        <f aca="false">COUNTIF(F250:K250,"Pass")</f>
        <v>0</v>
      </c>
      <c r="N250" s="8" t="n">
        <f aca="false">COUNTIF(F250:K250,"Fail")</f>
        <v>0</v>
      </c>
      <c r="O250" s="25" t="str">
        <f aca="false">IF(M250=0,"-",M250/L250)</f>
        <v>-</v>
      </c>
    </row>
    <row r="251" customFormat="false" ht="19.5" hidden="false" customHeight="true" outlineLevel="0" collapsed="false">
      <c r="A251" s="11" t="s">
        <v>626</v>
      </c>
      <c r="B251" s="32" t="s">
        <v>545</v>
      </c>
      <c r="C251" s="26" t="s">
        <v>627</v>
      </c>
      <c r="D251" s="12" t="s">
        <v>628</v>
      </c>
      <c r="E251" s="14" t="s">
        <v>27</v>
      </c>
      <c r="F251" s="10" t="s">
        <v>21</v>
      </c>
      <c r="G251" s="10" t="s">
        <v>21</v>
      </c>
      <c r="H251" s="10" t="s">
        <v>21</v>
      </c>
      <c r="I251" s="10" t="s">
        <v>21</v>
      </c>
      <c r="J251" s="10" t="s">
        <v>21</v>
      </c>
      <c r="K251" s="10" t="s">
        <v>21</v>
      </c>
      <c r="L251" s="11" t="n">
        <f aca="false">COUNTA(F251:K251)</f>
        <v>6</v>
      </c>
      <c r="M251" s="24" t="n">
        <f aca="false">COUNTIF(F251:K251,"Pass")</f>
        <v>0</v>
      </c>
      <c r="N251" s="8" t="n">
        <f aca="false">COUNTIF(F251:K251,"Fail")</f>
        <v>0</v>
      </c>
      <c r="O251" s="27" t="str">
        <f aca="false">IF(M251=0,"-",M251/L251)</f>
        <v>-</v>
      </c>
    </row>
    <row r="252" customFormat="false" ht="19.5" hidden="false" customHeight="true" outlineLevel="0" collapsed="false">
      <c r="A252" s="5" t="s">
        <v>630</v>
      </c>
      <c r="B252" s="32" t="s">
        <v>545</v>
      </c>
      <c r="C252" s="23" t="s">
        <v>627</v>
      </c>
      <c r="D252" s="7" t="s">
        <v>631</v>
      </c>
      <c r="E252" s="14" t="s">
        <v>27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  <c r="L252" s="5" t="n">
        <f aca="false">COUNTA(F252:K252)</f>
        <v>6</v>
      </c>
      <c r="M252" s="24" t="n">
        <f aca="false">COUNTIF(F252:K252,"Pass")</f>
        <v>0</v>
      </c>
      <c r="N252" s="8" t="n">
        <f aca="false">COUNTIF(F252:K252,"Fail")</f>
        <v>0</v>
      </c>
      <c r="O252" s="25" t="str">
        <f aca="false">IF(M252=0,"-",M252/L252)</f>
        <v>-</v>
      </c>
    </row>
    <row r="253" customFormat="false" ht="19.5" hidden="false" customHeight="true" outlineLevel="0" collapsed="false">
      <c r="A253" s="11" t="s">
        <v>632</v>
      </c>
      <c r="B253" s="32" t="s">
        <v>545</v>
      </c>
      <c r="C253" s="26" t="s">
        <v>627</v>
      </c>
      <c r="D253" s="12" t="s">
        <v>633</v>
      </c>
      <c r="E253" s="14" t="s">
        <v>27</v>
      </c>
      <c r="F253" s="10" t="s">
        <v>21</v>
      </c>
      <c r="G253" s="10" t="s">
        <v>21</v>
      </c>
      <c r="H253" s="10" t="s">
        <v>21</v>
      </c>
      <c r="I253" s="10" t="s">
        <v>21</v>
      </c>
      <c r="J253" s="10" t="s">
        <v>21</v>
      </c>
      <c r="K253" s="10" t="s">
        <v>21</v>
      </c>
      <c r="L253" s="11" t="n">
        <f aca="false">COUNTA(F253:K253)</f>
        <v>6</v>
      </c>
      <c r="M253" s="24" t="n">
        <f aca="false">COUNTIF(F253:K253,"Pass")</f>
        <v>0</v>
      </c>
      <c r="N253" s="8" t="n">
        <f aca="false">COUNTIF(F253:K253,"Fail")</f>
        <v>0</v>
      </c>
      <c r="O253" s="27" t="str">
        <f aca="false">IF(M253=0,"-",M253/L253)</f>
        <v>-</v>
      </c>
    </row>
    <row r="254" customFormat="false" ht="19.5" hidden="false" customHeight="true" outlineLevel="0" collapsed="false">
      <c r="A254" s="5" t="s">
        <v>634</v>
      </c>
      <c r="B254" s="32" t="s">
        <v>545</v>
      </c>
      <c r="C254" s="23" t="s">
        <v>635</v>
      </c>
      <c r="D254" s="7" t="s">
        <v>636</v>
      </c>
      <c r="E254" s="8" t="s">
        <v>19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  <c r="L254" s="5" t="n">
        <f aca="false">COUNTA(F254:K254)</f>
        <v>6</v>
      </c>
      <c r="M254" s="24" t="n">
        <f aca="false">COUNTIF(F254:K254,"Pass")</f>
        <v>0</v>
      </c>
      <c r="N254" s="8" t="n">
        <f aca="false">COUNTIF(F254:K254,"Fail")</f>
        <v>0</v>
      </c>
      <c r="O254" s="25" t="str">
        <f aca="false">IF(M254=0,"-",M254/L254)</f>
        <v>-</v>
      </c>
    </row>
    <row r="255" customFormat="false" ht="19.5" hidden="false" customHeight="true" outlineLevel="0" collapsed="false">
      <c r="A255" s="11" t="s">
        <v>637</v>
      </c>
      <c r="B255" s="32" t="s">
        <v>545</v>
      </c>
      <c r="C255" s="26" t="s">
        <v>635</v>
      </c>
      <c r="D255" s="12" t="s">
        <v>638</v>
      </c>
      <c r="E255" s="8" t="s">
        <v>19</v>
      </c>
      <c r="F255" s="10" t="s">
        <v>21</v>
      </c>
      <c r="G255" s="10" t="s">
        <v>21</v>
      </c>
      <c r="H255" s="10" t="s">
        <v>21</v>
      </c>
      <c r="I255" s="10" t="s">
        <v>21</v>
      </c>
      <c r="J255" s="10" t="s">
        <v>21</v>
      </c>
      <c r="K255" s="10" t="s">
        <v>21</v>
      </c>
      <c r="L255" s="11" t="n">
        <f aca="false">COUNTA(F255:K255)</f>
        <v>6</v>
      </c>
      <c r="M255" s="24" t="n">
        <f aca="false">COUNTIF(F255:K255,"Pass")</f>
        <v>0</v>
      </c>
      <c r="N255" s="8" t="n">
        <f aca="false">COUNTIF(F255:K255,"Fail")</f>
        <v>0</v>
      </c>
      <c r="O255" s="27" t="str">
        <f aca="false">IF(M255=0,"-",M255/L255)</f>
        <v>-</v>
      </c>
    </row>
    <row r="256" customFormat="false" ht="19.5" hidden="false" customHeight="true" outlineLevel="0" collapsed="false">
      <c r="A256" s="5" t="s">
        <v>639</v>
      </c>
      <c r="B256" s="32" t="s">
        <v>545</v>
      </c>
      <c r="C256" s="23" t="s">
        <v>635</v>
      </c>
      <c r="D256" s="7" t="s">
        <v>640</v>
      </c>
      <c r="E256" s="8" t="s">
        <v>19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  <c r="L256" s="5" t="n">
        <f aca="false">COUNTA(F256:K256)</f>
        <v>6</v>
      </c>
      <c r="M256" s="24" t="n">
        <f aca="false">COUNTIF(F256:K256,"Pass")</f>
        <v>0</v>
      </c>
      <c r="N256" s="8" t="n">
        <f aca="false">COUNTIF(F256:K256,"Fail")</f>
        <v>0</v>
      </c>
      <c r="O256" s="25" t="str">
        <f aca="false">IF(M256=0,"-",M256/L256)</f>
        <v>-</v>
      </c>
    </row>
    <row r="257" customFormat="false" ht="19.5" hidden="false" customHeight="true" outlineLevel="0" collapsed="false">
      <c r="A257" s="11" t="s">
        <v>641</v>
      </c>
      <c r="B257" s="32" t="s">
        <v>545</v>
      </c>
      <c r="C257" s="26" t="s">
        <v>635</v>
      </c>
      <c r="D257" s="12" t="s">
        <v>642</v>
      </c>
      <c r="E257" s="8" t="s">
        <v>19</v>
      </c>
      <c r="F257" s="10" t="s">
        <v>21</v>
      </c>
      <c r="G257" s="10" t="s">
        <v>21</v>
      </c>
      <c r="H257" s="10" t="s">
        <v>21</v>
      </c>
      <c r="I257" s="10" t="s">
        <v>21</v>
      </c>
      <c r="J257" s="10" t="s">
        <v>21</v>
      </c>
      <c r="K257" s="10" t="s">
        <v>21</v>
      </c>
      <c r="L257" s="11" t="n">
        <f aca="false">COUNTA(F257:K257)</f>
        <v>6</v>
      </c>
      <c r="M257" s="24" t="n">
        <f aca="false">COUNTIF(F257:K257,"Pass")</f>
        <v>0</v>
      </c>
      <c r="N257" s="8" t="n">
        <f aca="false">COUNTIF(F257:K257,"Fail")</f>
        <v>0</v>
      </c>
      <c r="O257" s="27" t="str">
        <f aca="false">IF(M257=0,"-",M257/L257)</f>
        <v>-</v>
      </c>
    </row>
    <row r="258" customFormat="false" ht="19.5" hidden="false" customHeight="true" outlineLevel="0" collapsed="false">
      <c r="A258" s="5" t="s">
        <v>643</v>
      </c>
      <c r="B258" s="32" t="s">
        <v>545</v>
      </c>
      <c r="C258" s="23" t="s">
        <v>635</v>
      </c>
      <c r="D258" s="7" t="s">
        <v>644</v>
      </c>
      <c r="E258" s="14" t="s">
        <v>27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  <c r="L258" s="5" t="n">
        <f aca="false">COUNTA(F258:K258)</f>
        <v>6</v>
      </c>
      <c r="M258" s="24" t="n">
        <f aca="false">COUNTIF(F258:K258,"Pass")</f>
        <v>0</v>
      </c>
      <c r="N258" s="8" t="n">
        <f aca="false">COUNTIF(F258:K258,"Fail")</f>
        <v>0</v>
      </c>
      <c r="O258" s="25" t="str">
        <f aca="false">IF(M258=0,"-",M258/L258)</f>
        <v>-</v>
      </c>
    </row>
    <row r="259" customFormat="false" ht="19.5" hidden="false" customHeight="true" outlineLevel="0" collapsed="false">
      <c r="A259" s="11" t="s">
        <v>645</v>
      </c>
      <c r="B259" s="32" t="s">
        <v>545</v>
      </c>
      <c r="C259" s="26" t="s">
        <v>646</v>
      </c>
      <c r="D259" s="12" t="s">
        <v>647</v>
      </c>
      <c r="E259" s="8" t="s">
        <v>19</v>
      </c>
      <c r="F259" s="10" t="s">
        <v>21</v>
      </c>
      <c r="G259" s="10" t="s">
        <v>21</v>
      </c>
      <c r="H259" s="10" t="s">
        <v>21</v>
      </c>
      <c r="I259" s="10" t="s">
        <v>21</v>
      </c>
      <c r="J259" s="10" t="s">
        <v>21</v>
      </c>
      <c r="K259" s="10" t="s">
        <v>21</v>
      </c>
      <c r="L259" s="11" t="n">
        <f aca="false">COUNTA(F259:K259)</f>
        <v>6</v>
      </c>
      <c r="M259" s="24" t="n">
        <f aca="false">COUNTIF(F259:K259,"Pass")</f>
        <v>0</v>
      </c>
      <c r="N259" s="8" t="n">
        <f aca="false">COUNTIF(F259:K259,"Fail")</f>
        <v>0</v>
      </c>
      <c r="O259" s="27" t="str">
        <f aca="false">IF(M259=0,"-",M259/L259)</f>
        <v>-</v>
      </c>
    </row>
    <row r="260" customFormat="false" ht="19.5" hidden="false" customHeight="true" outlineLevel="0" collapsed="false">
      <c r="A260" s="5" t="s">
        <v>649</v>
      </c>
      <c r="B260" s="32" t="s">
        <v>545</v>
      </c>
      <c r="C260" s="23" t="s">
        <v>646</v>
      </c>
      <c r="D260" s="7" t="s">
        <v>650</v>
      </c>
      <c r="E260" s="8" t="s">
        <v>19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  <c r="L260" s="5" t="n">
        <f aca="false">COUNTA(F260:K260)</f>
        <v>6</v>
      </c>
      <c r="M260" s="24" t="n">
        <f aca="false">COUNTIF(F260:K260,"Pass")</f>
        <v>0</v>
      </c>
      <c r="N260" s="8" t="n">
        <f aca="false">COUNTIF(F260:K260,"Fail")</f>
        <v>0</v>
      </c>
      <c r="O260" s="25" t="str">
        <f aca="false">IF(M260=0,"-",M260/L260)</f>
        <v>-</v>
      </c>
    </row>
    <row r="261" customFormat="false" ht="19.5" hidden="false" customHeight="true" outlineLevel="0" collapsed="false">
      <c r="A261" s="11" t="s">
        <v>651</v>
      </c>
      <c r="B261" s="32" t="s">
        <v>545</v>
      </c>
      <c r="C261" s="26" t="s">
        <v>646</v>
      </c>
      <c r="D261" s="12" t="s">
        <v>652</v>
      </c>
      <c r="E261" s="8" t="s">
        <v>19</v>
      </c>
      <c r="F261" s="10" t="s">
        <v>21</v>
      </c>
      <c r="G261" s="10" t="s">
        <v>21</v>
      </c>
      <c r="H261" s="10" t="s">
        <v>21</v>
      </c>
      <c r="I261" s="10" t="s">
        <v>21</v>
      </c>
      <c r="J261" s="10" t="s">
        <v>21</v>
      </c>
      <c r="K261" s="10" t="s">
        <v>21</v>
      </c>
      <c r="L261" s="11" t="n">
        <f aca="false">COUNTA(F261:K261)</f>
        <v>6</v>
      </c>
      <c r="M261" s="24" t="n">
        <f aca="false">COUNTIF(F261:K261,"Pass")</f>
        <v>0</v>
      </c>
      <c r="N261" s="8" t="n">
        <f aca="false">COUNTIF(F261:K261,"Fail")</f>
        <v>0</v>
      </c>
      <c r="O261" s="27" t="str">
        <f aca="false">IF(M261=0,"-",M261/L261)</f>
        <v>-</v>
      </c>
    </row>
    <row r="262" customFormat="false" ht="19.5" hidden="false" customHeight="true" outlineLevel="0" collapsed="false">
      <c r="A262" s="5" t="s">
        <v>653</v>
      </c>
      <c r="B262" s="32" t="s">
        <v>545</v>
      </c>
      <c r="C262" s="23" t="s">
        <v>646</v>
      </c>
      <c r="D262" s="7" t="s">
        <v>654</v>
      </c>
      <c r="E262" s="8" t="s">
        <v>19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  <c r="L262" s="5" t="n">
        <f aca="false">COUNTA(F262:K262)</f>
        <v>6</v>
      </c>
      <c r="M262" s="24" t="n">
        <f aca="false">COUNTIF(F262:K262,"Pass")</f>
        <v>0</v>
      </c>
      <c r="N262" s="8" t="n">
        <f aca="false">COUNTIF(F262:K262,"Fail")</f>
        <v>0</v>
      </c>
      <c r="O262" s="25" t="str">
        <f aca="false">IF(M262=0,"-",M262/L262)</f>
        <v>-</v>
      </c>
    </row>
    <row r="263" customFormat="false" ht="19.5" hidden="false" customHeight="true" outlineLevel="0" collapsed="false">
      <c r="A263" s="11" t="s">
        <v>655</v>
      </c>
      <c r="B263" s="32" t="s">
        <v>545</v>
      </c>
      <c r="C263" s="26" t="s">
        <v>646</v>
      </c>
      <c r="D263" s="12" t="s">
        <v>656</v>
      </c>
      <c r="E263" s="8" t="s">
        <v>19</v>
      </c>
      <c r="F263" s="10" t="s">
        <v>21</v>
      </c>
      <c r="G263" s="10" t="s">
        <v>21</v>
      </c>
      <c r="H263" s="10" t="s">
        <v>21</v>
      </c>
      <c r="I263" s="10" t="s">
        <v>21</v>
      </c>
      <c r="J263" s="10" t="s">
        <v>21</v>
      </c>
      <c r="K263" s="10" t="s">
        <v>21</v>
      </c>
      <c r="L263" s="11" t="n">
        <f aca="false">COUNTA(F263:K263)</f>
        <v>6</v>
      </c>
      <c r="M263" s="24" t="n">
        <f aca="false">COUNTIF(F263:K263,"Pass")</f>
        <v>0</v>
      </c>
      <c r="N263" s="8" t="n">
        <f aca="false">COUNTIF(F263:K263,"Fail")</f>
        <v>0</v>
      </c>
      <c r="O263" s="27" t="str">
        <f aca="false">IF(M263=0,"-",M263/L263)</f>
        <v>-</v>
      </c>
    </row>
    <row r="264" customFormat="false" ht="19.5" hidden="false" customHeight="true" outlineLevel="0" collapsed="false">
      <c r="A264" s="5" t="s">
        <v>657</v>
      </c>
      <c r="B264" s="32" t="s">
        <v>545</v>
      </c>
      <c r="C264" s="23" t="s">
        <v>242</v>
      </c>
      <c r="D264" s="7" t="s">
        <v>658</v>
      </c>
      <c r="E264" s="8" t="s">
        <v>19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  <c r="L264" s="5" t="n">
        <f aca="false">COUNTA(F264:K264)</f>
        <v>6</v>
      </c>
      <c r="M264" s="24" t="n">
        <f aca="false">COUNTIF(F264:K264,"Pass")</f>
        <v>0</v>
      </c>
      <c r="N264" s="8" t="n">
        <f aca="false">COUNTIF(F264:K264,"Fail")</f>
        <v>0</v>
      </c>
      <c r="O264" s="25" t="str">
        <f aca="false">IF(M264=0,"-",M264/L264)</f>
        <v>-</v>
      </c>
    </row>
    <row r="265" customFormat="false" ht="19.5" hidden="false" customHeight="true" outlineLevel="0" collapsed="false">
      <c r="A265" s="11" t="s">
        <v>659</v>
      </c>
      <c r="B265" s="32" t="s">
        <v>545</v>
      </c>
      <c r="C265" s="26" t="s">
        <v>242</v>
      </c>
      <c r="D265" s="12" t="s">
        <v>660</v>
      </c>
      <c r="E265" s="8" t="s">
        <v>19</v>
      </c>
      <c r="F265" s="10" t="s">
        <v>21</v>
      </c>
      <c r="G265" s="10" t="s">
        <v>21</v>
      </c>
      <c r="H265" s="10" t="s">
        <v>21</v>
      </c>
      <c r="I265" s="10" t="s">
        <v>21</v>
      </c>
      <c r="J265" s="10" t="s">
        <v>21</v>
      </c>
      <c r="K265" s="10" t="s">
        <v>21</v>
      </c>
      <c r="L265" s="11" t="n">
        <f aca="false">COUNTA(F265:K265)</f>
        <v>6</v>
      </c>
      <c r="M265" s="24" t="n">
        <f aca="false">COUNTIF(F265:K265,"Pass")</f>
        <v>0</v>
      </c>
      <c r="N265" s="8" t="n">
        <f aca="false">COUNTIF(F265:K265,"Fail")</f>
        <v>0</v>
      </c>
      <c r="O265" s="27" t="str">
        <f aca="false">IF(M265=0,"-",M265/L265)</f>
        <v>-</v>
      </c>
    </row>
    <row r="266" customFormat="false" ht="19.5" hidden="false" customHeight="true" outlineLevel="0" collapsed="false">
      <c r="A266" s="5" t="s">
        <v>661</v>
      </c>
      <c r="B266" s="32" t="s">
        <v>545</v>
      </c>
      <c r="C266" s="23" t="s">
        <v>242</v>
      </c>
      <c r="D266" s="7" t="s">
        <v>662</v>
      </c>
      <c r="E266" s="8" t="s">
        <v>19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  <c r="L266" s="5" t="n">
        <f aca="false">COUNTA(F266:K266)</f>
        <v>6</v>
      </c>
      <c r="M266" s="24" t="n">
        <f aca="false">COUNTIF(F266:K266,"Pass")</f>
        <v>0</v>
      </c>
      <c r="N266" s="8" t="n">
        <f aca="false">COUNTIF(F266:K266,"Fail")</f>
        <v>0</v>
      </c>
      <c r="O266" s="25" t="str">
        <f aca="false">IF(M266=0,"-",M266/L266)</f>
        <v>-</v>
      </c>
    </row>
    <row r="267" customFormat="false" ht="19.5" hidden="false" customHeight="true" outlineLevel="0" collapsed="false">
      <c r="A267" s="11" t="s">
        <v>663</v>
      </c>
      <c r="B267" s="32" t="s">
        <v>545</v>
      </c>
      <c r="C267" s="26" t="s">
        <v>242</v>
      </c>
      <c r="D267" s="12" t="s">
        <v>664</v>
      </c>
      <c r="E267" s="8" t="s">
        <v>19</v>
      </c>
      <c r="F267" s="10" t="s">
        <v>21</v>
      </c>
      <c r="G267" s="10" t="s">
        <v>21</v>
      </c>
      <c r="H267" s="10" t="s">
        <v>21</v>
      </c>
      <c r="I267" s="10" t="s">
        <v>21</v>
      </c>
      <c r="J267" s="10" t="s">
        <v>21</v>
      </c>
      <c r="K267" s="10" t="s">
        <v>21</v>
      </c>
      <c r="L267" s="11" t="n">
        <f aca="false">COUNTA(F267:K267)</f>
        <v>6</v>
      </c>
      <c r="M267" s="24" t="n">
        <f aca="false">COUNTIF(F267:K267,"Pass")</f>
        <v>0</v>
      </c>
      <c r="N267" s="8" t="n">
        <f aca="false">COUNTIF(F267:K267,"Fail")</f>
        <v>0</v>
      </c>
      <c r="O267" s="27" t="str">
        <f aca="false">IF(M267=0,"-",M267/L267)</f>
        <v>-</v>
      </c>
    </row>
    <row r="268" customFormat="false" ht="19.5" hidden="false" customHeight="true" outlineLevel="0" collapsed="false">
      <c r="A268" s="5" t="s">
        <v>665</v>
      </c>
      <c r="B268" s="32" t="s">
        <v>545</v>
      </c>
      <c r="C268" s="23" t="s">
        <v>242</v>
      </c>
      <c r="D268" s="7" t="s">
        <v>666</v>
      </c>
      <c r="E268" s="8" t="s">
        <v>19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  <c r="L268" s="5" t="n">
        <f aca="false">COUNTA(F268:K268)</f>
        <v>6</v>
      </c>
      <c r="M268" s="24" t="n">
        <f aca="false">COUNTIF(F268:K268,"Pass")</f>
        <v>0</v>
      </c>
      <c r="N268" s="8" t="n">
        <f aca="false">COUNTIF(F268:K268,"Fail")</f>
        <v>0</v>
      </c>
      <c r="O268" s="25" t="str">
        <f aca="false">IF(M268=0,"-",M268/L268)</f>
        <v>-</v>
      </c>
    </row>
    <row r="269" customFormat="false" ht="19.5" hidden="false" customHeight="true" outlineLevel="0" collapsed="false">
      <c r="A269" s="11" t="s">
        <v>667</v>
      </c>
      <c r="B269" s="32" t="s">
        <v>545</v>
      </c>
      <c r="C269" s="26" t="s">
        <v>251</v>
      </c>
      <c r="D269" s="12" t="s">
        <v>668</v>
      </c>
      <c r="E269" s="14" t="s">
        <v>27</v>
      </c>
      <c r="F269" s="10" t="s">
        <v>21</v>
      </c>
      <c r="G269" s="10" t="s">
        <v>21</v>
      </c>
      <c r="H269" s="10" t="s">
        <v>21</v>
      </c>
      <c r="I269" s="10" t="s">
        <v>21</v>
      </c>
      <c r="J269" s="10" t="s">
        <v>21</v>
      </c>
      <c r="K269" s="10" t="s">
        <v>21</v>
      </c>
      <c r="L269" s="11" t="n">
        <f aca="false">COUNTA(F269:K269)</f>
        <v>6</v>
      </c>
      <c r="M269" s="24" t="n">
        <f aca="false">COUNTIF(F269:K269,"Pass")</f>
        <v>0</v>
      </c>
      <c r="N269" s="8" t="n">
        <f aca="false">COUNTIF(F269:K269,"Fail")</f>
        <v>0</v>
      </c>
      <c r="O269" s="27" t="str">
        <f aca="false">IF(M269=0,"-",M269/L269)</f>
        <v>-</v>
      </c>
    </row>
    <row r="270" customFormat="false" ht="19.5" hidden="false" customHeight="true" outlineLevel="0" collapsed="false">
      <c r="A270" s="5" t="s">
        <v>670</v>
      </c>
      <c r="B270" s="32" t="s">
        <v>545</v>
      </c>
      <c r="C270" s="23" t="s">
        <v>251</v>
      </c>
      <c r="D270" s="7" t="s">
        <v>671</v>
      </c>
      <c r="E270" s="14" t="s">
        <v>27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  <c r="L270" s="5" t="n">
        <f aca="false">COUNTA(F270:K270)</f>
        <v>6</v>
      </c>
      <c r="M270" s="24" t="n">
        <f aca="false">COUNTIF(F270:K270,"Pass")</f>
        <v>0</v>
      </c>
      <c r="N270" s="8" t="n">
        <f aca="false">COUNTIF(F270:K270,"Fail")</f>
        <v>0</v>
      </c>
      <c r="O270" s="25" t="str">
        <f aca="false">IF(M270=0,"-",M270/L270)</f>
        <v>-</v>
      </c>
    </row>
    <row r="271" customFormat="false" ht="19.5" hidden="false" customHeight="true" outlineLevel="0" collapsed="false">
      <c r="A271" s="11" t="s">
        <v>672</v>
      </c>
      <c r="B271" s="32" t="s">
        <v>545</v>
      </c>
      <c r="C271" s="26" t="s">
        <v>251</v>
      </c>
      <c r="D271" s="12" t="s">
        <v>673</v>
      </c>
      <c r="E271" s="15" t="s">
        <v>53</v>
      </c>
      <c r="F271" s="10" t="s">
        <v>21</v>
      </c>
      <c r="G271" s="10" t="s">
        <v>21</v>
      </c>
      <c r="H271" s="10" t="s">
        <v>21</v>
      </c>
      <c r="I271" s="10" t="s">
        <v>21</v>
      </c>
      <c r="J271" s="10" t="s">
        <v>21</v>
      </c>
      <c r="K271" s="10" t="s">
        <v>21</v>
      </c>
      <c r="L271" s="11" t="n">
        <f aca="false">COUNTA(F271:K271)</f>
        <v>6</v>
      </c>
      <c r="M271" s="24" t="n">
        <f aca="false">COUNTIF(F271:K271,"Pass")</f>
        <v>0</v>
      </c>
      <c r="N271" s="8" t="n">
        <f aca="false">COUNTIF(F271:K271,"Fail")</f>
        <v>0</v>
      </c>
      <c r="O271" s="27" t="str">
        <f aca="false">IF(M271=0,"-",M271/L271)</f>
        <v>-</v>
      </c>
    </row>
    <row r="272" customFormat="false" ht="19.5" hidden="false" customHeight="true" outlineLevel="0" collapsed="false">
      <c r="A272" s="5" t="s">
        <v>674</v>
      </c>
      <c r="B272" s="32" t="s">
        <v>545</v>
      </c>
      <c r="C272" s="23" t="s">
        <v>251</v>
      </c>
      <c r="D272" s="7" t="s">
        <v>675</v>
      </c>
      <c r="E272" s="14" t="s">
        <v>27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  <c r="L272" s="5" t="n">
        <f aca="false">COUNTA(F272:K272)</f>
        <v>6</v>
      </c>
      <c r="M272" s="24" t="n">
        <f aca="false">COUNTIF(F272:K272,"Pass")</f>
        <v>0</v>
      </c>
      <c r="N272" s="8" t="n">
        <f aca="false">COUNTIF(F272:K272,"Fail")</f>
        <v>0</v>
      </c>
      <c r="O272" s="25" t="str">
        <f aca="false">IF(M272=0,"-",M272/L272)</f>
        <v>-</v>
      </c>
    </row>
    <row r="273" customFormat="false" ht="19.5" hidden="false" customHeight="true" outlineLevel="0" collapsed="false">
      <c r="A273" s="11" t="s">
        <v>676</v>
      </c>
      <c r="B273" s="32" t="s">
        <v>545</v>
      </c>
      <c r="C273" s="26" t="s">
        <v>251</v>
      </c>
      <c r="D273" s="12" t="s">
        <v>677</v>
      </c>
      <c r="E273" s="8" t="s">
        <v>19</v>
      </c>
      <c r="F273" s="10" t="s">
        <v>21</v>
      </c>
      <c r="G273" s="10" t="s">
        <v>21</v>
      </c>
      <c r="H273" s="10" t="s">
        <v>21</v>
      </c>
      <c r="I273" s="10" t="s">
        <v>21</v>
      </c>
      <c r="J273" s="10" t="s">
        <v>21</v>
      </c>
      <c r="K273" s="10" t="s">
        <v>21</v>
      </c>
      <c r="L273" s="11" t="n">
        <f aca="false">COUNTA(F273:K273)</f>
        <v>6</v>
      </c>
      <c r="M273" s="24" t="n">
        <f aca="false">COUNTIF(F273:K273,"Pass")</f>
        <v>0</v>
      </c>
      <c r="N273" s="8" t="n">
        <f aca="false">COUNTIF(F273:K273,"Fail")</f>
        <v>0</v>
      </c>
      <c r="O273" s="27" t="str">
        <f aca="false">IF(M273=0,"-",M273/L273)</f>
        <v>-</v>
      </c>
    </row>
    <row r="274" customFormat="false" ht="19.5" hidden="false" customHeight="true" outlineLevel="0" collapsed="false">
      <c r="A274" s="5" t="s">
        <v>678</v>
      </c>
      <c r="B274" s="32" t="s">
        <v>545</v>
      </c>
      <c r="C274" s="23" t="s">
        <v>263</v>
      </c>
      <c r="D274" s="7" t="s">
        <v>679</v>
      </c>
      <c r="E274" s="8" t="s">
        <v>19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  <c r="L274" s="5" t="n">
        <f aca="false">COUNTA(F274:K274)</f>
        <v>6</v>
      </c>
      <c r="M274" s="24" t="n">
        <f aca="false">COUNTIF(F274:K274,"Pass")</f>
        <v>0</v>
      </c>
      <c r="N274" s="8" t="n">
        <f aca="false">COUNTIF(F274:K274,"Fail")</f>
        <v>0</v>
      </c>
      <c r="O274" s="25" t="str">
        <f aca="false">IF(M274=0,"-",M274/L274)</f>
        <v>-</v>
      </c>
    </row>
    <row r="275" customFormat="false" ht="19.5" hidden="false" customHeight="true" outlineLevel="0" collapsed="false">
      <c r="A275" s="11" t="s">
        <v>680</v>
      </c>
      <c r="B275" s="32" t="s">
        <v>545</v>
      </c>
      <c r="C275" s="26" t="s">
        <v>263</v>
      </c>
      <c r="D275" s="12" t="s">
        <v>681</v>
      </c>
      <c r="E275" s="8" t="s">
        <v>19</v>
      </c>
      <c r="F275" s="10" t="s">
        <v>21</v>
      </c>
      <c r="G275" s="10" t="s">
        <v>21</v>
      </c>
      <c r="H275" s="10" t="s">
        <v>21</v>
      </c>
      <c r="I275" s="10" t="s">
        <v>21</v>
      </c>
      <c r="J275" s="10" t="s">
        <v>21</v>
      </c>
      <c r="K275" s="10" t="s">
        <v>21</v>
      </c>
      <c r="L275" s="11" t="n">
        <f aca="false">COUNTA(F275:K275)</f>
        <v>6</v>
      </c>
      <c r="M275" s="24" t="n">
        <f aca="false">COUNTIF(F275:K275,"Pass")</f>
        <v>0</v>
      </c>
      <c r="N275" s="8" t="n">
        <f aca="false">COUNTIF(F275:K275,"Fail")</f>
        <v>0</v>
      </c>
      <c r="O275" s="27" t="str">
        <f aca="false">IF(M275=0,"-",M275/L275)</f>
        <v>-</v>
      </c>
    </row>
    <row r="276" customFormat="false" ht="19.5" hidden="false" customHeight="true" outlineLevel="0" collapsed="false">
      <c r="A276" s="5" t="s">
        <v>683</v>
      </c>
      <c r="B276" s="32" t="s">
        <v>545</v>
      </c>
      <c r="C276" s="23" t="s">
        <v>263</v>
      </c>
      <c r="D276" s="7" t="s">
        <v>266</v>
      </c>
      <c r="E276" s="15" t="s">
        <v>53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  <c r="L276" s="5" t="n">
        <f aca="false">COUNTA(F276:K276)</f>
        <v>6</v>
      </c>
      <c r="M276" s="24" t="n">
        <f aca="false">COUNTIF(F276:K276,"Pass")</f>
        <v>0</v>
      </c>
      <c r="N276" s="8" t="n">
        <f aca="false">COUNTIF(F276:K276,"Fail")</f>
        <v>0</v>
      </c>
      <c r="O276" s="25" t="str">
        <f aca="false">IF(M276=0,"-",M276/L276)</f>
        <v>-</v>
      </c>
    </row>
    <row r="277" customFormat="false" ht="19.5" hidden="false" customHeight="true" outlineLevel="0" collapsed="false">
      <c r="A277" s="11" t="s">
        <v>684</v>
      </c>
      <c r="B277" s="32" t="s">
        <v>545</v>
      </c>
      <c r="C277" s="26" t="s">
        <v>263</v>
      </c>
      <c r="D277" s="12" t="s">
        <v>269</v>
      </c>
      <c r="E277" s="15" t="s">
        <v>53</v>
      </c>
      <c r="F277" s="10" t="s">
        <v>21</v>
      </c>
      <c r="G277" s="10" t="s">
        <v>21</v>
      </c>
      <c r="H277" s="10" t="s">
        <v>21</v>
      </c>
      <c r="I277" s="10" t="s">
        <v>21</v>
      </c>
      <c r="J277" s="10" t="s">
        <v>21</v>
      </c>
      <c r="K277" s="10" t="s">
        <v>21</v>
      </c>
      <c r="L277" s="11" t="n">
        <f aca="false">COUNTA(F277:K277)</f>
        <v>6</v>
      </c>
      <c r="M277" s="24" t="n">
        <f aca="false">COUNTIF(F277:K277,"Pass")</f>
        <v>0</v>
      </c>
      <c r="N277" s="8" t="n">
        <f aca="false">COUNTIF(F277:K277,"Fail")</f>
        <v>0</v>
      </c>
      <c r="O277" s="27" t="str">
        <f aca="false">IF(M277=0,"-",M277/L277)</f>
        <v>-</v>
      </c>
    </row>
    <row r="278" customFormat="false" ht="19.5" hidden="false" customHeight="true" outlineLevel="0" collapsed="false">
      <c r="A278" s="5" t="s">
        <v>685</v>
      </c>
      <c r="B278" s="32" t="s">
        <v>545</v>
      </c>
      <c r="C278" s="23" t="s">
        <v>263</v>
      </c>
      <c r="D278" s="7" t="s">
        <v>686</v>
      </c>
      <c r="E278" s="14" t="s">
        <v>27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  <c r="L278" s="5" t="n">
        <f aca="false">COUNTA(F278:K278)</f>
        <v>6</v>
      </c>
      <c r="M278" s="24" t="n">
        <f aca="false">COUNTIF(F278:K278,"Pass")</f>
        <v>0</v>
      </c>
      <c r="N278" s="8" t="n">
        <f aca="false">COUNTIF(F278:K278,"Fail")</f>
        <v>0</v>
      </c>
      <c r="O278" s="25" t="str">
        <f aca="false">IF(M278=0,"-",M278/L278)</f>
        <v>-</v>
      </c>
    </row>
    <row r="279" customFormat="false" ht="19.5" hidden="false" customHeight="true" outlineLevel="0" collapsed="false">
      <c r="A279" s="11" t="s">
        <v>687</v>
      </c>
      <c r="B279" s="32" t="s">
        <v>545</v>
      </c>
      <c r="C279" s="26" t="s">
        <v>263</v>
      </c>
      <c r="D279" s="12" t="s">
        <v>688</v>
      </c>
      <c r="E279" s="8" t="s">
        <v>19</v>
      </c>
      <c r="F279" s="10" t="s">
        <v>21</v>
      </c>
      <c r="G279" s="10" t="s">
        <v>21</v>
      </c>
      <c r="H279" s="10" t="s">
        <v>21</v>
      </c>
      <c r="I279" s="10" t="s">
        <v>21</v>
      </c>
      <c r="J279" s="10" t="s">
        <v>21</v>
      </c>
      <c r="K279" s="10" t="s">
        <v>21</v>
      </c>
      <c r="L279" s="11" t="n">
        <f aca="false">COUNTA(F279:K279)</f>
        <v>6</v>
      </c>
      <c r="M279" s="24" t="n">
        <f aca="false">COUNTIF(F279:K279,"Pass")</f>
        <v>0</v>
      </c>
      <c r="N279" s="8" t="n">
        <f aca="false">COUNTIF(F279:K279,"Fail")</f>
        <v>0</v>
      </c>
      <c r="O279" s="27" t="str">
        <f aca="false">IF(M279=0,"-",M279/L279)</f>
        <v>-</v>
      </c>
    </row>
    <row r="280" customFormat="false" ht="19.5" hidden="false" customHeight="true" outlineLevel="0" collapsed="false">
      <c r="A280" s="5" t="s">
        <v>689</v>
      </c>
      <c r="B280" s="32" t="s">
        <v>545</v>
      </c>
      <c r="C280" s="23" t="s">
        <v>263</v>
      </c>
      <c r="D280" s="7" t="s">
        <v>690</v>
      </c>
      <c r="E280" s="14" t="s">
        <v>27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  <c r="L280" s="5" t="n">
        <f aca="false">COUNTA(F280:K280)</f>
        <v>6</v>
      </c>
      <c r="M280" s="24" t="n">
        <f aca="false">COUNTIF(F280:K280,"Pass")</f>
        <v>0</v>
      </c>
      <c r="N280" s="8" t="n">
        <f aca="false">COUNTIF(F280:K280,"Fail")</f>
        <v>0</v>
      </c>
      <c r="O280" s="25" t="str">
        <f aca="false">IF(M280=0,"-",M280/L280)</f>
        <v>-</v>
      </c>
    </row>
    <row r="281" customFormat="false" ht="18" hidden="false" customHeight="true" outlineLevel="0" collapsed="false">
      <c r="A281" s="4" t="s">
        <v>691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customFormat="false" ht="19.5" hidden="false" customHeight="true" outlineLevel="0" collapsed="false">
      <c r="A282" s="5" t="s">
        <v>692</v>
      </c>
      <c r="B282" s="33" t="s">
        <v>693</v>
      </c>
      <c r="C282" s="23" t="s">
        <v>694</v>
      </c>
      <c r="D282" s="7" t="s">
        <v>695</v>
      </c>
      <c r="E282" s="8" t="s">
        <v>19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  <c r="L282" s="5" t="n">
        <f aca="false">COUNTA(F282:K282)</f>
        <v>6</v>
      </c>
      <c r="M282" s="24" t="n">
        <f aca="false">COUNTIF(F282:K282,"Pass")</f>
        <v>0</v>
      </c>
      <c r="N282" s="8" t="n">
        <f aca="false">COUNTIF(F282:K282,"Fail")</f>
        <v>0</v>
      </c>
      <c r="O282" s="25" t="str">
        <f aca="false">IF(M282=0,"-",M282/L282)</f>
        <v>-</v>
      </c>
    </row>
    <row r="283" customFormat="false" ht="19.5" hidden="false" customHeight="true" outlineLevel="0" collapsed="false">
      <c r="A283" s="11" t="s">
        <v>697</v>
      </c>
      <c r="B283" s="33" t="s">
        <v>693</v>
      </c>
      <c r="C283" s="26" t="s">
        <v>694</v>
      </c>
      <c r="D283" s="12" t="s">
        <v>698</v>
      </c>
      <c r="E283" s="8" t="s">
        <v>19</v>
      </c>
      <c r="F283" s="10" t="s">
        <v>21</v>
      </c>
      <c r="G283" s="10" t="s">
        <v>21</v>
      </c>
      <c r="H283" s="10" t="s">
        <v>21</v>
      </c>
      <c r="I283" s="10" t="s">
        <v>21</v>
      </c>
      <c r="J283" s="10" t="s">
        <v>21</v>
      </c>
      <c r="K283" s="10" t="s">
        <v>21</v>
      </c>
      <c r="L283" s="11" t="n">
        <f aca="false">COUNTA(F283:K283)</f>
        <v>6</v>
      </c>
      <c r="M283" s="24" t="n">
        <f aca="false">COUNTIF(F283:K283,"Pass")</f>
        <v>0</v>
      </c>
      <c r="N283" s="8" t="n">
        <f aca="false">COUNTIF(F283:K283,"Fail")</f>
        <v>0</v>
      </c>
      <c r="O283" s="27" t="str">
        <f aca="false">IF(M283=0,"-",M283/L283)</f>
        <v>-</v>
      </c>
    </row>
    <row r="284" customFormat="false" ht="19.5" hidden="false" customHeight="true" outlineLevel="0" collapsed="false">
      <c r="A284" s="5" t="s">
        <v>700</v>
      </c>
      <c r="B284" s="33" t="s">
        <v>693</v>
      </c>
      <c r="C284" s="23" t="s">
        <v>694</v>
      </c>
      <c r="D284" s="7" t="s">
        <v>701</v>
      </c>
      <c r="E284" s="14" t="s">
        <v>27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  <c r="L284" s="5" t="n">
        <f aca="false">COUNTA(F284:K284)</f>
        <v>6</v>
      </c>
      <c r="M284" s="24" t="n">
        <f aca="false">COUNTIF(F284:K284,"Pass")</f>
        <v>0</v>
      </c>
      <c r="N284" s="8" t="n">
        <f aca="false">COUNTIF(F284:K284,"Fail")</f>
        <v>0</v>
      </c>
      <c r="O284" s="25" t="str">
        <f aca="false">IF(M284=0,"-",M284/L284)</f>
        <v>-</v>
      </c>
    </row>
    <row r="285" customFormat="false" ht="19.5" hidden="false" customHeight="true" outlineLevel="0" collapsed="false">
      <c r="A285" s="11" t="s">
        <v>703</v>
      </c>
      <c r="B285" s="33" t="s">
        <v>693</v>
      </c>
      <c r="C285" s="26" t="s">
        <v>694</v>
      </c>
      <c r="D285" s="12" t="s">
        <v>704</v>
      </c>
      <c r="E285" s="14" t="s">
        <v>27</v>
      </c>
      <c r="F285" s="10" t="s">
        <v>21</v>
      </c>
      <c r="G285" s="10" t="s">
        <v>21</v>
      </c>
      <c r="H285" s="10" t="s">
        <v>21</v>
      </c>
      <c r="I285" s="10" t="s">
        <v>21</v>
      </c>
      <c r="J285" s="10" t="s">
        <v>21</v>
      </c>
      <c r="K285" s="10" t="s">
        <v>21</v>
      </c>
      <c r="L285" s="11" t="n">
        <f aca="false">COUNTA(F285:K285)</f>
        <v>6</v>
      </c>
      <c r="M285" s="24" t="n">
        <f aca="false">COUNTIF(F285:K285,"Pass")</f>
        <v>0</v>
      </c>
      <c r="N285" s="8" t="n">
        <f aca="false">COUNTIF(F285:K285,"Fail")</f>
        <v>0</v>
      </c>
      <c r="O285" s="27" t="str">
        <f aca="false">IF(M285=0,"-",M285/L285)</f>
        <v>-</v>
      </c>
    </row>
    <row r="286" customFormat="false" ht="19.5" hidden="false" customHeight="true" outlineLevel="0" collapsed="false">
      <c r="A286" s="5" t="s">
        <v>706</v>
      </c>
      <c r="B286" s="33" t="s">
        <v>693</v>
      </c>
      <c r="C286" s="23" t="s">
        <v>694</v>
      </c>
      <c r="D286" s="7" t="s">
        <v>707</v>
      </c>
      <c r="E286" s="14" t="s">
        <v>27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  <c r="L286" s="5" t="n">
        <f aca="false">COUNTA(F286:K286)</f>
        <v>6</v>
      </c>
      <c r="M286" s="24" t="n">
        <f aca="false">COUNTIF(F286:K286,"Pass")</f>
        <v>0</v>
      </c>
      <c r="N286" s="8" t="n">
        <f aca="false">COUNTIF(F286:K286,"Fail")</f>
        <v>0</v>
      </c>
      <c r="O286" s="25" t="str">
        <f aca="false">IF(M286=0,"-",M286/L286)</f>
        <v>-</v>
      </c>
    </row>
    <row r="287" customFormat="false" ht="19.5" hidden="false" customHeight="true" outlineLevel="0" collapsed="false">
      <c r="A287" s="11" t="s">
        <v>708</v>
      </c>
      <c r="B287" s="33" t="s">
        <v>693</v>
      </c>
      <c r="C287" s="26" t="s">
        <v>709</v>
      </c>
      <c r="D287" s="12" t="s">
        <v>710</v>
      </c>
      <c r="E287" s="8" t="s">
        <v>19</v>
      </c>
      <c r="F287" s="10" t="s">
        <v>21</v>
      </c>
      <c r="G287" s="10" t="s">
        <v>21</v>
      </c>
      <c r="H287" s="10" t="s">
        <v>21</v>
      </c>
      <c r="I287" s="10" t="s">
        <v>21</v>
      </c>
      <c r="J287" s="10" t="s">
        <v>21</v>
      </c>
      <c r="K287" s="10" t="s">
        <v>21</v>
      </c>
      <c r="L287" s="11" t="n">
        <f aca="false">COUNTA(F287:K287)</f>
        <v>6</v>
      </c>
      <c r="M287" s="24" t="n">
        <f aca="false">COUNTIF(F287:K287,"Pass")</f>
        <v>0</v>
      </c>
      <c r="N287" s="8" t="n">
        <f aca="false">COUNTIF(F287:K287,"Fail")</f>
        <v>0</v>
      </c>
      <c r="O287" s="27" t="str">
        <f aca="false">IF(M287=0,"-",M287/L287)</f>
        <v>-</v>
      </c>
    </row>
    <row r="288" customFormat="false" ht="19.5" hidden="false" customHeight="true" outlineLevel="0" collapsed="false">
      <c r="A288" s="5" t="s">
        <v>711</v>
      </c>
      <c r="B288" s="33" t="s">
        <v>693</v>
      </c>
      <c r="C288" s="23" t="s">
        <v>709</v>
      </c>
      <c r="D288" s="7" t="s">
        <v>712</v>
      </c>
      <c r="E288" s="8" t="s">
        <v>19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  <c r="L288" s="5" t="n">
        <f aca="false">COUNTA(F288:K288)</f>
        <v>6</v>
      </c>
      <c r="M288" s="24" t="n">
        <f aca="false">COUNTIF(F288:K288,"Pass")</f>
        <v>0</v>
      </c>
      <c r="N288" s="8" t="n">
        <f aca="false">COUNTIF(F288:K288,"Fail")</f>
        <v>0</v>
      </c>
      <c r="O288" s="25" t="str">
        <f aca="false">IF(M288=0,"-",M288/L288)</f>
        <v>-</v>
      </c>
    </row>
    <row r="289" customFormat="false" ht="19.5" hidden="false" customHeight="true" outlineLevel="0" collapsed="false">
      <c r="A289" s="11" t="s">
        <v>713</v>
      </c>
      <c r="B289" s="33" t="s">
        <v>693</v>
      </c>
      <c r="C289" s="26" t="s">
        <v>709</v>
      </c>
      <c r="D289" s="12" t="s">
        <v>714</v>
      </c>
      <c r="E289" s="14" t="s">
        <v>27</v>
      </c>
      <c r="F289" s="10" t="s">
        <v>21</v>
      </c>
      <c r="G289" s="10" t="s">
        <v>21</v>
      </c>
      <c r="H289" s="10" t="s">
        <v>21</v>
      </c>
      <c r="I289" s="10" t="s">
        <v>21</v>
      </c>
      <c r="J289" s="10" t="s">
        <v>21</v>
      </c>
      <c r="K289" s="10" t="s">
        <v>21</v>
      </c>
      <c r="L289" s="11" t="n">
        <f aca="false">COUNTA(F289:K289)</f>
        <v>6</v>
      </c>
      <c r="M289" s="24" t="n">
        <f aca="false">COUNTIF(F289:K289,"Pass")</f>
        <v>0</v>
      </c>
      <c r="N289" s="8" t="n">
        <f aca="false">COUNTIF(F289:K289,"Fail")</f>
        <v>0</v>
      </c>
      <c r="O289" s="27" t="str">
        <f aca="false">IF(M289=0,"-",M289/L289)</f>
        <v>-</v>
      </c>
    </row>
    <row r="290" customFormat="false" ht="19.5" hidden="false" customHeight="true" outlineLevel="0" collapsed="false">
      <c r="A290" s="5" t="s">
        <v>716</v>
      </c>
      <c r="B290" s="33" t="s">
        <v>693</v>
      </c>
      <c r="C290" s="23" t="s">
        <v>709</v>
      </c>
      <c r="D290" s="7" t="s">
        <v>717</v>
      </c>
      <c r="E290" s="14" t="s">
        <v>27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  <c r="L290" s="5" t="n">
        <f aca="false">COUNTA(F290:K290)</f>
        <v>6</v>
      </c>
      <c r="M290" s="24" t="n">
        <f aca="false">COUNTIF(F290:K290,"Pass")</f>
        <v>0</v>
      </c>
      <c r="N290" s="8" t="n">
        <f aca="false">COUNTIF(F290:K290,"Fail")</f>
        <v>0</v>
      </c>
      <c r="O290" s="25" t="str">
        <f aca="false">IF(M290=0,"-",M290/L290)</f>
        <v>-</v>
      </c>
    </row>
    <row r="291" customFormat="false" ht="19.5" hidden="false" customHeight="true" outlineLevel="0" collapsed="false">
      <c r="A291" s="11" t="s">
        <v>718</v>
      </c>
      <c r="B291" s="33" t="s">
        <v>693</v>
      </c>
      <c r="C291" s="26" t="s">
        <v>719</v>
      </c>
      <c r="D291" s="12" t="s">
        <v>720</v>
      </c>
      <c r="E291" s="8" t="s">
        <v>19</v>
      </c>
      <c r="F291" s="10" t="s">
        <v>21</v>
      </c>
      <c r="G291" s="10" t="s">
        <v>21</v>
      </c>
      <c r="H291" s="10" t="s">
        <v>21</v>
      </c>
      <c r="I291" s="10" t="s">
        <v>21</v>
      </c>
      <c r="J291" s="10" t="s">
        <v>21</v>
      </c>
      <c r="K291" s="10" t="s">
        <v>21</v>
      </c>
      <c r="L291" s="11" t="n">
        <f aca="false">COUNTA(F291:K291)</f>
        <v>6</v>
      </c>
      <c r="M291" s="24" t="n">
        <f aca="false">COUNTIF(F291:K291,"Pass")</f>
        <v>0</v>
      </c>
      <c r="N291" s="8" t="n">
        <f aca="false">COUNTIF(F291:K291,"Fail")</f>
        <v>0</v>
      </c>
      <c r="O291" s="27" t="str">
        <f aca="false">IF(M291=0,"-",M291/L291)</f>
        <v>-</v>
      </c>
    </row>
    <row r="292" customFormat="false" ht="19.5" hidden="false" customHeight="true" outlineLevel="0" collapsed="false">
      <c r="A292" s="5" t="s">
        <v>722</v>
      </c>
      <c r="B292" s="33" t="s">
        <v>693</v>
      </c>
      <c r="C292" s="23" t="s">
        <v>719</v>
      </c>
      <c r="D292" s="7" t="s">
        <v>723</v>
      </c>
      <c r="E292" s="14" t="s">
        <v>27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  <c r="L292" s="5" t="n">
        <f aca="false">COUNTA(F292:K292)</f>
        <v>6</v>
      </c>
      <c r="M292" s="24" t="n">
        <f aca="false">COUNTIF(F292:K292,"Pass")</f>
        <v>0</v>
      </c>
      <c r="N292" s="8" t="n">
        <f aca="false">COUNTIF(F292:K292,"Fail")</f>
        <v>0</v>
      </c>
      <c r="O292" s="25" t="str">
        <f aca="false">IF(M292=0,"-",M292/L292)</f>
        <v>-</v>
      </c>
    </row>
    <row r="293" customFormat="false" ht="19.5" hidden="false" customHeight="true" outlineLevel="0" collapsed="false">
      <c r="A293" s="11" t="s">
        <v>724</v>
      </c>
      <c r="B293" s="33" t="s">
        <v>693</v>
      </c>
      <c r="C293" s="26" t="s">
        <v>719</v>
      </c>
      <c r="D293" s="12" t="s">
        <v>725</v>
      </c>
      <c r="E293" s="15" t="s">
        <v>53</v>
      </c>
      <c r="F293" s="10" t="s">
        <v>21</v>
      </c>
      <c r="G293" s="10" t="s">
        <v>21</v>
      </c>
      <c r="H293" s="10" t="s">
        <v>21</v>
      </c>
      <c r="I293" s="10" t="s">
        <v>21</v>
      </c>
      <c r="J293" s="10" t="s">
        <v>21</v>
      </c>
      <c r="K293" s="10" t="s">
        <v>21</v>
      </c>
      <c r="L293" s="11" t="n">
        <f aca="false">COUNTA(F293:K293)</f>
        <v>6</v>
      </c>
      <c r="M293" s="24" t="n">
        <f aca="false">COUNTIF(F293:K293,"Pass")</f>
        <v>0</v>
      </c>
      <c r="N293" s="8" t="n">
        <f aca="false">COUNTIF(F293:K293,"Fail")</f>
        <v>0</v>
      </c>
      <c r="O293" s="27" t="str">
        <f aca="false">IF(M293=0,"-",M293/L293)</f>
        <v>-</v>
      </c>
    </row>
    <row r="294" customFormat="false" ht="19.5" hidden="false" customHeight="true" outlineLevel="0" collapsed="false">
      <c r="A294" s="5" t="s">
        <v>726</v>
      </c>
      <c r="B294" s="33" t="s">
        <v>693</v>
      </c>
      <c r="C294" s="23" t="s">
        <v>719</v>
      </c>
      <c r="D294" s="7" t="s">
        <v>727</v>
      </c>
      <c r="E294" s="8" t="s">
        <v>19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  <c r="L294" s="5" t="n">
        <f aca="false">COUNTA(F294:K294)</f>
        <v>6</v>
      </c>
      <c r="M294" s="24" t="n">
        <f aca="false">COUNTIF(F294:K294,"Pass")</f>
        <v>0</v>
      </c>
      <c r="N294" s="8" t="n">
        <f aca="false">COUNTIF(F294:K294,"Fail")</f>
        <v>0</v>
      </c>
      <c r="O294" s="25" t="str">
        <f aca="false">IF(M294=0,"-",M294/L294)</f>
        <v>-</v>
      </c>
    </row>
    <row r="295" customFormat="false" ht="19.5" hidden="false" customHeight="true" outlineLevel="0" collapsed="false">
      <c r="A295" s="11" t="s">
        <v>728</v>
      </c>
      <c r="B295" s="33" t="s">
        <v>693</v>
      </c>
      <c r="C295" s="26" t="s">
        <v>729</v>
      </c>
      <c r="D295" s="12" t="s">
        <v>730</v>
      </c>
      <c r="E295" s="14" t="s">
        <v>27</v>
      </c>
      <c r="F295" s="10" t="s">
        <v>21</v>
      </c>
      <c r="G295" s="10" t="s">
        <v>21</v>
      </c>
      <c r="H295" s="10" t="s">
        <v>21</v>
      </c>
      <c r="I295" s="10" t="s">
        <v>21</v>
      </c>
      <c r="J295" s="10" t="s">
        <v>21</v>
      </c>
      <c r="K295" s="10" t="s">
        <v>21</v>
      </c>
      <c r="L295" s="11" t="n">
        <f aca="false">COUNTA(F295:K295)</f>
        <v>6</v>
      </c>
      <c r="M295" s="24" t="n">
        <f aca="false">COUNTIF(F295:K295,"Pass")</f>
        <v>0</v>
      </c>
      <c r="N295" s="8" t="n">
        <f aca="false">COUNTIF(F295:K295,"Fail")</f>
        <v>0</v>
      </c>
      <c r="O295" s="27" t="str">
        <f aca="false">IF(M295=0,"-",M295/L295)</f>
        <v>-</v>
      </c>
    </row>
    <row r="296" customFormat="false" ht="19.5" hidden="false" customHeight="true" outlineLevel="0" collapsed="false">
      <c r="A296" s="5" t="s">
        <v>732</v>
      </c>
      <c r="B296" s="33" t="s">
        <v>693</v>
      </c>
      <c r="C296" s="23" t="s">
        <v>729</v>
      </c>
      <c r="D296" s="7" t="s">
        <v>733</v>
      </c>
      <c r="E296" s="15" t="s">
        <v>53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  <c r="L296" s="5" t="n">
        <f aca="false">COUNTA(F296:K296)</f>
        <v>6</v>
      </c>
      <c r="M296" s="24" t="n">
        <f aca="false">COUNTIF(F296:K296,"Pass")</f>
        <v>0</v>
      </c>
      <c r="N296" s="8" t="n">
        <f aca="false">COUNTIF(F296:K296,"Fail")</f>
        <v>0</v>
      </c>
      <c r="O296" s="25" t="str">
        <f aca="false">IF(M296=0,"-",M296/L296)</f>
        <v>-</v>
      </c>
    </row>
    <row r="297" customFormat="false" ht="19.5" hidden="false" customHeight="true" outlineLevel="0" collapsed="false">
      <c r="A297" s="11" t="s">
        <v>734</v>
      </c>
      <c r="B297" s="33" t="s">
        <v>693</v>
      </c>
      <c r="C297" s="26" t="s">
        <v>729</v>
      </c>
      <c r="D297" s="12" t="s">
        <v>735</v>
      </c>
      <c r="E297" s="8" t="s">
        <v>19</v>
      </c>
      <c r="F297" s="10" t="s">
        <v>21</v>
      </c>
      <c r="G297" s="10" t="s">
        <v>21</v>
      </c>
      <c r="H297" s="10" t="s">
        <v>21</v>
      </c>
      <c r="I297" s="10" t="s">
        <v>21</v>
      </c>
      <c r="J297" s="10" t="s">
        <v>21</v>
      </c>
      <c r="K297" s="10" t="s">
        <v>21</v>
      </c>
      <c r="L297" s="11" t="n">
        <f aca="false">COUNTA(F297:K297)</f>
        <v>6</v>
      </c>
      <c r="M297" s="24" t="n">
        <f aca="false">COUNTIF(F297:K297,"Pass")</f>
        <v>0</v>
      </c>
      <c r="N297" s="8" t="n">
        <f aca="false">COUNTIF(F297:K297,"Fail")</f>
        <v>0</v>
      </c>
      <c r="O297" s="27" t="str">
        <f aca="false">IF(M297=0,"-",M297/L297)</f>
        <v>-</v>
      </c>
    </row>
    <row r="298" customFormat="false" ht="19.5" hidden="false" customHeight="true" outlineLevel="0" collapsed="false">
      <c r="A298" s="5" t="s">
        <v>737</v>
      </c>
      <c r="B298" s="33" t="s">
        <v>693</v>
      </c>
      <c r="C298" s="23" t="s">
        <v>729</v>
      </c>
      <c r="D298" s="7" t="s">
        <v>738</v>
      </c>
      <c r="E298" s="8" t="s">
        <v>19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  <c r="L298" s="5" t="n">
        <f aca="false">COUNTA(F298:K298)</f>
        <v>6</v>
      </c>
      <c r="M298" s="24" t="n">
        <f aca="false">COUNTIF(F298:K298,"Pass")</f>
        <v>0</v>
      </c>
      <c r="N298" s="8" t="n">
        <f aca="false">COUNTIF(F298:K298,"Fail")</f>
        <v>0</v>
      </c>
      <c r="O298" s="25" t="str">
        <f aca="false">IF(M298=0,"-",M298/L298)</f>
        <v>-</v>
      </c>
    </row>
    <row r="299" customFormat="false" ht="19.5" hidden="false" customHeight="true" outlineLevel="0" collapsed="false">
      <c r="A299" s="11" t="s">
        <v>739</v>
      </c>
      <c r="B299" s="33" t="s">
        <v>693</v>
      </c>
      <c r="C299" s="26" t="s">
        <v>729</v>
      </c>
      <c r="D299" s="12" t="s">
        <v>740</v>
      </c>
      <c r="E299" s="8" t="s">
        <v>19</v>
      </c>
      <c r="F299" s="10" t="s">
        <v>21</v>
      </c>
      <c r="G299" s="10" t="s">
        <v>21</v>
      </c>
      <c r="H299" s="10" t="s">
        <v>21</v>
      </c>
      <c r="I299" s="10" t="s">
        <v>21</v>
      </c>
      <c r="J299" s="10" t="s">
        <v>21</v>
      </c>
      <c r="K299" s="10" t="s">
        <v>21</v>
      </c>
      <c r="L299" s="11" t="n">
        <f aca="false">COUNTA(F299:K299)</f>
        <v>6</v>
      </c>
      <c r="M299" s="24" t="n">
        <f aca="false">COUNTIF(F299:K299,"Pass")</f>
        <v>0</v>
      </c>
      <c r="N299" s="8" t="n">
        <f aca="false">COUNTIF(F299:K299,"Fail")</f>
        <v>0</v>
      </c>
      <c r="O299" s="27" t="str">
        <f aca="false">IF(M299=0,"-",M299/L299)</f>
        <v>-</v>
      </c>
    </row>
    <row r="300" customFormat="false" ht="19.5" hidden="false" customHeight="true" outlineLevel="0" collapsed="false">
      <c r="A300" s="5" t="s">
        <v>741</v>
      </c>
      <c r="B300" s="33" t="s">
        <v>693</v>
      </c>
      <c r="C300" s="23" t="s">
        <v>742</v>
      </c>
      <c r="D300" s="7" t="s">
        <v>743</v>
      </c>
      <c r="E300" s="8" t="s">
        <v>19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  <c r="L300" s="5" t="n">
        <f aca="false">COUNTA(F300:K300)</f>
        <v>6</v>
      </c>
      <c r="M300" s="24" t="n">
        <f aca="false">COUNTIF(F300:K300,"Pass")</f>
        <v>0</v>
      </c>
      <c r="N300" s="8" t="n">
        <f aca="false">COUNTIF(F300:K300,"Fail")</f>
        <v>0</v>
      </c>
      <c r="O300" s="25" t="str">
        <f aca="false">IF(M300=0,"-",M300/L300)</f>
        <v>-</v>
      </c>
    </row>
    <row r="301" customFormat="false" ht="19.5" hidden="false" customHeight="true" outlineLevel="0" collapsed="false">
      <c r="A301" s="11" t="s">
        <v>745</v>
      </c>
      <c r="B301" s="33" t="s">
        <v>693</v>
      </c>
      <c r="C301" s="26" t="s">
        <v>742</v>
      </c>
      <c r="D301" s="12" t="s">
        <v>746</v>
      </c>
      <c r="E301" s="8" t="s">
        <v>19</v>
      </c>
      <c r="F301" s="10" t="s">
        <v>21</v>
      </c>
      <c r="G301" s="10" t="s">
        <v>21</v>
      </c>
      <c r="H301" s="10" t="s">
        <v>21</v>
      </c>
      <c r="I301" s="10" t="s">
        <v>21</v>
      </c>
      <c r="J301" s="10" t="s">
        <v>21</v>
      </c>
      <c r="K301" s="10" t="s">
        <v>21</v>
      </c>
      <c r="L301" s="11" t="n">
        <f aca="false">COUNTA(F301:K301)</f>
        <v>6</v>
      </c>
      <c r="M301" s="24" t="n">
        <f aca="false">COUNTIF(F301:K301,"Pass")</f>
        <v>0</v>
      </c>
      <c r="N301" s="8" t="n">
        <f aca="false">COUNTIF(F301:K301,"Fail")</f>
        <v>0</v>
      </c>
      <c r="O301" s="27" t="str">
        <f aca="false">IF(M301=0,"-",M301/L301)</f>
        <v>-</v>
      </c>
    </row>
    <row r="302" customFormat="false" ht="19.5" hidden="false" customHeight="true" outlineLevel="0" collapsed="false">
      <c r="A302" s="5" t="s">
        <v>747</v>
      </c>
      <c r="B302" s="33" t="s">
        <v>693</v>
      </c>
      <c r="C302" s="23" t="s">
        <v>742</v>
      </c>
      <c r="D302" s="7" t="s">
        <v>748</v>
      </c>
      <c r="E302" s="8" t="s">
        <v>19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  <c r="L302" s="5" t="n">
        <f aca="false">COUNTA(F302:K302)</f>
        <v>6</v>
      </c>
      <c r="M302" s="24" t="n">
        <f aca="false">COUNTIF(F302:K302,"Pass")</f>
        <v>0</v>
      </c>
      <c r="N302" s="8" t="n">
        <f aca="false">COUNTIF(F302:K302,"Fail")</f>
        <v>0</v>
      </c>
      <c r="O302" s="25" t="str">
        <f aca="false">IF(M302=0,"-",M302/L302)</f>
        <v>-</v>
      </c>
    </row>
    <row r="303" customFormat="false" ht="19.5" hidden="false" customHeight="true" outlineLevel="0" collapsed="false">
      <c r="A303" s="11" t="s">
        <v>749</v>
      </c>
      <c r="B303" s="33" t="s">
        <v>693</v>
      </c>
      <c r="C303" s="26" t="s">
        <v>742</v>
      </c>
      <c r="D303" s="12" t="s">
        <v>750</v>
      </c>
      <c r="E303" s="14" t="s">
        <v>27</v>
      </c>
      <c r="F303" s="10" t="s">
        <v>21</v>
      </c>
      <c r="G303" s="10" t="s">
        <v>21</v>
      </c>
      <c r="H303" s="10" t="s">
        <v>21</v>
      </c>
      <c r="I303" s="10" t="s">
        <v>21</v>
      </c>
      <c r="J303" s="10" t="s">
        <v>21</v>
      </c>
      <c r="K303" s="10" t="s">
        <v>21</v>
      </c>
      <c r="L303" s="11" t="n">
        <f aca="false">COUNTA(F303:K303)</f>
        <v>6</v>
      </c>
      <c r="M303" s="24" t="n">
        <f aca="false">COUNTIF(F303:K303,"Pass")</f>
        <v>0</v>
      </c>
      <c r="N303" s="8" t="n">
        <f aca="false">COUNTIF(F303:K303,"Fail")</f>
        <v>0</v>
      </c>
      <c r="O303" s="27" t="str">
        <f aca="false">IF(M303=0,"-",M303/L303)</f>
        <v>-</v>
      </c>
    </row>
    <row r="304" customFormat="false" ht="19.5" hidden="false" customHeight="true" outlineLevel="0" collapsed="false">
      <c r="A304" s="5" t="s">
        <v>751</v>
      </c>
      <c r="B304" s="33" t="s">
        <v>693</v>
      </c>
      <c r="C304" s="23" t="s">
        <v>752</v>
      </c>
      <c r="D304" s="7" t="s">
        <v>753</v>
      </c>
      <c r="E304" s="8" t="s">
        <v>19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  <c r="L304" s="5" t="n">
        <f aca="false">COUNTA(F304:K304)</f>
        <v>6</v>
      </c>
      <c r="M304" s="24" t="n">
        <f aca="false">COUNTIF(F304:K304,"Pass")</f>
        <v>0</v>
      </c>
      <c r="N304" s="8" t="n">
        <f aca="false">COUNTIF(F304:K304,"Fail")</f>
        <v>0</v>
      </c>
      <c r="O304" s="25" t="str">
        <f aca="false">IF(M304=0,"-",M304/L304)</f>
        <v>-</v>
      </c>
    </row>
    <row r="305" customFormat="false" ht="19.5" hidden="false" customHeight="true" outlineLevel="0" collapsed="false">
      <c r="A305" s="11" t="s">
        <v>754</v>
      </c>
      <c r="B305" s="33" t="s">
        <v>693</v>
      </c>
      <c r="C305" s="26" t="s">
        <v>752</v>
      </c>
      <c r="D305" s="12" t="s">
        <v>755</v>
      </c>
      <c r="E305" s="14" t="s">
        <v>27</v>
      </c>
      <c r="F305" s="10" t="s">
        <v>21</v>
      </c>
      <c r="G305" s="10" t="s">
        <v>21</v>
      </c>
      <c r="H305" s="10" t="s">
        <v>21</v>
      </c>
      <c r="I305" s="10" t="s">
        <v>21</v>
      </c>
      <c r="J305" s="10" t="s">
        <v>21</v>
      </c>
      <c r="K305" s="10" t="s">
        <v>21</v>
      </c>
      <c r="L305" s="11" t="n">
        <f aca="false">COUNTA(F305:K305)</f>
        <v>6</v>
      </c>
      <c r="M305" s="24" t="n">
        <f aca="false">COUNTIF(F305:K305,"Pass")</f>
        <v>0</v>
      </c>
      <c r="N305" s="8" t="n">
        <f aca="false">COUNTIF(F305:K305,"Fail")</f>
        <v>0</v>
      </c>
      <c r="O305" s="27" t="str">
        <f aca="false">IF(M305=0,"-",M305/L305)</f>
        <v>-</v>
      </c>
    </row>
    <row r="306" customFormat="false" ht="19.5" hidden="false" customHeight="true" outlineLevel="0" collapsed="false">
      <c r="A306" s="5" t="s">
        <v>756</v>
      </c>
      <c r="B306" s="33" t="s">
        <v>693</v>
      </c>
      <c r="C306" s="23" t="s">
        <v>752</v>
      </c>
      <c r="D306" s="7" t="s">
        <v>757</v>
      </c>
      <c r="E306" s="15" t="s">
        <v>53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  <c r="L306" s="5" t="n">
        <f aca="false">COUNTA(F306:K306)</f>
        <v>6</v>
      </c>
      <c r="M306" s="24" t="n">
        <f aca="false">COUNTIF(F306:K306,"Pass")</f>
        <v>0</v>
      </c>
      <c r="N306" s="8" t="n">
        <f aca="false">COUNTIF(F306:K306,"Fail")</f>
        <v>0</v>
      </c>
      <c r="O306" s="25" t="str">
        <f aca="false">IF(M306=0,"-",M306/L306)</f>
        <v>-</v>
      </c>
    </row>
    <row r="307" customFormat="false" ht="19.5" hidden="false" customHeight="true" outlineLevel="0" collapsed="false">
      <c r="A307" s="11" t="s">
        <v>758</v>
      </c>
      <c r="B307" s="33" t="s">
        <v>693</v>
      </c>
      <c r="C307" s="26" t="s">
        <v>752</v>
      </c>
      <c r="D307" s="12" t="s">
        <v>759</v>
      </c>
      <c r="E307" s="14" t="s">
        <v>27</v>
      </c>
      <c r="F307" s="10" t="s">
        <v>21</v>
      </c>
      <c r="G307" s="10" t="s">
        <v>21</v>
      </c>
      <c r="H307" s="10" t="s">
        <v>21</v>
      </c>
      <c r="I307" s="10" t="s">
        <v>21</v>
      </c>
      <c r="J307" s="10" t="s">
        <v>21</v>
      </c>
      <c r="K307" s="10" t="s">
        <v>21</v>
      </c>
      <c r="L307" s="11" t="n">
        <f aca="false">COUNTA(F307:K307)</f>
        <v>6</v>
      </c>
      <c r="M307" s="24" t="n">
        <f aca="false">COUNTIF(F307:K307,"Pass")</f>
        <v>0</v>
      </c>
      <c r="N307" s="8" t="n">
        <f aca="false">COUNTIF(F307:K307,"Fail")</f>
        <v>0</v>
      </c>
      <c r="O307" s="27" t="str">
        <f aca="false">IF(M307=0,"-",M307/L307)</f>
        <v>-</v>
      </c>
    </row>
    <row r="308" customFormat="false" ht="19.5" hidden="false" customHeight="true" outlineLevel="0" collapsed="false">
      <c r="A308" s="5" t="s">
        <v>760</v>
      </c>
      <c r="B308" s="33" t="s">
        <v>693</v>
      </c>
      <c r="C308" s="23" t="s">
        <v>752</v>
      </c>
      <c r="D308" s="7" t="s">
        <v>761</v>
      </c>
      <c r="E308" s="8" t="s">
        <v>19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  <c r="L308" s="5" t="n">
        <f aca="false">COUNTA(F308:K308)</f>
        <v>6</v>
      </c>
      <c r="M308" s="24" t="n">
        <f aca="false">COUNTIF(F308:K308,"Pass")</f>
        <v>0</v>
      </c>
      <c r="N308" s="8" t="n">
        <f aca="false">COUNTIF(F308:K308,"Fail")</f>
        <v>0</v>
      </c>
      <c r="O308" s="25" t="str">
        <f aca="false">IF(M308=0,"-",M308/L308)</f>
        <v>-</v>
      </c>
    </row>
    <row r="309" customFormat="false" ht="19.5" hidden="false" customHeight="true" outlineLevel="0" collapsed="false">
      <c r="A309" s="11" t="s">
        <v>762</v>
      </c>
      <c r="B309" s="33" t="s">
        <v>693</v>
      </c>
      <c r="C309" s="26" t="s">
        <v>763</v>
      </c>
      <c r="D309" s="12" t="s">
        <v>764</v>
      </c>
      <c r="E309" s="8" t="s">
        <v>19</v>
      </c>
      <c r="F309" s="10" t="s">
        <v>21</v>
      </c>
      <c r="G309" s="10" t="s">
        <v>21</v>
      </c>
      <c r="H309" s="10" t="s">
        <v>21</v>
      </c>
      <c r="I309" s="10" t="s">
        <v>21</v>
      </c>
      <c r="J309" s="10" t="s">
        <v>21</v>
      </c>
      <c r="K309" s="10" t="s">
        <v>21</v>
      </c>
      <c r="L309" s="11" t="n">
        <f aca="false">COUNTA(F309:K309)</f>
        <v>6</v>
      </c>
      <c r="M309" s="24" t="n">
        <f aca="false">COUNTIF(F309:K309,"Pass")</f>
        <v>0</v>
      </c>
      <c r="N309" s="8" t="n">
        <f aca="false">COUNTIF(F309:K309,"Fail")</f>
        <v>0</v>
      </c>
      <c r="O309" s="27" t="str">
        <f aca="false">IF(M309=0,"-",M309/L309)</f>
        <v>-</v>
      </c>
    </row>
    <row r="310" customFormat="false" ht="19.5" hidden="false" customHeight="true" outlineLevel="0" collapsed="false">
      <c r="A310" s="5" t="s">
        <v>766</v>
      </c>
      <c r="B310" s="33" t="s">
        <v>693</v>
      </c>
      <c r="C310" s="23" t="s">
        <v>763</v>
      </c>
      <c r="D310" s="7" t="s">
        <v>767</v>
      </c>
      <c r="E310" s="14" t="s">
        <v>27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  <c r="L310" s="5" t="n">
        <f aca="false">COUNTA(F310:K310)</f>
        <v>6</v>
      </c>
      <c r="M310" s="24" t="n">
        <f aca="false">COUNTIF(F310:K310,"Pass")</f>
        <v>0</v>
      </c>
      <c r="N310" s="8" t="n">
        <f aca="false">COUNTIF(F310:K310,"Fail")</f>
        <v>0</v>
      </c>
      <c r="O310" s="25" t="str">
        <f aca="false">IF(M310=0,"-",M310/L310)</f>
        <v>-</v>
      </c>
    </row>
    <row r="311" customFormat="false" ht="19.5" hidden="false" customHeight="true" outlineLevel="0" collapsed="false">
      <c r="A311" s="11" t="s">
        <v>768</v>
      </c>
      <c r="B311" s="33" t="s">
        <v>693</v>
      </c>
      <c r="C311" s="26" t="s">
        <v>763</v>
      </c>
      <c r="D311" s="12" t="s">
        <v>769</v>
      </c>
      <c r="E311" s="14" t="s">
        <v>27</v>
      </c>
      <c r="F311" s="10" t="s">
        <v>21</v>
      </c>
      <c r="G311" s="10" t="s">
        <v>21</v>
      </c>
      <c r="H311" s="10" t="s">
        <v>21</v>
      </c>
      <c r="I311" s="10" t="s">
        <v>21</v>
      </c>
      <c r="J311" s="10" t="s">
        <v>21</v>
      </c>
      <c r="K311" s="10" t="s">
        <v>21</v>
      </c>
      <c r="L311" s="11" t="n">
        <f aca="false">COUNTA(F311:K311)</f>
        <v>6</v>
      </c>
      <c r="M311" s="24" t="n">
        <f aca="false">COUNTIF(F311:K311,"Pass")</f>
        <v>0</v>
      </c>
      <c r="N311" s="8" t="n">
        <f aca="false">COUNTIF(F311:K311,"Fail")</f>
        <v>0</v>
      </c>
      <c r="O311" s="27" t="str">
        <f aca="false">IF(M311=0,"-",M311/L311)</f>
        <v>-</v>
      </c>
    </row>
    <row r="312" customFormat="false" ht="19.5" hidden="false" customHeight="true" outlineLevel="0" collapsed="false">
      <c r="A312" s="5" t="s">
        <v>770</v>
      </c>
      <c r="B312" s="33" t="s">
        <v>693</v>
      </c>
      <c r="C312" s="23" t="s">
        <v>763</v>
      </c>
      <c r="D312" s="7" t="s">
        <v>771</v>
      </c>
      <c r="E312" s="8" t="s">
        <v>19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  <c r="L312" s="5" t="n">
        <f aca="false">COUNTA(F312:K312)</f>
        <v>6</v>
      </c>
      <c r="M312" s="24" t="n">
        <f aca="false">COUNTIF(F312:K312,"Pass")</f>
        <v>0</v>
      </c>
      <c r="N312" s="8" t="n">
        <f aca="false">COUNTIF(F312:K312,"Fail")</f>
        <v>0</v>
      </c>
      <c r="O312" s="25" t="str">
        <f aca="false">IF(M312=0,"-",M312/L312)</f>
        <v>-</v>
      </c>
    </row>
    <row r="313" customFormat="false" ht="19.5" hidden="false" customHeight="true" outlineLevel="0" collapsed="false">
      <c r="A313" s="11" t="s">
        <v>772</v>
      </c>
      <c r="B313" s="33" t="s">
        <v>693</v>
      </c>
      <c r="C313" s="26" t="s">
        <v>773</v>
      </c>
      <c r="D313" s="12" t="s">
        <v>774</v>
      </c>
      <c r="E313" s="8" t="s">
        <v>19</v>
      </c>
      <c r="F313" s="10" t="s">
        <v>21</v>
      </c>
      <c r="G313" s="10" t="s">
        <v>21</v>
      </c>
      <c r="H313" s="10" t="s">
        <v>21</v>
      </c>
      <c r="I313" s="10" t="s">
        <v>21</v>
      </c>
      <c r="J313" s="10" t="s">
        <v>21</v>
      </c>
      <c r="K313" s="10" t="s">
        <v>21</v>
      </c>
      <c r="L313" s="11" t="n">
        <f aca="false">COUNTA(F313:K313)</f>
        <v>6</v>
      </c>
      <c r="M313" s="24" t="n">
        <f aca="false">COUNTIF(F313:K313,"Pass")</f>
        <v>0</v>
      </c>
      <c r="N313" s="8" t="n">
        <f aca="false">COUNTIF(F313:K313,"Fail")</f>
        <v>0</v>
      </c>
      <c r="O313" s="27" t="str">
        <f aca="false">IF(M313=0,"-",M313/L313)</f>
        <v>-</v>
      </c>
    </row>
    <row r="314" customFormat="false" ht="19.5" hidden="false" customHeight="true" outlineLevel="0" collapsed="false">
      <c r="A314" s="5" t="s">
        <v>776</v>
      </c>
      <c r="B314" s="33" t="s">
        <v>693</v>
      </c>
      <c r="C314" s="23" t="s">
        <v>773</v>
      </c>
      <c r="D314" s="7" t="s">
        <v>777</v>
      </c>
      <c r="E314" s="8" t="s">
        <v>19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  <c r="L314" s="5" t="n">
        <f aca="false">COUNTA(F314:K314)</f>
        <v>6</v>
      </c>
      <c r="M314" s="24" t="n">
        <f aca="false">COUNTIF(F314:K314,"Pass")</f>
        <v>0</v>
      </c>
      <c r="N314" s="8" t="n">
        <f aca="false">COUNTIF(F314:K314,"Fail")</f>
        <v>0</v>
      </c>
      <c r="O314" s="25" t="str">
        <f aca="false">IF(M314=0,"-",M314/L314)</f>
        <v>-</v>
      </c>
    </row>
    <row r="315" customFormat="false" ht="19.5" hidden="false" customHeight="true" outlineLevel="0" collapsed="false">
      <c r="A315" s="11" t="s">
        <v>778</v>
      </c>
      <c r="B315" s="33" t="s">
        <v>693</v>
      </c>
      <c r="C315" s="26" t="s">
        <v>773</v>
      </c>
      <c r="D315" s="12" t="s">
        <v>779</v>
      </c>
      <c r="E315" s="8" t="s">
        <v>19</v>
      </c>
      <c r="F315" s="10" t="s">
        <v>21</v>
      </c>
      <c r="G315" s="10" t="s">
        <v>21</v>
      </c>
      <c r="H315" s="10" t="s">
        <v>21</v>
      </c>
      <c r="I315" s="10" t="s">
        <v>21</v>
      </c>
      <c r="J315" s="10" t="s">
        <v>21</v>
      </c>
      <c r="K315" s="10" t="s">
        <v>21</v>
      </c>
      <c r="L315" s="11" t="n">
        <f aca="false">COUNTA(F315:K315)</f>
        <v>6</v>
      </c>
      <c r="M315" s="24" t="n">
        <f aca="false">COUNTIF(F315:K315,"Pass")</f>
        <v>0</v>
      </c>
      <c r="N315" s="8" t="n">
        <f aca="false">COUNTIF(F315:K315,"Fail")</f>
        <v>0</v>
      </c>
      <c r="O315" s="27" t="str">
        <f aca="false">IF(M315=0,"-",M315/L315)</f>
        <v>-</v>
      </c>
    </row>
    <row r="316" customFormat="false" ht="19.5" hidden="false" customHeight="true" outlineLevel="0" collapsed="false">
      <c r="A316" s="5" t="s">
        <v>780</v>
      </c>
      <c r="B316" s="33" t="s">
        <v>693</v>
      </c>
      <c r="C316" s="23" t="s">
        <v>781</v>
      </c>
      <c r="D316" s="7" t="s">
        <v>782</v>
      </c>
      <c r="E316" s="14" t="s">
        <v>27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  <c r="L316" s="5" t="n">
        <f aca="false">COUNTA(F316:K316)</f>
        <v>6</v>
      </c>
      <c r="M316" s="24" t="n">
        <f aca="false">COUNTIF(F316:K316,"Pass")</f>
        <v>0</v>
      </c>
      <c r="N316" s="8" t="n">
        <f aca="false">COUNTIF(F316:K316,"Fail")</f>
        <v>0</v>
      </c>
      <c r="O316" s="25" t="str">
        <f aca="false">IF(M316=0,"-",M316/L316)</f>
        <v>-</v>
      </c>
    </row>
    <row r="317" customFormat="false" ht="19.5" hidden="false" customHeight="true" outlineLevel="0" collapsed="false">
      <c r="A317" s="11" t="s">
        <v>784</v>
      </c>
      <c r="B317" s="33" t="s">
        <v>693</v>
      </c>
      <c r="C317" s="26" t="s">
        <v>781</v>
      </c>
      <c r="D317" s="12" t="s">
        <v>785</v>
      </c>
      <c r="E317" s="14" t="s">
        <v>27</v>
      </c>
      <c r="F317" s="10" t="s">
        <v>21</v>
      </c>
      <c r="G317" s="10" t="s">
        <v>21</v>
      </c>
      <c r="H317" s="10" t="s">
        <v>21</v>
      </c>
      <c r="I317" s="10" t="s">
        <v>21</v>
      </c>
      <c r="J317" s="10" t="s">
        <v>21</v>
      </c>
      <c r="K317" s="10" t="s">
        <v>21</v>
      </c>
      <c r="L317" s="11" t="n">
        <f aca="false">COUNTA(F317:K317)</f>
        <v>6</v>
      </c>
      <c r="M317" s="24" t="n">
        <f aca="false">COUNTIF(F317:K317,"Pass")</f>
        <v>0</v>
      </c>
      <c r="N317" s="8" t="n">
        <f aca="false">COUNTIF(F317:K317,"Fail")</f>
        <v>0</v>
      </c>
      <c r="O317" s="27" t="str">
        <f aca="false">IF(M317=0,"-",M317/L317)</f>
        <v>-</v>
      </c>
    </row>
    <row r="318" customFormat="false" ht="19.5" hidden="false" customHeight="true" outlineLevel="0" collapsed="false">
      <c r="A318" s="5" t="s">
        <v>786</v>
      </c>
      <c r="B318" s="33" t="s">
        <v>693</v>
      </c>
      <c r="C318" s="23" t="s">
        <v>781</v>
      </c>
      <c r="D318" s="7" t="s">
        <v>787</v>
      </c>
      <c r="E318" s="14" t="s">
        <v>27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  <c r="L318" s="5" t="n">
        <f aca="false">COUNTA(F318:K318)</f>
        <v>6</v>
      </c>
      <c r="M318" s="24" t="n">
        <f aca="false">COUNTIF(F318:K318,"Pass")</f>
        <v>0</v>
      </c>
      <c r="N318" s="8" t="n">
        <f aca="false">COUNTIF(F318:K318,"Fail")</f>
        <v>0</v>
      </c>
      <c r="O318" s="25" t="str">
        <f aca="false">IF(M318=0,"-",M318/L318)</f>
        <v>-</v>
      </c>
    </row>
    <row r="319" customFormat="false" ht="19.5" hidden="false" customHeight="true" outlineLevel="0" collapsed="false">
      <c r="A319" s="11" t="s">
        <v>788</v>
      </c>
      <c r="B319" s="33" t="s">
        <v>693</v>
      </c>
      <c r="C319" s="26" t="s">
        <v>781</v>
      </c>
      <c r="D319" s="12" t="s">
        <v>789</v>
      </c>
      <c r="E319" s="15" t="s">
        <v>53</v>
      </c>
      <c r="F319" s="10" t="s">
        <v>21</v>
      </c>
      <c r="G319" s="10" t="s">
        <v>21</v>
      </c>
      <c r="H319" s="10" t="s">
        <v>21</v>
      </c>
      <c r="I319" s="10" t="s">
        <v>21</v>
      </c>
      <c r="J319" s="10" t="s">
        <v>21</v>
      </c>
      <c r="K319" s="10" t="s">
        <v>21</v>
      </c>
      <c r="L319" s="11" t="n">
        <f aca="false">COUNTA(F319:K319)</f>
        <v>6</v>
      </c>
      <c r="M319" s="24" t="n">
        <f aca="false">COUNTIF(F319:K319,"Pass")</f>
        <v>0</v>
      </c>
      <c r="N319" s="8" t="n">
        <f aca="false">COUNTIF(F319:K319,"Fail")</f>
        <v>0</v>
      </c>
      <c r="O319" s="27" t="str">
        <f aca="false">IF(M319=0,"-",M319/L319)</f>
        <v>-</v>
      </c>
    </row>
    <row r="320" customFormat="false" ht="19.5" hidden="false" customHeight="true" outlineLevel="0" collapsed="false">
      <c r="A320" s="5" t="s">
        <v>790</v>
      </c>
      <c r="B320" s="33" t="s">
        <v>693</v>
      </c>
      <c r="C320" s="23" t="s">
        <v>242</v>
      </c>
      <c r="D320" s="7" t="s">
        <v>791</v>
      </c>
      <c r="E320" s="8" t="s">
        <v>19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  <c r="L320" s="5" t="n">
        <f aca="false">COUNTA(F320:K320)</f>
        <v>6</v>
      </c>
      <c r="M320" s="24" t="n">
        <f aca="false">COUNTIF(F320:K320,"Pass")</f>
        <v>0</v>
      </c>
      <c r="N320" s="8" t="n">
        <f aca="false">COUNTIF(F320:K320,"Fail")</f>
        <v>0</v>
      </c>
      <c r="O320" s="25" t="str">
        <f aca="false">IF(M320=0,"-",M320/L320)</f>
        <v>-</v>
      </c>
    </row>
    <row r="321" customFormat="false" ht="19.5" hidden="false" customHeight="true" outlineLevel="0" collapsed="false">
      <c r="A321" s="11" t="s">
        <v>792</v>
      </c>
      <c r="B321" s="33" t="s">
        <v>693</v>
      </c>
      <c r="C321" s="26" t="s">
        <v>242</v>
      </c>
      <c r="D321" s="12" t="s">
        <v>793</v>
      </c>
      <c r="E321" s="8" t="s">
        <v>19</v>
      </c>
      <c r="F321" s="10" t="s">
        <v>21</v>
      </c>
      <c r="G321" s="10" t="s">
        <v>21</v>
      </c>
      <c r="H321" s="10" t="s">
        <v>21</v>
      </c>
      <c r="I321" s="10" t="s">
        <v>21</v>
      </c>
      <c r="J321" s="10" t="s">
        <v>21</v>
      </c>
      <c r="K321" s="10" t="s">
        <v>21</v>
      </c>
      <c r="L321" s="11" t="n">
        <f aca="false">COUNTA(F321:K321)</f>
        <v>6</v>
      </c>
      <c r="M321" s="24" t="n">
        <f aca="false">COUNTIF(F321:K321,"Pass")</f>
        <v>0</v>
      </c>
      <c r="N321" s="8" t="n">
        <f aca="false">COUNTIF(F321:K321,"Fail")</f>
        <v>0</v>
      </c>
      <c r="O321" s="27" t="str">
        <f aca="false">IF(M321=0,"-",M321/L321)</f>
        <v>-</v>
      </c>
    </row>
    <row r="322" customFormat="false" ht="19.5" hidden="false" customHeight="true" outlineLevel="0" collapsed="false">
      <c r="A322" s="5" t="s">
        <v>795</v>
      </c>
      <c r="B322" s="33" t="s">
        <v>693</v>
      </c>
      <c r="C322" s="23" t="s">
        <v>242</v>
      </c>
      <c r="D322" s="7" t="s">
        <v>193</v>
      </c>
      <c r="E322" s="8" t="s">
        <v>19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  <c r="L322" s="5" t="n">
        <f aca="false">COUNTA(F322:K322)</f>
        <v>6</v>
      </c>
      <c r="M322" s="24" t="n">
        <f aca="false">COUNTIF(F322:K322,"Pass")</f>
        <v>0</v>
      </c>
      <c r="N322" s="8" t="n">
        <f aca="false">COUNTIF(F322:K322,"Fail")</f>
        <v>0</v>
      </c>
      <c r="O322" s="25" t="str">
        <f aca="false">IF(M322=0,"-",M322/L322)</f>
        <v>-</v>
      </c>
    </row>
    <row r="323" customFormat="false" ht="19.5" hidden="false" customHeight="true" outlineLevel="0" collapsed="false">
      <c r="A323" s="11" t="s">
        <v>796</v>
      </c>
      <c r="B323" s="33" t="s">
        <v>693</v>
      </c>
      <c r="C323" s="26" t="s">
        <v>251</v>
      </c>
      <c r="D323" s="12" t="s">
        <v>797</v>
      </c>
      <c r="E323" s="14" t="s">
        <v>27</v>
      </c>
      <c r="F323" s="10" t="s">
        <v>21</v>
      </c>
      <c r="G323" s="10" t="s">
        <v>21</v>
      </c>
      <c r="H323" s="10" t="s">
        <v>21</v>
      </c>
      <c r="I323" s="10" t="s">
        <v>21</v>
      </c>
      <c r="J323" s="10" t="s">
        <v>21</v>
      </c>
      <c r="K323" s="10" t="s">
        <v>21</v>
      </c>
      <c r="L323" s="11" t="n">
        <f aca="false">COUNTA(F323:K323)</f>
        <v>6</v>
      </c>
      <c r="M323" s="24" t="n">
        <f aca="false">COUNTIF(F323:K323,"Pass")</f>
        <v>0</v>
      </c>
      <c r="N323" s="8" t="n">
        <f aca="false">COUNTIF(F323:K323,"Fail")</f>
        <v>0</v>
      </c>
      <c r="O323" s="27" t="str">
        <f aca="false">IF(M323=0,"-",M323/L323)</f>
        <v>-</v>
      </c>
    </row>
    <row r="324" customFormat="false" ht="19.5" hidden="false" customHeight="true" outlineLevel="0" collapsed="false">
      <c r="A324" s="5" t="s">
        <v>799</v>
      </c>
      <c r="B324" s="33" t="s">
        <v>693</v>
      </c>
      <c r="C324" s="23" t="s">
        <v>251</v>
      </c>
      <c r="D324" s="7" t="s">
        <v>800</v>
      </c>
      <c r="E324" s="8" t="s">
        <v>19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  <c r="L324" s="5" t="n">
        <f aca="false">COUNTA(F324:K324)</f>
        <v>6</v>
      </c>
      <c r="M324" s="24" t="n">
        <f aca="false">COUNTIF(F324:K324,"Pass")</f>
        <v>0</v>
      </c>
      <c r="N324" s="8" t="n">
        <f aca="false">COUNTIF(F324:K324,"Fail")</f>
        <v>0</v>
      </c>
      <c r="O324" s="25" t="str">
        <f aca="false">IF(M324=0,"-",M324/L324)</f>
        <v>-</v>
      </c>
    </row>
    <row r="325" customFormat="false" ht="19.5" hidden="false" customHeight="true" outlineLevel="0" collapsed="false">
      <c r="A325" s="11" t="s">
        <v>801</v>
      </c>
      <c r="B325" s="33" t="s">
        <v>693</v>
      </c>
      <c r="C325" s="26" t="s">
        <v>251</v>
      </c>
      <c r="D325" s="12" t="s">
        <v>802</v>
      </c>
      <c r="E325" s="14" t="s">
        <v>27</v>
      </c>
      <c r="F325" s="10" t="s">
        <v>21</v>
      </c>
      <c r="G325" s="10" t="s">
        <v>21</v>
      </c>
      <c r="H325" s="10" t="s">
        <v>21</v>
      </c>
      <c r="I325" s="10" t="s">
        <v>21</v>
      </c>
      <c r="J325" s="10" t="s">
        <v>21</v>
      </c>
      <c r="K325" s="10" t="s">
        <v>21</v>
      </c>
      <c r="L325" s="11" t="n">
        <f aca="false">COUNTA(F325:K325)</f>
        <v>6</v>
      </c>
      <c r="M325" s="24" t="n">
        <f aca="false">COUNTIF(F325:K325,"Pass")</f>
        <v>0</v>
      </c>
      <c r="N325" s="8" t="n">
        <f aca="false">COUNTIF(F325:K325,"Fail")</f>
        <v>0</v>
      </c>
      <c r="O325" s="27" t="str">
        <f aca="false">IF(M325=0,"-",M325/L325)</f>
        <v>-</v>
      </c>
    </row>
    <row r="326" customFormat="false" ht="19.5" hidden="false" customHeight="true" outlineLevel="0" collapsed="false">
      <c r="A326" s="5" t="s">
        <v>803</v>
      </c>
      <c r="B326" s="33" t="s">
        <v>693</v>
      </c>
      <c r="C326" s="23" t="s">
        <v>804</v>
      </c>
      <c r="D326" s="7" t="s">
        <v>805</v>
      </c>
      <c r="E326" s="14" t="s">
        <v>27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  <c r="L326" s="5" t="n">
        <f aca="false">COUNTA(F326:K326)</f>
        <v>6</v>
      </c>
      <c r="M326" s="24" t="n">
        <f aca="false">COUNTIF(F326:K326,"Pass")</f>
        <v>0</v>
      </c>
      <c r="N326" s="8" t="n">
        <f aca="false">COUNTIF(F326:K326,"Fail")</f>
        <v>0</v>
      </c>
      <c r="O326" s="25" t="str">
        <f aca="false">IF(M326=0,"-",M326/L326)</f>
        <v>-</v>
      </c>
    </row>
    <row r="327" customFormat="false" ht="19.5" hidden="false" customHeight="true" outlineLevel="0" collapsed="false">
      <c r="A327" s="11" t="s">
        <v>807</v>
      </c>
      <c r="B327" s="33" t="s">
        <v>693</v>
      </c>
      <c r="C327" s="26" t="s">
        <v>804</v>
      </c>
      <c r="D327" s="12" t="s">
        <v>808</v>
      </c>
      <c r="E327" s="8" t="s">
        <v>19</v>
      </c>
      <c r="F327" s="10" t="s">
        <v>21</v>
      </c>
      <c r="G327" s="10" t="s">
        <v>21</v>
      </c>
      <c r="H327" s="10" t="s">
        <v>21</v>
      </c>
      <c r="I327" s="10" t="s">
        <v>21</v>
      </c>
      <c r="J327" s="10" t="s">
        <v>21</v>
      </c>
      <c r="K327" s="10" t="s">
        <v>21</v>
      </c>
      <c r="L327" s="11" t="n">
        <f aca="false">COUNTA(F327:K327)</f>
        <v>6</v>
      </c>
      <c r="M327" s="24" t="n">
        <f aca="false">COUNTIF(F327:K327,"Pass")</f>
        <v>0</v>
      </c>
      <c r="N327" s="8" t="n">
        <f aca="false">COUNTIF(F327:K327,"Fail")</f>
        <v>0</v>
      </c>
      <c r="O327" s="27" t="str">
        <f aca="false">IF(M327=0,"-",M327/L327)</f>
        <v>-</v>
      </c>
    </row>
    <row r="328" customFormat="false" ht="19.5" hidden="false" customHeight="true" outlineLevel="0" collapsed="false">
      <c r="A328" s="5" t="s">
        <v>809</v>
      </c>
      <c r="B328" s="33" t="s">
        <v>693</v>
      </c>
      <c r="C328" s="23" t="s">
        <v>804</v>
      </c>
      <c r="D328" s="7" t="s">
        <v>810</v>
      </c>
      <c r="E328" s="14" t="s">
        <v>27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  <c r="L328" s="5" t="n">
        <f aca="false">COUNTA(F328:K328)</f>
        <v>6</v>
      </c>
      <c r="M328" s="24" t="n">
        <f aca="false">COUNTIF(F328:K328,"Pass")</f>
        <v>0</v>
      </c>
      <c r="N328" s="8" t="n">
        <f aca="false">COUNTIF(F328:K328,"Fail")</f>
        <v>0</v>
      </c>
      <c r="O328" s="25" t="str">
        <f aca="false">IF(M328=0,"-",M328/L328)</f>
        <v>-</v>
      </c>
    </row>
    <row r="329" customFormat="false" ht="19.5" hidden="false" customHeight="true" outlineLevel="0" collapsed="false">
      <c r="A329" s="11" t="s">
        <v>811</v>
      </c>
      <c r="B329" s="33" t="s">
        <v>693</v>
      </c>
      <c r="C329" s="26" t="s">
        <v>812</v>
      </c>
      <c r="D329" s="12" t="s">
        <v>813</v>
      </c>
      <c r="E329" s="8" t="s">
        <v>19</v>
      </c>
      <c r="F329" s="10" t="s">
        <v>21</v>
      </c>
      <c r="G329" s="10" t="s">
        <v>21</v>
      </c>
      <c r="H329" s="10" t="s">
        <v>21</v>
      </c>
      <c r="I329" s="10" t="s">
        <v>21</v>
      </c>
      <c r="J329" s="10" t="s">
        <v>21</v>
      </c>
      <c r="K329" s="10" t="s">
        <v>21</v>
      </c>
      <c r="L329" s="11" t="n">
        <f aca="false">COUNTA(F329:K329)</f>
        <v>6</v>
      </c>
      <c r="M329" s="24" t="n">
        <f aca="false">COUNTIF(F329:K329,"Pass")</f>
        <v>0</v>
      </c>
      <c r="N329" s="8" t="n">
        <f aca="false">COUNTIF(F329:K329,"Fail")</f>
        <v>0</v>
      </c>
      <c r="O329" s="27" t="str">
        <f aca="false">IF(M329=0,"-",M329/L329)</f>
        <v>-</v>
      </c>
    </row>
    <row r="330" customFormat="false" ht="19.5" hidden="false" customHeight="true" outlineLevel="0" collapsed="false">
      <c r="A330" s="5" t="s">
        <v>815</v>
      </c>
      <c r="B330" s="33" t="s">
        <v>693</v>
      </c>
      <c r="C330" s="23" t="s">
        <v>812</v>
      </c>
      <c r="D330" s="7" t="s">
        <v>816</v>
      </c>
      <c r="E330" s="8" t="s">
        <v>19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  <c r="L330" s="5" t="n">
        <f aca="false">COUNTA(F330:K330)</f>
        <v>6</v>
      </c>
      <c r="M330" s="24" t="n">
        <f aca="false">COUNTIF(F330:K330,"Pass")</f>
        <v>0</v>
      </c>
      <c r="N330" s="8" t="n">
        <f aca="false">COUNTIF(F330:K330,"Fail")</f>
        <v>0</v>
      </c>
      <c r="O330" s="25" t="str">
        <f aca="false">IF(M330=0,"-",M330/L330)</f>
        <v>-</v>
      </c>
    </row>
    <row r="331" customFormat="false" ht="19.5" hidden="false" customHeight="true" outlineLevel="0" collapsed="false">
      <c r="A331" s="11" t="s">
        <v>817</v>
      </c>
      <c r="B331" s="33" t="s">
        <v>693</v>
      </c>
      <c r="C331" s="26" t="s">
        <v>812</v>
      </c>
      <c r="D331" s="12" t="s">
        <v>818</v>
      </c>
      <c r="E331" s="8" t="s">
        <v>19</v>
      </c>
      <c r="F331" s="10" t="s">
        <v>21</v>
      </c>
      <c r="G331" s="10" t="s">
        <v>21</v>
      </c>
      <c r="H331" s="10" t="s">
        <v>21</v>
      </c>
      <c r="I331" s="10" t="s">
        <v>21</v>
      </c>
      <c r="J331" s="10" t="s">
        <v>21</v>
      </c>
      <c r="K331" s="10" t="s">
        <v>21</v>
      </c>
      <c r="L331" s="11" t="n">
        <f aca="false">COUNTA(F331:K331)</f>
        <v>6</v>
      </c>
      <c r="M331" s="24" t="n">
        <f aca="false">COUNTIF(F331:K331,"Pass")</f>
        <v>0</v>
      </c>
      <c r="N331" s="8" t="n">
        <f aca="false">COUNTIF(F331:K331,"Fail")</f>
        <v>0</v>
      </c>
      <c r="O331" s="27" t="str">
        <f aca="false">IF(M331=0,"-",M331/L331)</f>
        <v>-</v>
      </c>
    </row>
  </sheetData>
  <mergeCells count="9">
    <mergeCell ref="A1:O1"/>
    <mergeCell ref="A2:O2"/>
    <mergeCell ref="A5:O5"/>
    <mergeCell ref="A27:O27"/>
    <mergeCell ref="A60:O60"/>
    <mergeCell ref="A101:O101"/>
    <mergeCell ref="A154:O154"/>
    <mergeCell ref="A215:O215"/>
    <mergeCell ref="A281:O281"/>
  </mergeCells>
  <conditionalFormatting sqref="F5:F70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conditionalFormatting sqref="G5:G700">
    <cfRule type="cellIs" priority="6" operator="equal" aboveAverage="0" equalAverage="0" bottom="0" percent="0" rank="0" text="" dxfId="0">
      <formula>"Pass"</formula>
    </cfRule>
    <cfRule type="cellIs" priority="7" operator="equal" aboveAverage="0" equalAverage="0" bottom="0" percent="0" rank="0" text="" dxfId="1">
      <formula>"Fail"</formula>
    </cfRule>
    <cfRule type="cellIs" priority="8" operator="equal" aboveAverage="0" equalAverage="0" bottom="0" percent="0" rank="0" text="" dxfId="2">
      <formula>"Blocked"</formula>
    </cfRule>
    <cfRule type="cellIs" priority="9" operator="equal" aboveAverage="0" equalAverage="0" bottom="0" percent="0" rank="0" text="" dxfId="3">
      <formula>"Not Run"</formula>
    </cfRule>
  </conditionalFormatting>
  <conditionalFormatting sqref="H5:H700">
    <cfRule type="cellIs" priority="10" operator="equal" aboveAverage="0" equalAverage="0" bottom="0" percent="0" rank="0" text="" dxfId="0">
      <formula>"Pass"</formula>
    </cfRule>
    <cfRule type="cellIs" priority="11" operator="equal" aboveAverage="0" equalAverage="0" bottom="0" percent="0" rank="0" text="" dxfId="1">
      <formula>"Fail"</formula>
    </cfRule>
    <cfRule type="cellIs" priority="12" operator="equal" aboveAverage="0" equalAverage="0" bottom="0" percent="0" rank="0" text="" dxfId="2">
      <formula>"Blocked"</formula>
    </cfRule>
    <cfRule type="cellIs" priority="13" operator="equal" aboveAverage="0" equalAverage="0" bottom="0" percent="0" rank="0" text="" dxfId="3">
      <formula>"Not Run"</formula>
    </cfRule>
  </conditionalFormatting>
  <conditionalFormatting sqref="I5:I700">
    <cfRule type="cellIs" priority="14" operator="equal" aboveAverage="0" equalAverage="0" bottom="0" percent="0" rank="0" text="" dxfId="0">
      <formula>"Pass"</formula>
    </cfRule>
    <cfRule type="cellIs" priority="15" operator="equal" aboveAverage="0" equalAverage="0" bottom="0" percent="0" rank="0" text="" dxfId="1">
      <formula>"Fail"</formula>
    </cfRule>
    <cfRule type="cellIs" priority="16" operator="equal" aboveAverage="0" equalAverage="0" bottom="0" percent="0" rank="0" text="" dxfId="2">
      <formula>"Blocked"</formula>
    </cfRule>
    <cfRule type="cellIs" priority="17" operator="equal" aboveAverage="0" equalAverage="0" bottom="0" percent="0" rank="0" text="" dxfId="3">
      <formula>"Not Run"</formula>
    </cfRule>
  </conditionalFormatting>
  <conditionalFormatting sqref="J5:J700">
    <cfRule type="cellIs" priority="18" operator="equal" aboveAverage="0" equalAverage="0" bottom="0" percent="0" rank="0" text="" dxfId="0">
      <formula>"Pass"</formula>
    </cfRule>
    <cfRule type="cellIs" priority="19" operator="equal" aboveAverage="0" equalAverage="0" bottom="0" percent="0" rank="0" text="" dxfId="1">
      <formula>"Fail"</formula>
    </cfRule>
    <cfRule type="cellIs" priority="20" operator="equal" aboveAverage="0" equalAverage="0" bottom="0" percent="0" rank="0" text="" dxfId="2">
      <formula>"Blocked"</formula>
    </cfRule>
    <cfRule type="cellIs" priority="21" operator="equal" aboveAverage="0" equalAverage="0" bottom="0" percent="0" rank="0" text="" dxfId="3">
      <formula>"Not Run"</formula>
    </cfRule>
  </conditionalFormatting>
  <conditionalFormatting sqref="K5:K700">
    <cfRule type="cellIs" priority="22" operator="equal" aboveAverage="0" equalAverage="0" bottom="0" percent="0" rank="0" text="" dxfId="0">
      <formula>"Pass"</formula>
    </cfRule>
    <cfRule type="cellIs" priority="23" operator="equal" aboveAverage="0" equalAverage="0" bottom="0" percent="0" rank="0" text="" dxfId="1">
      <formula>"Fail"</formula>
    </cfRule>
    <cfRule type="cellIs" priority="24" operator="equal" aboveAverage="0" equalAverage="0" bottom="0" percent="0" rank="0" text="" dxfId="2">
      <formula>"Blocked"</formula>
    </cfRule>
    <cfRule type="cellIs" priority="25" operator="equal" aboveAverage="0" equalAverage="0" bottom="0" percent="0" rank="0" text="" dxfId="3">
      <formula>"Not Run"</formula>
    </cfRule>
  </conditionalFormatting>
  <dataValidations count="6">
    <dataValidation allowBlank="true" errorStyle="stop" operator="between" showDropDown="false" showErrorMessage="false" showInputMessage="false" sqref="G5:G700" type="list">
      <formula1>"Not Run,Pass,Fail,Blocked,Skipped"</formula1>
      <formula2>0</formula2>
    </dataValidation>
    <dataValidation allowBlank="true" errorStyle="stop" operator="between" showDropDown="false" showErrorMessage="false" showInputMessage="false" sqref="F5:F700" type="list">
      <formula1>"Not Run,Pass,Fail,Blocked,Skipped"</formula1>
      <formula2>0</formula2>
    </dataValidation>
    <dataValidation allowBlank="true" errorStyle="stop" operator="between" showDropDown="false" showErrorMessage="false" showInputMessage="false" sqref="H5:H700" type="list">
      <formula1>"Not Run,Pass,Fail,Blocked,Skipped"</formula1>
      <formula2>0</formula2>
    </dataValidation>
    <dataValidation allowBlank="true" errorStyle="stop" operator="between" showDropDown="false" showErrorMessage="false" showInputMessage="false" sqref="I5:I700" type="list">
      <formula1>"Not Run,Pass,Fail,Blocked,Skipped"</formula1>
      <formula2>0</formula2>
    </dataValidation>
    <dataValidation allowBlank="true" errorStyle="stop" operator="between" showDropDown="false" showErrorMessage="false" showInputMessage="false" sqref="J5:J700" type="list">
      <formula1>"Not Run,Pass,Fail,Blocked,Skipped"</formula1>
      <formula2>0</formula2>
    </dataValidation>
    <dataValidation allowBlank="true" errorStyle="stop" operator="between" showDropDown="false" showErrorMessage="false" showInputMessage="false" sqref="K5:K700" type="list">
      <formula1>"Not Run,Pass,Fail,Blocked,Skipped"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7" min="3" style="0" width="10"/>
    <col collapsed="false" customWidth="true" hidden="false" outlineLevel="0" max="12" min="8" style="0" width="14"/>
  </cols>
  <sheetData>
    <row r="1" customFormat="false" ht="36" hidden="false" customHeight="true" outlineLevel="0" collapsed="false">
      <c r="A1" s="1" t="s">
        <v>832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833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5.5" hidden="false" customHeight="true" outlineLevel="0" collapsed="false">
      <c r="A4" s="34" t="s">
        <v>834</v>
      </c>
      <c r="B4" s="34"/>
      <c r="C4" s="35" t="s">
        <v>21</v>
      </c>
      <c r="D4" s="35"/>
      <c r="E4" s="36" t="s">
        <v>829</v>
      </c>
      <c r="F4" s="36"/>
      <c r="G4" s="37" t="s">
        <v>830</v>
      </c>
      <c r="H4" s="37"/>
      <c r="I4" s="38" t="s">
        <v>835</v>
      </c>
      <c r="J4" s="38"/>
      <c r="K4" s="34" t="s">
        <v>831</v>
      </c>
      <c r="L4" s="34"/>
    </row>
    <row r="5" customFormat="false" ht="48" hidden="false" customHeight="true" outlineLevel="0" collapsed="false">
      <c r="A5" s="39" t="n">
        <f aca="false">COUNTA('Test Case Register'!A5:A700)-COUNTIF('Test Case Register'!A5:A700,"▌*")</f>
        <v>320</v>
      </c>
      <c r="B5" s="39"/>
      <c r="C5" s="40" t="n">
        <f aca="false">COUNTIF('Test Case Register'!G5:G700,"Not Run")</f>
        <v>320</v>
      </c>
      <c r="D5" s="40"/>
      <c r="E5" s="41" t="n">
        <f aca="false">COUNTIF('Test Case Register'!G5:G700,"Pass")</f>
        <v>0</v>
      </c>
      <c r="F5" s="41"/>
      <c r="G5" s="42" t="n">
        <f aca="false">COUNTIF('Test Case Register'!G5:G700,"Fail")</f>
        <v>0</v>
      </c>
      <c r="H5" s="42"/>
      <c r="I5" s="43" t="n">
        <f aca="false">COUNTIF('Test Case Register'!G5:G700,"Blocked")</f>
        <v>0</v>
      </c>
      <c r="J5" s="43"/>
      <c r="K5" s="44" t="n">
        <f aca="false">IF(COUNTIF('Test Case Register'!G5:G700,"Pass")+COUNTIF('Test Case Register'!G5:G700,"Fail")=0,0,COUNTIF('Test Case Register'!G5:G700,"Pass")/(COUNTIF('Test Case Register'!G5:G700,"Pass")+COUNTIF('Test Case Register'!G5:G700,"Fail")))</f>
        <v>0</v>
      </c>
      <c r="L5" s="44"/>
    </row>
    <row r="6" customFormat="false" ht="12" hidden="false" customHeight="true" outlineLevel="0" collapsed="false"/>
    <row r="7" customFormat="false" ht="21.75" hidden="false" customHeight="true" outlineLevel="0" collapsed="false">
      <c r="A7" s="45" t="s">
        <v>836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customFormat="false" ht="19.5" hidden="false" customHeight="true" outlineLevel="0" collapsed="false">
      <c r="A8" s="46" t="s">
        <v>3</v>
      </c>
      <c r="B8" s="46"/>
      <c r="C8" s="46" t="s">
        <v>837</v>
      </c>
      <c r="D8" s="46"/>
      <c r="E8" s="46" t="s">
        <v>829</v>
      </c>
      <c r="F8" s="46"/>
      <c r="G8" s="46" t="s">
        <v>830</v>
      </c>
      <c r="H8" s="46"/>
      <c r="I8" s="46" t="s">
        <v>835</v>
      </c>
      <c r="J8" s="46"/>
      <c r="K8" s="46" t="s">
        <v>831</v>
      </c>
      <c r="L8" s="46"/>
    </row>
    <row r="9" customFormat="false" ht="21.75" hidden="false" customHeight="true" outlineLevel="0" collapsed="false">
      <c r="A9" s="47" t="s">
        <v>16</v>
      </c>
      <c r="B9" s="47"/>
      <c r="C9" s="48" t="n">
        <v>21</v>
      </c>
      <c r="D9" s="48"/>
      <c r="E9" s="49" t="n">
        <f aca="false">COUNTIFS('Test Case Register'!B5:B700,"AMC Customers",'Test Case Register'!G5:G700,"Pass")</f>
        <v>0</v>
      </c>
      <c r="F9" s="49"/>
      <c r="G9" s="50" t="n">
        <f aca="false">COUNTIFS('Test Case Register'!B5:B700,"AMC Customers",'Test Case Register'!G5:G700,"Fail")</f>
        <v>0</v>
      </c>
      <c r="H9" s="50"/>
      <c r="I9" s="51" t="n">
        <f aca="false">COUNTIFS('Test Case Register'!B5:B700,"AMC Customers",'Test Case Register'!G5:G700,"Blocked")</f>
        <v>0</v>
      </c>
      <c r="J9" s="51"/>
      <c r="K9" s="52" t="str">
        <f aca="false">IF(E9+G9=0,"-",E9/(E9+G9))</f>
        <v>-</v>
      </c>
      <c r="L9" s="52"/>
    </row>
    <row r="10" customFormat="false" ht="21.75" hidden="false" customHeight="true" outlineLevel="0" collapsed="false">
      <c r="A10" s="53" t="s">
        <v>86</v>
      </c>
      <c r="B10" s="53"/>
      <c r="C10" s="54" t="n">
        <v>32</v>
      </c>
      <c r="D10" s="54"/>
      <c r="E10" s="55" t="n">
        <f aca="false">COUNTIFS('Test Case Register'!B5:B700,"AMC Contract",'Test Case Register'!G5:G700,"Pass")</f>
        <v>0</v>
      </c>
      <c r="F10" s="55"/>
      <c r="G10" s="56" t="n">
        <f aca="false">COUNTIFS('Test Case Register'!B5:B700,"AMC Contract",'Test Case Register'!G5:G700,"Fail")</f>
        <v>0</v>
      </c>
      <c r="H10" s="56"/>
      <c r="I10" s="57" t="n">
        <f aca="false">COUNTIFS('Test Case Register'!B5:B700,"AMC Contract",'Test Case Register'!G5:G700,"Blocked")</f>
        <v>0</v>
      </c>
      <c r="J10" s="57"/>
      <c r="K10" s="58" t="str">
        <f aca="false">IF(E10+G10=0,"-",E10/(E10+G10))</f>
        <v>-</v>
      </c>
      <c r="L10" s="58"/>
    </row>
    <row r="11" customFormat="false" ht="21.75" hidden="false" customHeight="true" outlineLevel="0" collapsed="false">
      <c r="A11" s="59" t="s">
        <v>174</v>
      </c>
      <c r="B11" s="59"/>
      <c r="C11" s="60" t="n">
        <v>40</v>
      </c>
      <c r="D11" s="60"/>
      <c r="E11" s="61" t="n">
        <f aca="false">COUNTIFS('Test Case Register'!B5:B700,"Vendor",'Test Case Register'!G5:G700,"Pass")</f>
        <v>0</v>
      </c>
      <c r="F11" s="61"/>
      <c r="G11" s="62" t="n">
        <f aca="false">COUNTIFS('Test Case Register'!B5:B700,"Vendor",'Test Case Register'!G5:G700,"Fail")</f>
        <v>0</v>
      </c>
      <c r="H11" s="62"/>
      <c r="I11" s="63" t="n">
        <f aca="false">COUNTIFS('Test Case Register'!B5:B700,"Vendor",'Test Case Register'!G5:G700,"Blocked")</f>
        <v>0</v>
      </c>
      <c r="J11" s="63"/>
      <c r="K11" s="64" t="str">
        <f aca="false">IF(E11+G11=0,"-",E11/(E11+G11))</f>
        <v>-</v>
      </c>
      <c r="L11" s="64"/>
    </row>
    <row r="12" customFormat="false" ht="21.75" hidden="false" customHeight="true" outlineLevel="0" collapsed="false">
      <c r="A12" s="65" t="s">
        <v>276</v>
      </c>
      <c r="B12" s="65"/>
      <c r="C12" s="66" t="n">
        <v>52</v>
      </c>
      <c r="D12" s="66"/>
      <c r="E12" s="67" t="n">
        <f aca="false">COUNTIFS('Test Case Register'!B5:B700,"Attendance",'Test Case Register'!G5:G700,"Pass")</f>
        <v>0</v>
      </c>
      <c r="F12" s="67"/>
      <c r="G12" s="68" t="n">
        <f aca="false">COUNTIFS('Test Case Register'!B5:B700,"Attendance",'Test Case Register'!G5:G700,"Fail")</f>
        <v>0</v>
      </c>
      <c r="H12" s="68"/>
      <c r="I12" s="69" t="n">
        <f aca="false">COUNTIFS('Test Case Register'!B5:B700,"Attendance",'Test Case Register'!G5:G700,"Blocked")</f>
        <v>0</v>
      </c>
      <c r="J12" s="69"/>
      <c r="K12" s="70" t="str">
        <f aca="false">IF(E12+G12=0,"-",E12/(E12+G12))</f>
        <v>-</v>
      </c>
      <c r="L12" s="70"/>
    </row>
    <row r="13" customFormat="false" ht="21.75" hidden="false" customHeight="true" outlineLevel="0" collapsed="false">
      <c r="A13" s="71" t="s">
        <v>404</v>
      </c>
      <c r="B13" s="71"/>
      <c r="C13" s="72" t="n">
        <v>60</v>
      </c>
      <c r="D13" s="72"/>
      <c r="E13" s="73" t="n">
        <f aca="false">COUNTIFS('Test Case Register'!B5:B700,"Expense Claim",'Test Case Register'!G5:G700,"Pass")</f>
        <v>0</v>
      </c>
      <c r="F13" s="73"/>
      <c r="G13" s="74" t="n">
        <f aca="false">COUNTIFS('Test Case Register'!B5:B700,"Expense Claim",'Test Case Register'!G5:G700,"Fail")</f>
        <v>0</v>
      </c>
      <c r="H13" s="74"/>
      <c r="I13" s="75" t="n">
        <f aca="false">COUNTIFS('Test Case Register'!B5:B700,"Expense Claim",'Test Case Register'!G5:G700,"Blocked")</f>
        <v>0</v>
      </c>
      <c r="J13" s="75"/>
      <c r="K13" s="76" t="str">
        <f aca="false">IF(E13+G13=0,"-",E13/(E13+G13))</f>
        <v>-</v>
      </c>
      <c r="L13" s="76"/>
    </row>
    <row r="14" customFormat="false" ht="21.75" hidden="false" customHeight="true" outlineLevel="0" collapsed="false">
      <c r="A14" s="77" t="s">
        <v>545</v>
      </c>
      <c r="B14" s="77"/>
      <c r="C14" s="78" t="n">
        <v>65</v>
      </c>
      <c r="D14" s="78"/>
      <c r="E14" s="79" t="n">
        <f aca="false">COUNTIFS('Test Case Register'!B5:B700,"Leave Application",'Test Case Register'!G5:G700,"Pass")</f>
        <v>0</v>
      </c>
      <c r="F14" s="79"/>
      <c r="G14" s="80" t="n">
        <f aca="false">COUNTIFS('Test Case Register'!B5:B700,"Leave Application",'Test Case Register'!G5:G700,"Fail")</f>
        <v>0</v>
      </c>
      <c r="H14" s="80"/>
      <c r="I14" s="81" t="n">
        <f aca="false">COUNTIFS('Test Case Register'!B5:B700,"Leave Application",'Test Case Register'!G5:G700,"Blocked")</f>
        <v>0</v>
      </c>
      <c r="J14" s="81"/>
      <c r="K14" s="82" t="str">
        <f aca="false">IF(E14+G14=0,"-",E14/(E14+G14))</f>
        <v>-</v>
      </c>
      <c r="L14" s="82"/>
    </row>
    <row r="15" customFormat="false" ht="21.75" hidden="false" customHeight="true" outlineLevel="0" collapsed="false">
      <c r="A15" s="83" t="s">
        <v>693</v>
      </c>
      <c r="B15" s="83"/>
      <c r="C15" s="84" t="n">
        <v>50</v>
      </c>
      <c r="D15" s="84"/>
      <c r="E15" s="85" t="n">
        <f aca="false">COUNTIFS('Test Case Register'!B5:B700,"Service Call",'Test Case Register'!G5:G700,"Pass")</f>
        <v>0</v>
      </c>
      <c r="F15" s="85"/>
      <c r="G15" s="86" t="n">
        <f aca="false">COUNTIFS('Test Case Register'!B5:B700,"Service Call",'Test Case Register'!G5:G700,"Fail")</f>
        <v>0</v>
      </c>
      <c r="H15" s="86"/>
      <c r="I15" s="87" t="n">
        <f aca="false">COUNTIFS('Test Case Register'!B5:B700,"Service Call",'Test Case Register'!G5:G700,"Blocked")</f>
        <v>0</v>
      </c>
      <c r="J15" s="87"/>
      <c r="K15" s="88" t="str">
        <f aca="false">IF(E15+G15=0,"-",E15/(E15+G15))</f>
        <v>-</v>
      </c>
      <c r="L15" s="88"/>
    </row>
    <row r="17" customFormat="false" ht="12" hidden="false" customHeight="true" outlineLevel="0" collapsed="false"/>
    <row r="18" customFormat="false" ht="21.75" hidden="false" customHeight="true" outlineLevel="0" collapsed="false">
      <c r="A18" s="45" t="s">
        <v>838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</row>
    <row r="19" customFormat="false" ht="19.5" hidden="false" customHeight="true" outlineLevel="0" collapsed="false">
      <c r="A19" s="46" t="s">
        <v>4</v>
      </c>
      <c r="B19" s="46" t="s">
        <v>3</v>
      </c>
      <c r="C19" s="46" t="s">
        <v>839</v>
      </c>
      <c r="D19" s="46" t="s">
        <v>829</v>
      </c>
      <c r="E19" s="46" t="s">
        <v>830</v>
      </c>
      <c r="F19" s="46" t="s">
        <v>835</v>
      </c>
      <c r="G19" s="46" t="s">
        <v>831</v>
      </c>
    </row>
    <row r="20" customFormat="false" ht="19.5" hidden="false" customHeight="true" outlineLevel="0" collapsed="false">
      <c r="A20" s="26" t="s">
        <v>17</v>
      </c>
      <c r="B20" s="89" t="s">
        <v>16</v>
      </c>
      <c r="C20" s="11" t="n">
        <v>4</v>
      </c>
      <c r="D20" s="90" t="n">
        <f aca="false">COUNTIFS('Test Case Register'!B5:B700,"AMC Customers",'Test Case Register'!C5:C700,"Customer Creation &amp; Basic Details",'Test Case Register'!G5:G700,"Pass")</f>
        <v>0</v>
      </c>
      <c r="E20" s="91" t="n">
        <f aca="false">COUNTIFS('Test Case Register'!B5:B700,"AMC Customers",'Test Case Register'!C5:C700,"Customer Creation &amp; Basic Details",'Test Case Register'!G5:G700,"Fail")</f>
        <v>0</v>
      </c>
      <c r="F20" s="92" t="n">
        <f aca="false">COUNTIFS('Test Case Register'!B5:B700,"AMC Customers",'Test Case Register'!C5:C700,"Customer Creation &amp; Basic Details",'Test Case Register'!G5:G700,"Blocked")</f>
        <v>0</v>
      </c>
      <c r="G20" s="27" t="str">
        <f aca="false">IF(D20+E20=0,"-",D20/(D20+E20))</f>
        <v>-</v>
      </c>
    </row>
    <row r="21" customFormat="false" ht="19.5" hidden="false" customHeight="true" outlineLevel="0" collapsed="false">
      <c r="A21" s="23" t="s">
        <v>32</v>
      </c>
      <c r="B21" s="89" t="s">
        <v>16</v>
      </c>
      <c r="C21" s="5" t="n">
        <v>5</v>
      </c>
      <c r="D21" s="93" t="n">
        <f aca="false">COUNTIFS('Test Case Register'!B5:B700,"AMC Customers",'Test Case Register'!C5:C700,"GST Validation",'Test Case Register'!G5:G700,"Pass")</f>
        <v>0</v>
      </c>
      <c r="E21" s="94" t="n">
        <f aca="false">COUNTIFS('Test Case Register'!B5:B700,"AMC Customers",'Test Case Register'!C5:C700,"GST Validation",'Test Case Register'!G5:G700,"Fail")</f>
        <v>0</v>
      </c>
      <c r="F21" s="95" t="n">
        <f aca="false">COUNTIFS('Test Case Register'!B5:B700,"AMC Customers",'Test Case Register'!C5:C700,"GST Validation",'Test Case Register'!G5:G700,"Blocked")</f>
        <v>0</v>
      </c>
      <c r="G21" s="25" t="str">
        <f aca="false">IF(D21+E21=0,"-",D21/(D21+E21))</f>
        <v>-</v>
      </c>
    </row>
    <row r="22" customFormat="false" ht="19.5" hidden="false" customHeight="true" outlineLevel="0" collapsed="false">
      <c r="A22" s="26" t="s">
        <v>46</v>
      </c>
      <c r="B22" s="89" t="s">
        <v>16</v>
      </c>
      <c r="C22" s="11" t="n">
        <v>4</v>
      </c>
      <c r="D22" s="90" t="n">
        <f aca="false">COUNTIFS('Test Case Register'!B5:B700,"AMC Customers",'Test Case Register'!C5:C700,"Branch Locations",'Test Case Register'!G5:G700,"Pass")</f>
        <v>0</v>
      </c>
      <c r="E22" s="91" t="n">
        <f aca="false">COUNTIFS('Test Case Register'!B5:B700,"AMC Customers",'Test Case Register'!C5:C700,"Branch Locations",'Test Case Register'!G5:G700,"Fail")</f>
        <v>0</v>
      </c>
      <c r="F22" s="92" t="n">
        <f aca="false">COUNTIFS('Test Case Register'!B5:B700,"AMC Customers",'Test Case Register'!C5:C700,"Branch Locations",'Test Case Register'!G5:G700,"Blocked")</f>
        <v>0</v>
      </c>
      <c r="G22" s="27" t="str">
        <f aca="false">IF(D22+E22=0,"-",D22/(D22+E22))</f>
        <v>-</v>
      </c>
    </row>
    <row r="23" customFormat="false" ht="19.5" hidden="false" customHeight="true" outlineLevel="0" collapsed="false">
      <c r="A23" s="23" t="s">
        <v>58</v>
      </c>
      <c r="B23" s="89" t="s">
        <v>16</v>
      </c>
      <c r="C23" s="5" t="n">
        <v>4</v>
      </c>
      <c r="D23" s="93" t="n">
        <f aca="false">COUNTIFS('Test Case Register'!B5:B700,"AMC Customers",'Test Case Register'!C5:C700,"Contact Details",'Test Case Register'!G5:G700,"Pass")</f>
        <v>0</v>
      </c>
      <c r="E23" s="94" t="n">
        <f aca="false">COUNTIFS('Test Case Register'!B5:B700,"AMC Customers",'Test Case Register'!C5:C700,"Contact Details",'Test Case Register'!G5:G700,"Fail")</f>
        <v>0</v>
      </c>
      <c r="F23" s="95" t="n">
        <f aca="false">COUNTIFS('Test Case Register'!B5:B700,"AMC Customers",'Test Case Register'!C5:C700,"Contact Details",'Test Case Register'!G5:G700,"Blocked")</f>
        <v>0</v>
      </c>
      <c r="G23" s="25" t="str">
        <f aca="false">IF(D23+E23=0,"-",D23/(D23+E23))</f>
        <v>-</v>
      </c>
    </row>
    <row r="24" customFormat="false" ht="19.5" hidden="false" customHeight="true" outlineLevel="0" collapsed="false">
      <c r="A24" s="26" t="s">
        <v>71</v>
      </c>
      <c r="B24" s="89" t="s">
        <v>16</v>
      </c>
      <c r="C24" s="11" t="n">
        <v>2</v>
      </c>
      <c r="D24" s="90" t="n">
        <f aca="false">COUNTIFS('Test Case Register'!B5:B700,"AMC Customers",'Test Case Register'!C5:C700,"Connections Tab",'Test Case Register'!G5:G700,"Pass")</f>
        <v>0</v>
      </c>
      <c r="E24" s="91" t="n">
        <f aca="false">COUNTIFS('Test Case Register'!B5:B700,"AMC Customers",'Test Case Register'!C5:C700,"Connections Tab",'Test Case Register'!G5:G700,"Fail")</f>
        <v>0</v>
      </c>
      <c r="F24" s="92" t="n">
        <f aca="false">COUNTIFS('Test Case Register'!B5:B700,"AMC Customers",'Test Case Register'!C5:C700,"Connections Tab",'Test Case Register'!G5:G700,"Blocked")</f>
        <v>0</v>
      </c>
      <c r="G24" s="27" t="str">
        <f aca="false">IF(D24+E24=0,"-",D24/(D24+E24))</f>
        <v>-</v>
      </c>
    </row>
    <row r="25" customFormat="false" ht="19.5" hidden="false" customHeight="true" outlineLevel="0" collapsed="false">
      <c r="A25" s="23" t="s">
        <v>77</v>
      </c>
      <c r="B25" s="89" t="s">
        <v>16</v>
      </c>
      <c r="C25" s="5" t="n">
        <v>1</v>
      </c>
      <c r="D25" s="93" t="n">
        <f aca="false">COUNTIFS('Test Case Register'!B5:B700,"AMC Customers",'Test Case Register'!C5:C700,"Permissions",'Test Case Register'!G5:G700,"Pass")</f>
        <v>0</v>
      </c>
      <c r="E25" s="94" t="n">
        <f aca="false">COUNTIFS('Test Case Register'!B5:B700,"AMC Customers",'Test Case Register'!C5:C700,"Permissions",'Test Case Register'!G5:G700,"Fail")</f>
        <v>0</v>
      </c>
      <c r="F25" s="95" t="n">
        <f aca="false">COUNTIFS('Test Case Register'!B5:B700,"AMC Customers",'Test Case Register'!C5:C700,"Permissions",'Test Case Register'!G5:G700,"Blocked")</f>
        <v>0</v>
      </c>
      <c r="G25" s="25" t="str">
        <f aca="false">IF(D25+E25=0,"-",D25/(D25+E25))</f>
        <v>-</v>
      </c>
    </row>
    <row r="26" customFormat="false" ht="19.5" hidden="false" customHeight="true" outlineLevel="0" collapsed="false">
      <c r="A26" s="26" t="s">
        <v>81</v>
      </c>
      <c r="B26" s="89" t="s">
        <v>16</v>
      </c>
      <c r="C26" s="11" t="n">
        <v>1</v>
      </c>
      <c r="D26" s="90" t="n">
        <f aca="false">COUNTIFS('Test Case Register'!B5:B700,"AMC Customers",'Test Case Register'!C5:C700,"Data Integrity",'Test Case Register'!G5:G700,"Pass")</f>
        <v>0</v>
      </c>
      <c r="E26" s="91" t="n">
        <f aca="false">COUNTIFS('Test Case Register'!B5:B700,"AMC Customers",'Test Case Register'!C5:C700,"Data Integrity",'Test Case Register'!G5:G700,"Fail")</f>
        <v>0</v>
      </c>
      <c r="F26" s="92" t="n">
        <f aca="false">COUNTIFS('Test Case Register'!B5:B700,"AMC Customers",'Test Case Register'!C5:C700,"Data Integrity",'Test Case Register'!G5:G700,"Blocked")</f>
        <v>0</v>
      </c>
      <c r="G26" s="27" t="str">
        <f aca="false">IF(D26+E26=0,"-",D26/(D26+E26))</f>
        <v>-</v>
      </c>
    </row>
    <row r="27" customFormat="false" ht="19.5" hidden="false" customHeight="true" outlineLevel="0" collapsed="false">
      <c r="A27" s="23" t="s">
        <v>87</v>
      </c>
      <c r="B27" s="96" t="s">
        <v>86</v>
      </c>
      <c r="C27" s="5" t="n">
        <v>5</v>
      </c>
      <c r="D27" s="93" t="n">
        <f aca="false">COUNTIFS('Test Case Register'!B5:B700,"AMC Contract",'Test Case Register'!C5:C700,"Contract Creation",'Test Case Register'!G5:G700,"Pass")</f>
        <v>0</v>
      </c>
      <c r="E27" s="94" t="n">
        <f aca="false">COUNTIFS('Test Case Register'!B5:B700,"AMC Contract",'Test Case Register'!C5:C700,"Contract Creation",'Test Case Register'!G5:G700,"Fail")</f>
        <v>0</v>
      </c>
      <c r="F27" s="95" t="n">
        <f aca="false">COUNTIFS('Test Case Register'!B5:B700,"AMC Contract",'Test Case Register'!C5:C700,"Contract Creation",'Test Case Register'!G5:G700,"Blocked")</f>
        <v>0</v>
      </c>
      <c r="G27" s="25" t="str">
        <f aca="false">IF(D27+E27=0,"-",D27/(D27+E27))</f>
        <v>-</v>
      </c>
    </row>
    <row r="28" customFormat="false" ht="19.5" hidden="false" customHeight="true" outlineLevel="0" collapsed="false">
      <c r="A28" s="26" t="s">
        <v>100</v>
      </c>
      <c r="B28" s="96" t="s">
        <v>86</v>
      </c>
      <c r="C28" s="11" t="n">
        <v>3</v>
      </c>
      <c r="D28" s="90" t="n">
        <f aca="false">COUNTIFS('Test Case Register'!B5:B700,"AMC Contract",'Test Case Register'!C5:C700,"Contract Date Logic",'Test Case Register'!G5:G700,"Pass")</f>
        <v>0</v>
      </c>
      <c r="E28" s="91" t="n">
        <f aca="false">COUNTIFS('Test Case Register'!B5:B700,"AMC Contract",'Test Case Register'!C5:C700,"Contract Date Logic",'Test Case Register'!G5:G700,"Fail")</f>
        <v>0</v>
      </c>
      <c r="F28" s="92" t="n">
        <f aca="false">COUNTIFS('Test Case Register'!B5:B700,"AMC Contract",'Test Case Register'!C5:C700,"Contract Date Logic",'Test Case Register'!G5:G700,"Blocked")</f>
        <v>0</v>
      </c>
      <c r="G28" s="27" t="str">
        <f aca="false">IF(D28+E28=0,"-",D28/(D28+E28))</f>
        <v>-</v>
      </c>
    </row>
    <row r="29" customFormat="false" ht="19.5" hidden="false" customHeight="true" outlineLevel="0" collapsed="false">
      <c r="A29" s="23" t="s">
        <v>108</v>
      </c>
      <c r="B29" s="96" t="s">
        <v>86</v>
      </c>
      <c r="C29" s="5" t="n">
        <v>6</v>
      </c>
      <c r="D29" s="93" t="n">
        <f aca="false">COUNTIFS('Test Case Register'!B5:B700,"AMC Contract",'Test Case Register'!C5:C700,"Service Count &amp; Schedule",'Test Case Register'!G5:G700,"Pass")</f>
        <v>0</v>
      </c>
      <c r="E29" s="94" t="n">
        <f aca="false">COUNTIFS('Test Case Register'!B5:B700,"AMC Contract",'Test Case Register'!C5:C700,"Service Count &amp; Schedule",'Test Case Register'!G5:G700,"Fail")</f>
        <v>0</v>
      </c>
      <c r="F29" s="95" t="n">
        <f aca="false">COUNTIFS('Test Case Register'!B5:B700,"AMC Contract",'Test Case Register'!C5:C700,"Service Count &amp; Schedule",'Test Case Register'!G5:G700,"Blocked")</f>
        <v>0</v>
      </c>
      <c r="G29" s="25" t="str">
        <f aca="false">IF(D29+E29=0,"-",D29/(D29+E29))</f>
        <v>-</v>
      </c>
    </row>
    <row r="30" customFormat="false" ht="19.5" hidden="false" customHeight="true" outlineLevel="0" collapsed="false">
      <c r="A30" s="26" t="s">
        <v>124</v>
      </c>
      <c r="B30" s="96" t="s">
        <v>86</v>
      </c>
      <c r="C30" s="11" t="n">
        <v>4</v>
      </c>
      <c r="D30" s="90" t="n">
        <f aca="false">COUNTIFS('Test Case Register'!B5:B700,"AMC Contract",'Test Case Register'!C5:C700,"Customer &amp; Branch Linkage",'Test Case Register'!G5:G700,"Pass")</f>
        <v>0</v>
      </c>
      <c r="E30" s="91" t="n">
        <f aca="false">COUNTIFS('Test Case Register'!B5:B700,"AMC Contract",'Test Case Register'!C5:C700,"Customer &amp; Branch Linkage",'Test Case Register'!G5:G700,"Fail")</f>
        <v>0</v>
      </c>
      <c r="F30" s="92" t="n">
        <f aca="false">COUNTIFS('Test Case Register'!B5:B700,"AMC Contract",'Test Case Register'!C5:C700,"Customer &amp; Branch Linkage",'Test Case Register'!G5:G700,"Blocked")</f>
        <v>0</v>
      </c>
      <c r="G30" s="27" t="str">
        <f aca="false">IF(D30+E30=0,"-",D30/(D30+E30))</f>
        <v>-</v>
      </c>
    </row>
    <row r="31" customFormat="false" ht="19.5" hidden="false" customHeight="true" outlineLevel="0" collapsed="false">
      <c r="A31" s="23" t="s">
        <v>134</v>
      </c>
      <c r="B31" s="96" t="s">
        <v>86</v>
      </c>
      <c r="C31" s="5" t="n">
        <v>3</v>
      </c>
      <c r="D31" s="93" t="n">
        <f aca="false">COUNTIFS('Test Case Register'!B5:B700,"AMC Contract",'Test Case Register'!C5:C700,"Contract Status",'Test Case Register'!G5:G700,"Pass")</f>
        <v>0</v>
      </c>
      <c r="E31" s="94" t="n">
        <f aca="false">COUNTIFS('Test Case Register'!B5:B700,"AMC Contract",'Test Case Register'!C5:C700,"Contract Status",'Test Case Register'!G5:G700,"Fail")</f>
        <v>0</v>
      </c>
      <c r="F31" s="95" t="n">
        <f aca="false">COUNTIFS('Test Case Register'!B5:B700,"AMC Contract",'Test Case Register'!C5:C700,"Contract Status",'Test Case Register'!G5:G700,"Blocked")</f>
        <v>0</v>
      </c>
      <c r="G31" s="25" t="str">
        <f aca="false">IF(D31+E31=0,"-",D31/(D31+E31))</f>
        <v>-</v>
      </c>
    </row>
    <row r="32" customFormat="false" ht="19.5" hidden="false" customHeight="true" outlineLevel="0" collapsed="false">
      <c r="A32" s="26" t="s">
        <v>142</v>
      </c>
      <c r="B32" s="96" t="s">
        <v>86</v>
      </c>
      <c r="C32" s="11" t="n">
        <v>4</v>
      </c>
      <c r="D32" s="90" t="n">
        <f aca="false">COUNTIFS('Test Case Register'!B5:B700,"AMC Contract",'Test Case Register'!C5:C700,"Submit &amp; Amend Workflow",'Test Case Register'!G5:G700,"Pass")</f>
        <v>0</v>
      </c>
      <c r="E32" s="91" t="n">
        <f aca="false">COUNTIFS('Test Case Register'!B5:B700,"AMC Contract",'Test Case Register'!C5:C700,"Submit &amp; Amend Workflow",'Test Case Register'!G5:G700,"Fail")</f>
        <v>0</v>
      </c>
      <c r="F32" s="92" t="n">
        <f aca="false">COUNTIFS('Test Case Register'!B5:B700,"AMC Contract",'Test Case Register'!C5:C700,"Submit &amp; Amend Workflow",'Test Case Register'!G5:G700,"Blocked")</f>
        <v>0</v>
      </c>
      <c r="G32" s="27" t="str">
        <f aca="false">IF(D32+E32=0,"-",D32/(D32+E32))</f>
        <v>-</v>
      </c>
    </row>
    <row r="33" customFormat="false" ht="19.5" hidden="false" customHeight="true" outlineLevel="0" collapsed="false">
      <c r="A33" s="23" t="s">
        <v>153</v>
      </c>
      <c r="B33" s="96" t="s">
        <v>86</v>
      </c>
      <c r="C33" s="5" t="n">
        <v>1</v>
      </c>
      <c r="D33" s="93" t="n">
        <f aca="false">COUNTIFS('Test Case Register'!B5:B700,"AMC Contract",'Test Case Register'!C5:C700,"Company Branch",'Test Case Register'!G5:G700,"Pass")</f>
        <v>0</v>
      </c>
      <c r="E33" s="94" t="n">
        <f aca="false">COUNTIFS('Test Case Register'!B5:B700,"AMC Contract",'Test Case Register'!C5:C700,"Company Branch",'Test Case Register'!G5:G700,"Fail")</f>
        <v>0</v>
      </c>
      <c r="F33" s="95" t="n">
        <f aca="false">COUNTIFS('Test Case Register'!B5:B700,"AMC Contract",'Test Case Register'!C5:C700,"Company Branch",'Test Case Register'!G5:G700,"Blocked")</f>
        <v>0</v>
      </c>
      <c r="G33" s="25" t="str">
        <f aca="false">IF(D33+E33=0,"-",D33/(D33+E33))</f>
        <v>-</v>
      </c>
    </row>
    <row r="34" customFormat="false" ht="19.5" hidden="false" customHeight="true" outlineLevel="0" collapsed="false">
      <c r="A34" s="26" t="s">
        <v>156</v>
      </c>
      <c r="B34" s="96" t="s">
        <v>86</v>
      </c>
      <c r="C34" s="11" t="n">
        <v>3</v>
      </c>
      <c r="D34" s="90" t="n">
        <f aca="false">COUNTIFS('Test Case Register'!B5:B700,"AMC Contract",'Test Case Register'!C5:C700,"Service Calls Tab",'Test Case Register'!G5:G700,"Pass")</f>
        <v>0</v>
      </c>
      <c r="E34" s="91" t="n">
        <f aca="false">COUNTIFS('Test Case Register'!B5:B700,"AMC Contract",'Test Case Register'!C5:C700,"Service Calls Tab",'Test Case Register'!G5:G700,"Fail")</f>
        <v>0</v>
      </c>
      <c r="F34" s="92" t="n">
        <f aca="false">COUNTIFS('Test Case Register'!B5:B700,"AMC Contract",'Test Case Register'!C5:C700,"Service Calls Tab",'Test Case Register'!G5:G700,"Blocked")</f>
        <v>0</v>
      </c>
      <c r="G34" s="27" t="str">
        <f aca="false">IF(D34+E34=0,"-",D34/(D34+E34))</f>
        <v>-</v>
      </c>
    </row>
    <row r="35" customFormat="false" ht="19.5" hidden="false" customHeight="true" outlineLevel="0" collapsed="false">
      <c r="A35" s="23" t="s">
        <v>165</v>
      </c>
      <c r="B35" s="96" t="s">
        <v>86</v>
      </c>
      <c r="C35" s="5" t="n">
        <v>3</v>
      </c>
      <c r="D35" s="93" t="n">
        <f aca="false">COUNTIFS('Test Case Register'!B5:B700,"AMC Contract",'Test Case Register'!C5:C700,"Cross-DocType Integration",'Test Case Register'!G5:G700,"Pass")</f>
        <v>0</v>
      </c>
      <c r="E35" s="94" t="n">
        <f aca="false">COUNTIFS('Test Case Register'!B5:B700,"AMC Contract",'Test Case Register'!C5:C700,"Cross-DocType Integration",'Test Case Register'!G5:G700,"Fail")</f>
        <v>0</v>
      </c>
      <c r="F35" s="95" t="n">
        <f aca="false">COUNTIFS('Test Case Register'!B5:B700,"AMC Contract",'Test Case Register'!C5:C700,"Cross-DocType Integration",'Test Case Register'!G5:G700,"Blocked")</f>
        <v>0</v>
      </c>
      <c r="G35" s="25" t="str">
        <f aca="false">IF(D35+E35=0,"-",D35/(D35+E35))</f>
        <v>-</v>
      </c>
    </row>
    <row r="36" customFormat="false" ht="19.5" hidden="false" customHeight="true" outlineLevel="0" collapsed="false">
      <c r="A36" s="26" t="s">
        <v>175</v>
      </c>
      <c r="B36" s="97" t="s">
        <v>174</v>
      </c>
      <c r="C36" s="11" t="n">
        <v>4</v>
      </c>
      <c r="D36" s="90" t="n">
        <f aca="false">COUNTIFS('Test Case Register'!B5:B700,"Vendor",'Test Case Register'!C5:C700,"Vendor Creation &amp; Basic Details",'Test Case Register'!G5:G700,"Pass")</f>
        <v>0</v>
      </c>
      <c r="E36" s="91" t="n">
        <f aca="false">COUNTIFS('Test Case Register'!B5:B700,"Vendor",'Test Case Register'!C5:C700,"Vendor Creation &amp; Basic Details",'Test Case Register'!G5:G700,"Fail")</f>
        <v>0</v>
      </c>
      <c r="F36" s="92" t="n">
        <f aca="false">COUNTIFS('Test Case Register'!B5:B700,"Vendor",'Test Case Register'!C5:C700,"Vendor Creation &amp; Basic Details",'Test Case Register'!G5:G700,"Blocked")</f>
        <v>0</v>
      </c>
      <c r="G36" s="27" t="str">
        <f aca="false">IF(D36+E36=0,"-",D36/(D36+E36))</f>
        <v>-</v>
      </c>
    </row>
    <row r="37" customFormat="false" ht="19.5" hidden="false" customHeight="true" outlineLevel="0" collapsed="false">
      <c r="A37" s="23" t="s">
        <v>187</v>
      </c>
      <c r="B37" s="97" t="s">
        <v>174</v>
      </c>
      <c r="C37" s="5" t="n">
        <v>5</v>
      </c>
      <c r="D37" s="93" t="n">
        <f aca="false">COUNTIFS('Test Case Register'!B5:B700,"Vendor",'Test Case Register'!C5:C700,"Primary Contact Details",'Test Case Register'!G5:G700,"Pass")</f>
        <v>0</v>
      </c>
      <c r="E37" s="94" t="n">
        <f aca="false">COUNTIFS('Test Case Register'!B5:B700,"Vendor",'Test Case Register'!C5:C700,"Primary Contact Details",'Test Case Register'!G5:G700,"Fail")</f>
        <v>0</v>
      </c>
      <c r="F37" s="95" t="n">
        <f aca="false">COUNTIFS('Test Case Register'!B5:B700,"Vendor",'Test Case Register'!C5:C700,"Primary Contact Details",'Test Case Register'!G5:G700,"Blocked")</f>
        <v>0</v>
      </c>
      <c r="G37" s="25" t="str">
        <f aca="false">IF(D37+E37=0,"-",D37/(D37+E37))</f>
        <v>-</v>
      </c>
    </row>
    <row r="38" customFormat="false" ht="19.5" hidden="false" customHeight="true" outlineLevel="0" collapsed="false">
      <c r="A38" s="26" t="s">
        <v>199</v>
      </c>
      <c r="B38" s="97" t="s">
        <v>174</v>
      </c>
      <c r="C38" s="11" t="n">
        <v>4</v>
      </c>
      <c r="D38" s="90" t="n">
        <f aca="false">COUNTIFS('Test Case Register'!B5:B700,"Vendor",'Test Case Register'!C5:C700,"Tax Identification",'Test Case Register'!G5:G700,"Pass")</f>
        <v>0</v>
      </c>
      <c r="E38" s="91" t="n">
        <f aca="false">COUNTIFS('Test Case Register'!B5:B700,"Vendor",'Test Case Register'!C5:C700,"Tax Identification",'Test Case Register'!G5:G700,"Fail")</f>
        <v>0</v>
      </c>
      <c r="F38" s="92" t="n">
        <f aca="false">COUNTIFS('Test Case Register'!B5:B700,"Vendor",'Test Case Register'!C5:C700,"Tax Identification",'Test Case Register'!G5:G700,"Blocked")</f>
        <v>0</v>
      </c>
      <c r="G38" s="27" t="str">
        <f aca="false">IF(D38+E38=0,"-",D38/(D38+E38))</f>
        <v>-</v>
      </c>
    </row>
    <row r="39" customFormat="false" ht="19.5" hidden="false" customHeight="true" outlineLevel="0" collapsed="false">
      <c r="A39" s="23" t="s">
        <v>210</v>
      </c>
      <c r="B39" s="97" t="s">
        <v>174</v>
      </c>
      <c r="C39" s="5" t="n">
        <v>3</v>
      </c>
      <c r="D39" s="93" t="n">
        <f aca="false">COUNTIFS('Test Case Register'!B5:B700,"Vendor",'Test Case Register'!C5:C700,"Registered Address",'Test Case Register'!G5:G700,"Pass")</f>
        <v>0</v>
      </c>
      <c r="E39" s="94" t="n">
        <f aca="false">COUNTIFS('Test Case Register'!B5:B700,"Vendor",'Test Case Register'!C5:C700,"Registered Address",'Test Case Register'!G5:G700,"Fail")</f>
        <v>0</v>
      </c>
      <c r="F39" s="95" t="n">
        <f aca="false">COUNTIFS('Test Case Register'!B5:B700,"Vendor",'Test Case Register'!C5:C700,"Registered Address",'Test Case Register'!G5:G700,"Blocked")</f>
        <v>0</v>
      </c>
      <c r="G39" s="25" t="str">
        <f aca="false">IF(D39+E39=0,"-",D39/(D39+E39))</f>
        <v>-</v>
      </c>
    </row>
    <row r="40" customFormat="false" ht="19.5" hidden="false" customHeight="true" outlineLevel="0" collapsed="false">
      <c r="A40" s="26" t="s">
        <v>218</v>
      </c>
      <c r="B40" s="97" t="s">
        <v>174</v>
      </c>
      <c r="C40" s="11" t="n">
        <v>10</v>
      </c>
      <c r="D40" s="90" t="n">
        <f aca="false">COUNTIFS('Test Case Register'!B5:B700,"Vendor",'Test Case Register'!C5:C700,"Address Table",'Test Case Register'!G5:G700,"Pass")</f>
        <v>0</v>
      </c>
      <c r="E40" s="91" t="n">
        <f aca="false">COUNTIFS('Test Case Register'!B5:B700,"Vendor",'Test Case Register'!C5:C700,"Address Table",'Test Case Register'!G5:G700,"Fail")</f>
        <v>0</v>
      </c>
      <c r="F40" s="92" t="n">
        <f aca="false">COUNTIFS('Test Case Register'!B5:B700,"Vendor",'Test Case Register'!C5:C700,"Address Table",'Test Case Register'!G5:G700,"Blocked")</f>
        <v>0</v>
      </c>
      <c r="G40" s="27" t="str">
        <f aca="false">IF(D40+E40=0,"-",D40/(D40+E40))</f>
        <v>-</v>
      </c>
    </row>
    <row r="41" customFormat="false" ht="19.5" hidden="false" customHeight="true" outlineLevel="0" collapsed="false">
      <c r="A41" s="23" t="s">
        <v>242</v>
      </c>
      <c r="B41" s="97" t="s">
        <v>174</v>
      </c>
      <c r="C41" s="5" t="n">
        <v>4</v>
      </c>
      <c r="D41" s="93" t="n">
        <f aca="false">COUNTIFS('Test Case Register'!B5:B700,"Vendor",'Test Case Register'!C5:C700,"Data Validation",'Test Case Register'!G5:G700,"Pass")</f>
        <v>0</v>
      </c>
      <c r="E41" s="94" t="n">
        <f aca="false">COUNTIFS('Test Case Register'!B5:B700,"Vendor",'Test Case Register'!C5:C700,"Data Validation",'Test Case Register'!G5:G700,"Fail")</f>
        <v>0</v>
      </c>
      <c r="F41" s="95" t="n">
        <f aca="false">COUNTIFS('Test Case Register'!B5:B700,"Vendor",'Test Case Register'!C5:C700,"Data Validation",'Test Case Register'!G5:G700,"Blocked")</f>
        <v>0</v>
      </c>
      <c r="G41" s="25" t="str">
        <f aca="false">IF(D41+E41=0,"-",D41/(D41+E41))</f>
        <v>-</v>
      </c>
    </row>
    <row r="42" customFormat="false" ht="19.5" hidden="false" customHeight="true" outlineLevel="0" collapsed="false">
      <c r="A42" s="26" t="s">
        <v>251</v>
      </c>
      <c r="B42" s="97" t="s">
        <v>174</v>
      </c>
      <c r="C42" s="11" t="n">
        <v>5</v>
      </c>
      <c r="D42" s="90" t="n">
        <f aca="false">COUNTIFS('Test Case Register'!B5:B700,"Vendor",'Test Case Register'!C5:C700,"Editing &amp; Updates",'Test Case Register'!G5:G700,"Pass")</f>
        <v>0</v>
      </c>
      <c r="E42" s="91" t="n">
        <f aca="false">COUNTIFS('Test Case Register'!B5:B700,"Vendor",'Test Case Register'!C5:C700,"Editing &amp; Updates",'Test Case Register'!G5:G700,"Fail")</f>
        <v>0</v>
      </c>
      <c r="F42" s="92" t="n">
        <f aca="false">COUNTIFS('Test Case Register'!B5:B700,"Vendor",'Test Case Register'!C5:C700,"Editing &amp; Updates",'Test Case Register'!G5:G700,"Blocked")</f>
        <v>0</v>
      </c>
      <c r="G42" s="27" t="str">
        <f aca="false">IF(D42+E42=0,"-",D42/(D42+E42))</f>
        <v>-</v>
      </c>
    </row>
    <row r="43" customFormat="false" ht="19.5" hidden="false" customHeight="true" outlineLevel="0" collapsed="false">
      <c r="A43" s="23" t="s">
        <v>263</v>
      </c>
      <c r="B43" s="97" t="s">
        <v>174</v>
      </c>
      <c r="C43" s="5" t="n">
        <v>5</v>
      </c>
      <c r="D43" s="93" t="n">
        <f aca="false">COUNTIFS('Test Case Register'!B5:B700,"Vendor",'Test Case Register'!C5:C700,"Form Actions",'Test Case Register'!G5:G700,"Pass")</f>
        <v>0</v>
      </c>
      <c r="E43" s="94" t="n">
        <f aca="false">COUNTIFS('Test Case Register'!B5:B700,"Vendor",'Test Case Register'!C5:C700,"Form Actions",'Test Case Register'!G5:G700,"Fail")</f>
        <v>0</v>
      </c>
      <c r="F43" s="95" t="n">
        <f aca="false">COUNTIFS('Test Case Register'!B5:B700,"Vendor",'Test Case Register'!C5:C700,"Form Actions",'Test Case Register'!G5:G700,"Blocked")</f>
        <v>0</v>
      </c>
      <c r="G43" s="25" t="str">
        <f aca="false">IF(D43+E43=0,"-",D43/(D43+E43))</f>
        <v>-</v>
      </c>
    </row>
    <row r="44" customFormat="false" ht="19.5" hidden="false" customHeight="true" outlineLevel="0" collapsed="false">
      <c r="A44" s="26" t="s">
        <v>277</v>
      </c>
      <c r="B44" s="98" t="s">
        <v>276</v>
      </c>
      <c r="C44" s="11" t="n">
        <v>6</v>
      </c>
      <c r="D44" s="90" t="n">
        <f aca="false">COUNTIFS('Test Case Register'!B5:B700,"Attendance",'Test Case Register'!C5:C700,"Attendance Creation &amp; Basic Details",'Test Case Register'!G5:G700,"Pass")</f>
        <v>0</v>
      </c>
      <c r="E44" s="91" t="n">
        <f aca="false">COUNTIFS('Test Case Register'!B5:B700,"Attendance",'Test Case Register'!C5:C700,"Attendance Creation &amp; Basic Details",'Test Case Register'!G5:G700,"Fail")</f>
        <v>0</v>
      </c>
      <c r="F44" s="92" t="n">
        <f aca="false">COUNTIFS('Test Case Register'!B5:B700,"Attendance",'Test Case Register'!C5:C700,"Attendance Creation &amp; Basic Details",'Test Case Register'!G5:G700,"Blocked")</f>
        <v>0</v>
      </c>
      <c r="G44" s="27" t="str">
        <f aca="false">IF(D44+E44=0,"-",D44/(D44+E44))</f>
        <v>-</v>
      </c>
    </row>
    <row r="45" customFormat="false" ht="19.5" hidden="false" customHeight="true" outlineLevel="0" collapsed="false">
      <c r="A45" s="23" t="s">
        <v>293</v>
      </c>
      <c r="B45" s="98" t="s">
        <v>276</v>
      </c>
      <c r="C45" s="5" t="n">
        <v>3</v>
      </c>
      <c r="D45" s="93" t="n">
        <f aca="false">COUNTIFS('Test Case Register'!B5:B700,"Attendance",'Test Case Register'!C5:C700,"Series &amp; Auto-generation",'Test Case Register'!G5:G700,"Pass")</f>
        <v>0</v>
      </c>
      <c r="E45" s="94" t="n">
        <f aca="false">COUNTIFS('Test Case Register'!B5:B700,"Attendance",'Test Case Register'!C5:C700,"Series &amp; Auto-generation",'Test Case Register'!G5:G700,"Fail")</f>
        <v>0</v>
      </c>
      <c r="F45" s="95" t="n">
        <f aca="false">COUNTIFS('Test Case Register'!B5:B700,"Attendance",'Test Case Register'!C5:C700,"Series &amp; Auto-generation",'Test Case Register'!G5:G700,"Blocked")</f>
        <v>0</v>
      </c>
      <c r="G45" s="25" t="str">
        <f aca="false">IF(D45+E45=0,"-",D45/(D45+E45))</f>
        <v>-</v>
      </c>
    </row>
    <row r="46" customFormat="false" ht="19.5" hidden="false" customHeight="true" outlineLevel="0" collapsed="false">
      <c r="A46" s="26" t="s">
        <v>301</v>
      </c>
      <c r="B46" s="98" t="s">
        <v>276</v>
      </c>
      <c r="C46" s="11" t="n">
        <v>4</v>
      </c>
      <c r="D46" s="90" t="n">
        <f aca="false">COUNTIFS('Test Case Register'!B5:B700,"Attendance",'Test Case Register'!C5:C700,"Employee Selection",'Test Case Register'!G5:G700,"Pass")</f>
        <v>0</v>
      </c>
      <c r="E46" s="91" t="n">
        <f aca="false">COUNTIFS('Test Case Register'!B5:B700,"Attendance",'Test Case Register'!C5:C700,"Employee Selection",'Test Case Register'!G5:G700,"Fail")</f>
        <v>0</v>
      </c>
      <c r="F46" s="92" t="n">
        <f aca="false">COUNTIFS('Test Case Register'!B5:B700,"Attendance",'Test Case Register'!C5:C700,"Employee Selection",'Test Case Register'!G5:G700,"Blocked")</f>
        <v>0</v>
      </c>
      <c r="G46" s="27" t="str">
        <f aca="false">IF(D46+E46=0,"-",D46/(D46+E46))</f>
        <v>-</v>
      </c>
    </row>
    <row r="47" customFormat="false" ht="19.5" hidden="false" customHeight="true" outlineLevel="0" collapsed="false">
      <c r="A47" s="23" t="s">
        <v>312</v>
      </c>
      <c r="B47" s="98" t="s">
        <v>276</v>
      </c>
      <c r="C47" s="5" t="n">
        <v>5</v>
      </c>
      <c r="D47" s="93" t="n">
        <f aca="false">COUNTIFS('Test Case Register'!B5:B700,"Attendance",'Test Case Register'!C5:C700,"Attendance Date",'Test Case Register'!G5:G700,"Pass")</f>
        <v>0</v>
      </c>
      <c r="E47" s="94" t="n">
        <f aca="false">COUNTIFS('Test Case Register'!B5:B700,"Attendance",'Test Case Register'!C5:C700,"Attendance Date",'Test Case Register'!G5:G700,"Fail")</f>
        <v>0</v>
      </c>
      <c r="F47" s="95" t="n">
        <f aca="false">COUNTIFS('Test Case Register'!B5:B700,"Attendance",'Test Case Register'!C5:C700,"Attendance Date",'Test Case Register'!G5:G700,"Blocked")</f>
        <v>0</v>
      </c>
      <c r="G47" s="25" t="str">
        <f aca="false">IF(D47+E47=0,"-",D47/(D47+E47))</f>
        <v>-</v>
      </c>
    </row>
    <row r="48" customFormat="false" ht="19.5" hidden="false" customHeight="true" outlineLevel="0" collapsed="false">
      <c r="A48" s="26" t="s">
        <v>324</v>
      </c>
      <c r="B48" s="98" t="s">
        <v>276</v>
      </c>
      <c r="C48" s="11" t="n">
        <v>3</v>
      </c>
      <c r="D48" s="90" t="n">
        <f aca="false">COUNTIFS('Test Case Register'!B5:B700,"Attendance",'Test Case Register'!C5:C700,"Status Management",'Test Case Register'!G5:G700,"Pass")</f>
        <v>0</v>
      </c>
      <c r="E48" s="91" t="n">
        <f aca="false">COUNTIFS('Test Case Register'!B5:B700,"Attendance",'Test Case Register'!C5:C700,"Status Management",'Test Case Register'!G5:G700,"Fail")</f>
        <v>0</v>
      </c>
      <c r="F48" s="92" t="n">
        <f aca="false">COUNTIFS('Test Case Register'!B5:B700,"Attendance",'Test Case Register'!C5:C700,"Status Management",'Test Case Register'!G5:G700,"Blocked")</f>
        <v>0</v>
      </c>
      <c r="G48" s="27" t="str">
        <f aca="false">IF(D48+E48=0,"-",D48/(D48+E48))</f>
        <v>-</v>
      </c>
    </row>
    <row r="49" customFormat="false" ht="19.5" hidden="false" customHeight="true" outlineLevel="0" collapsed="false">
      <c r="A49" s="23" t="s">
        <v>331</v>
      </c>
      <c r="B49" s="98" t="s">
        <v>276</v>
      </c>
      <c r="C49" s="5" t="n">
        <v>3</v>
      </c>
      <c r="D49" s="93" t="n">
        <f aca="false">COUNTIFS('Test Case Register'!B5:B700,"Attendance",'Test Case Register'!C5:C700,"Company Assignment",'Test Case Register'!G5:G700,"Pass")</f>
        <v>0</v>
      </c>
      <c r="E49" s="94" t="n">
        <f aca="false">COUNTIFS('Test Case Register'!B5:B700,"Attendance",'Test Case Register'!C5:C700,"Company Assignment",'Test Case Register'!G5:G700,"Fail")</f>
        <v>0</v>
      </c>
      <c r="F49" s="95" t="n">
        <f aca="false">COUNTIFS('Test Case Register'!B5:B700,"Attendance",'Test Case Register'!C5:C700,"Company Assignment",'Test Case Register'!G5:G700,"Blocked")</f>
        <v>0</v>
      </c>
      <c r="G49" s="25" t="str">
        <f aca="false">IF(D49+E49=0,"-",D49/(D49+E49))</f>
        <v>-</v>
      </c>
    </row>
    <row r="50" customFormat="false" ht="19.5" hidden="false" customHeight="true" outlineLevel="0" collapsed="false">
      <c r="A50" s="26" t="s">
        <v>339</v>
      </c>
      <c r="B50" s="98" t="s">
        <v>276</v>
      </c>
      <c r="C50" s="11" t="n">
        <v>4</v>
      </c>
      <c r="D50" s="90" t="n">
        <f aca="false">COUNTIFS('Test Case Register'!B5:B700,"Attendance",'Test Case Register'!C5:C700,"Shift Details",'Test Case Register'!G5:G700,"Pass")</f>
        <v>0</v>
      </c>
      <c r="E50" s="91" t="n">
        <f aca="false">COUNTIFS('Test Case Register'!B5:B700,"Attendance",'Test Case Register'!C5:C700,"Shift Details",'Test Case Register'!G5:G700,"Fail")</f>
        <v>0</v>
      </c>
      <c r="F50" s="92" t="n">
        <f aca="false">COUNTIFS('Test Case Register'!B5:B700,"Attendance",'Test Case Register'!C5:C700,"Shift Details",'Test Case Register'!G5:G700,"Blocked")</f>
        <v>0</v>
      </c>
      <c r="G50" s="27" t="str">
        <f aca="false">IF(D50+E50=0,"-",D50/(D50+E50))</f>
        <v>-</v>
      </c>
    </row>
    <row r="51" customFormat="false" ht="19.5" hidden="false" customHeight="true" outlineLevel="0" collapsed="false">
      <c r="A51" s="23" t="s">
        <v>349</v>
      </c>
      <c r="B51" s="98" t="s">
        <v>276</v>
      </c>
      <c r="C51" s="5" t="n">
        <v>5</v>
      </c>
      <c r="D51" s="93" t="n">
        <f aca="false">COUNTIFS('Test Case Register'!B5:B700,"Attendance",'Test Case Register'!C5:C700,"Late Entry Tracking",'Test Case Register'!G5:G700,"Pass")</f>
        <v>0</v>
      </c>
      <c r="E51" s="94" t="n">
        <f aca="false">COUNTIFS('Test Case Register'!B5:B700,"Attendance",'Test Case Register'!C5:C700,"Late Entry Tracking",'Test Case Register'!G5:G700,"Fail")</f>
        <v>0</v>
      </c>
      <c r="F51" s="95" t="n">
        <f aca="false">COUNTIFS('Test Case Register'!B5:B700,"Attendance",'Test Case Register'!C5:C700,"Late Entry Tracking",'Test Case Register'!G5:G700,"Blocked")</f>
        <v>0</v>
      </c>
      <c r="G51" s="25" t="str">
        <f aca="false">IF(D51+E51=0,"-",D51/(D51+E51))</f>
        <v>-</v>
      </c>
    </row>
    <row r="52" customFormat="false" ht="19.5" hidden="false" customHeight="true" outlineLevel="0" collapsed="false">
      <c r="A52" s="26" t="s">
        <v>361</v>
      </c>
      <c r="B52" s="98" t="s">
        <v>276</v>
      </c>
      <c r="C52" s="11" t="n">
        <v>5</v>
      </c>
      <c r="D52" s="90" t="n">
        <f aca="false">COUNTIFS('Test Case Register'!B5:B700,"Attendance",'Test Case Register'!C5:C700,"Early Exit Tracking",'Test Case Register'!G5:G700,"Pass")</f>
        <v>0</v>
      </c>
      <c r="E52" s="91" t="n">
        <f aca="false">COUNTIFS('Test Case Register'!B5:B700,"Attendance",'Test Case Register'!C5:C700,"Early Exit Tracking",'Test Case Register'!G5:G700,"Fail")</f>
        <v>0</v>
      </c>
      <c r="F52" s="92" t="n">
        <f aca="false">COUNTIFS('Test Case Register'!B5:B700,"Attendance",'Test Case Register'!C5:C700,"Early Exit Tracking",'Test Case Register'!G5:G700,"Blocked")</f>
        <v>0</v>
      </c>
      <c r="G52" s="27" t="str">
        <f aca="false">IF(D52+E52=0,"-",D52/(D52+E52))</f>
        <v>-</v>
      </c>
    </row>
    <row r="53" customFormat="false" ht="19.5" hidden="false" customHeight="true" outlineLevel="0" collapsed="false">
      <c r="A53" s="23" t="s">
        <v>373</v>
      </c>
      <c r="B53" s="98" t="s">
        <v>276</v>
      </c>
      <c r="C53" s="5" t="n">
        <v>2</v>
      </c>
      <c r="D53" s="93" t="n">
        <f aca="false">COUNTIFS('Test Case Register'!B5:B700,"Attendance",'Test Case Register'!C5:C700,"Late Entry &amp; Early Exit Combination",'Test Case Register'!G5:G700,"Pass")</f>
        <v>0</v>
      </c>
      <c r="E53" s="94" t="n">
        <f aca="false">COUNTIFS('Test Case Register'!B5:B700,"Attendance",'Test Case Register'!C5:C700,"Late Entry &amp; Early Exit Combination",'Test Case Register'!G5:G700,"Fail")</f>
        <v>0</v>
      </c>
      <c r="F53" s="95" t="n">
        <f aca="false">COUNTIFS('Test Case Register'!B5:B700,"Attendance",'Test Case Register'!C5:C700,"Late Entry &amp; Early Exit Combination",'Test Case Register'!G5:G700,"Blocked")</f>
        <v>0</v>
      </c>
      <c r="G53" s="25" t="str">
        <f aca="false">IF(D53+E53=0,"-",D53/(D53+E53))</f>
        <v>-</v>
      </c>
    </row>
    <row r="54" customFormat="false" ht="19.5" hidden="false" customHeight="true" outlineLevel="0" collapsed="false">
      <c r="A54" s="26" t="s">
        <v>242</v>
      </c>
      <c r="B54" s="98" t="s">
        <v>276</v>
      </c>
      <c r="C54" s="11" t="n">
        <v>3</v>
      </c>
      <c r="D54" s="90" t="n">
        <f aca="false">COUNTIFS('Test Case Register'!B5:B700,"Attendance",'Test Case Register'!C5:C700,"Data Validation",'Test Case Register'!G5:G700,"Pass")</f>
        <v>0</v>
      </c>
      <c r="E54" s="91" t="n">
        <f aca="false">COUNTIFS('Test Case Register'!B5:B700,"Attendance",'Test Case Register'!C5:C700,"Data Validation",'Test Case Register'!G5:G700,"Fail")</f>
        <v>0</v>
      </c>
      <c r="F54" s="92" t="n">
        <f aca="false">COUNTIFS('Test Case Register'!B5:B700,"Attendance",'Test Case Register'!C5:C700,"Data Validation",'Test Case Register'!G5:G700,"Blocked")</f>
        <v>0</v>
      </c>
      <c r="G54" s="27" t="str">
        <f aca="false">IF(D54+E54=0,"-",D54/(D54+E54))</f>
        <v>-</v>
      </c>
    </row>
    <row r="55" customFormat="false" ht="19.5" hidden="false" customHeight="true" outlineLevel="0" collapsed="false">
      <c r="A55" s="23" t="s">
        <v>251</v>
      </c>
      <c r="B55" s="98" t="s">
        <v>276</v>
      </c>
      <c r="C55" s="5" t="n">
        <v>6</v>
      </c>
      <c r="D55" s="93" t="n">
        <f aca="false">COUNTIFS('Test Case Register'!B5:B700,"Attendance",'Test Case Register'!C5:C700,"Editing &amp; Updates",'Test Case Register'!G5:G700,"Pass")</f>
        <v>0</v>
      </c>
      <c r="E55" s="94" t="n">
        <f aca="false">COUNTIFS('Test Case Register'!B5:B700,"Attendance",'Test Case Register'!C5:C700,"Editing &amp; Updates",'Test Case Register'!G5:G700,"Fail")</f>
        <v>0</v>
      </c>
      <c r="F55" s="95" t="n">
        <f aca="false">COUNTIFS('Test Case Register'!B5:B700,"Attendance",'Test Case Register'!C5:C700,"Editing &amp; Updates",'Test Case Register'!G5:G700,"Blocked")</f>
        <v>0</v>
      </c>
      <c r="G55" s="25" t="str">
        <f aca="false">IF(D55+E55=0,"-",D55/(D55+E55))</f>
        <v>-</v>
      </c>
    </row>
    <row r="56" customFormat="false" ht="19.5" hidden="false" customHeight="true" outlineLevel="0" collapsed="false">
      <c r="A56" s="26" t="s">
        <v>263</v>
      </c>
      <c r="B56" s="98" t="s">
        <v>276</v>
      </c>
      <c r="C56" s="11" t="n">
        <v>3</v>
      </c>
      <c r="D56" s="90" t="n">
        <f aca="false">COUNTIFS('Test Case Register'!B5:B700,"Attendance",'Test Case Register'!C5:C700,"Form Actions",'Test Case Register'!G5:G700,"Pass")</f>
        <v>0</v>
      </c>
      <c r="E56" s="91" t="n">
        <f aca="false">COUNTIFS('Test Case Register'!B5:B700,"Attendance",'Test Case Register'!C5:C700,"Form Actions",'Test Case Register'!G5:G700,"Fail")</f>
        <v>0</v>
      </c>
      <c r="F56" s="92" t="n">
        <f aca="false">COUNTIFS('Test Case Register'!B5:B700,"Attendance",'Test Case Register'!C5:C700,"Form Actions",'Test Case Register'!G5:G700,"Blocked")</f>
        <v>0</v>
      </c>
      <c r="G56" s="27" t="str">
        <f aca="false">IF(D56+E56=0,"-",D56/(D56+E56))</f>
        <v>-</v>
      </c>
    </row>
    <row r="57" customFormat="false" ht="19.5" hidden="false" customHeight="true" outlineLevel="0" collapsed="false">
      <c r="A57" s="23" t="s">
        <v>405</v>
      </c>
      <c r="B57" s="99" t="s">
        <v>404</v>
      </c>
      <c r="C57" s="5" t="n">
        <v>2</v>
      </c>
      <c r="D57" s="93" t="n">
        <f aca="false">COUNTIFS('Test Case Register'!B5:B700,"Expense Claim",'Test Case Register'!C5:C700,"Expense Claim Creation &amp; Basic Details",'Test Case Register'!G5:G700,"Pass")</f>
        <v>0</v>
      </c>
      <c r="E57" s="94" t="n">
        <f aca="false">COUNTIFS('Test Case Register'!B5:B700,"Expense Claim",'Test Case Register'!C5:C700,"Expense Claim Creation &amp; Basic Details",'Test Case Register'!G5:G700,"Fail")</f>
        <v>0</v>
      </c>
      <c r="F57" s="95" t="n">
        <f aca="false">COUNTIFS('Test Case Register'!B5:B700,"Expense Claim",'Test Case Register'!C5:C700,"Expense Claim Creation &amp; Basic Details",'Test Case Register'!G5:G700,"Blocked")</f>
        <v>0</v>
      </c>
      <c r="G57" s="25" t="str">
        <f aca="false">IF(D57+E57=0,"-",D57/(D57+E57))</f>
        <v>-</v>
      </c>
    </row>
    <row r="58" customFormat="false" ht="19.5" hidden="false" customHeight="true" outlineLevel="0" collapsed="false">
      <c r="A58" s="26" t="s">
        <v>293</v>
      </c>
      <c r="B58" s="99" t="s">
        <v>404</v>
      </c>
      <c r="C58" s="11" t="n">
        <v>3</v>
      </c>
      <c r="D58" s="90" t="n">
        <f aca="false">COUNTIFS('Test Case Register'!B5:B700,"Expense Claim",'Test Case Register'!C5:C700,"Series &amp; Auto-generation",'Test Case Register'!G5:G700,"Pass")</f>
        <v>0</v>
      </c>
      <c r="E58" s="91" t="n">
        <f aca="false">COUNTIFS('Test Case Register'!B5:B700,"Expense Claim",'Test Case Register'!C5:C700,"Series &amp; Auto-generation",'Test Case Register'!G5:G700,"Fail")</f>
        <v>0</v>
      </c>
      <c r="F58" s="92" t="n">
        <f aca="false">COUNTIFS('Test Case Register'!B5:B700,"Expense Claim",'Test Case Register'!C5:C700,"Series &amp; Auto-generation",'Test Case Register'!G5:G700,"Blocked")</f>
        <v>0</v>
      </c>
      <c r="G58" s="27" t="str">
        <f aca="false">IF(D58+E58=0,"-",D58/(D58+E58))</f>
        <v>-</v>
      </c>
    </row>
    <row r="59" customFormat="false" ht="19.5" hidden="false" customHeight="true" outlineLevel="0" collapsed="false">
      <c r="A59" s="23" t="s">
        <v>301</v>
      </c>
      <c r="B59" s="99" t="s">
        <v>404</v>
      </c>
      <c r="C59" s="5" t="n">
        <v>4</v>
      </c>
      <c r="D59" s="93" t="n">
        <f aca="false">COUNTIFS('Test Case Register'!B5:B700,"Expense Claim",'Test Case Register'!C5:C700,"Employee Selection",'Test Case Register'!G5:G700,"Pass")</f>
        <v>0</v>
      </c>
      <c r="E59" s="94" t="n">
        <f aca="false">COUNTIFS('Test Case Register'!B5:B700,"Expense Claim",'Test Case Register'!C5:C700,"Employee Selection",'Test Case Register'!G5:G700,"Fail")</f>
        <v>0</v>
      </c>
      <c r="F59" s="95" t="n">
        <f aca="false">COUNTIFS('Test Case Register'!B5:B700,"Expense Claim",'Test Case Register'!C5:C700,"Employee Selection",'Test Case Register'!G5:G700,"Blocked")</f>
        <v>0</v>
      </c>
      <c r="G59" s="25" t="str">
        <f aca="false">IF(D59+E59=0,"-",D59/(D59+E59))</f>
        <v>-</v>
      </c>
    </row>
    <row r="60" customFormat="false" ht="19.5" hidden="false" customHeight="true" outlineLevel="0" collapsed="false">
      <c r="A60" s="26" t="s">
        <v>426</v>
      </c>
      <c r="B60" s="99" t="s">
        <v>404</v>
      </c>
      <c r="C60" s="11" t="n">
        <v>4</v>
      </c>
      <c r="D60" s="90" t="n">
        <f aca="false">COUNTIFS('Test Case Register'!B5:B700,"Expense Claim",'Test Case Register'!C5:C700,"Company Details",'Test Case Register'!G5:G700,"Pass")</f>
        <v>0</v>
      </c>
      <c r="E60" s="91" t="n">
        <f aca="false">COUNTIFS('Test Case Register'!B5:B700,"Expense Claim",'Test Case Register'!C5:C700,"Company Details",'Test Case Register'!G5:G700,"Fail")</f>
        <v>0</v>
      </c>
      <c r="F60" s="92" t="n">
        <f aca="false">COUNTIFS('Test Case Register'!B5:B700,"Expense Claim",'Test Case Register'!C5:C700,"Company Details",'Test Case Register'!G5:G700,"Blocked")</f>
        <v>0</v>
      </c>
      <c r="G60" s="27" t="str">
        <f aca="false">IF(D60+E60=0,"-",D60/(D60+E60))</f>
        <v>-</v>
      </c>
    </row>
    <row r="61" customFormat="false" ht="19.5" hidden="false" customHeight="true" outlineLevel="0" collapsed="false">
      <c r="A61" s="23" t="s">
        <v>435</v>
      </c>
      <c r="B61" s="99" t="s">
        <v>404</v>
      </c>
      <c r="C61" s="5" t="n">
        <v>3</v>
      </c>
      <c r="D61" s="93" t="n">
        <f aca="false">COUNTIFS('Test Case Register'!B5:B700,"Expense Claim",'Test Case Register'!C5:C700,"Expense Approver",'Test Case Register'!G5:G700,"Pass")</f>
        <v>0</v>
      </c>
      <c r="E61" s="94" t="n">
        <f aca="false">COUNTIFS('Test Case Register'!B5:B700,"Expense Claim",'Test Case Register'!C5:C700,"Expense Approver",'Test Case Register'!G5:G700,"Fail")</f>
        <v>0</v>
      </c>
      <c r="F61" s="95" t="n">
        <f aca="false">COUNTIFS('Test Case Register'!B5:B700,"Expense Claim",'Test Case Register'!C5:C700,"Expense Approver",'Test Case Register'!G5:G700,"Blocked")</f>
        <v>0</v>
      </c>
      <c r="G61" s="25" t="str">
        <f aca="false">IF(D61+E61=0,"-",D61/(D61+E61))</f>
        <v>-</v>
      </c>
    </row>
    <row r="62" customFormat="false" ht="19.5" hidden="false" customHeight="true" outlineLevel="0" collapsed="false">
      <c r="A62" s="26" t="s">
        <v>443</v>
      </c>
      <c r="B62" s="99" t="s">
        <v>404</v>
      </c>
      <c r="C62" s="11" t="n">
        <v>4</v>
      </c>
      <c r="D62" s="90" t="n">
        <f aca="false">COUNTIFS('Test Case Register'!B5:B700,"Expense Claim",'Test Case Register'!C5:C700,"Approval Status",'Test Case Register'!G5:G700,"Pass")</f>
        <v>0</v>
      </c>
      <c r="E62" s="91" t="n">
        <f aca="false">COUNTIFS('Test Case Register'!B5:B700,"Expense Claim",'Test Case Register'!C5:C700,"Approval Status",'Test Case Register'!G5:G700,"Fail")</f>
        <v>0</v>
      </c>
      <c r="F62" s="92" t="n">
        <f aca="false">COUNTIFS('Test Case Register'!B5:B700,"Expense Claim",'Test Case Register'!C5:C700,"Approval Status",'Test Case Register'!G5:G700,"Blocked")</f>
        <v>0</v>
      </c>
      <c r="G62" s="27" t="str">
        <f aca="false">IF(D62+E62=0,"-",D62/(D62+E62))</f>
        <v>-</v>
      </c>
    </row>
    <row r="63" customFormat="false" ht="19.5" hidden="false" customHeight="true" outlineLevel="0" collapsed="false">
      <c r="A63" s="23" t="s">
        <v>453</v>
      </c>
      <c r="B63" s="99" t="s">
        <v>404</v>
      </c>
      <c r="C63" s="5" t="n">
        <v>13</v>
      </c>
      <c r="D63" s="93" t="n">
        <f aca="false">COUNTIFS('Test Case Register'!B5:B700,"Expense Claim",'Test Case Register'!C5:C700,"Expenses Table",'Test Case Register'!G5:G700,"Pass")</f>
        <v>0</v>
      </c>
      <c r="E63" s="94" t="n">
        <f aca="false">COUNTIFS('Test Case Register'!B5:B700,"Expense Claim",'Test Case Register'!C5:C700,"Expenses Table",'Test Case Register'!G5:G700,"Fail")</f>
        <v>0</v>
      </c>
      <c r="F63" s="95" t="n">
        <f aca="false">COUNTIFS('Test Case Register'!B5:B700,"Expense Claim",'Test Case Register'!C5:C700,"Expenses Table",'Test Case Register'!G5:G700,"Blocked")</f>
        <v>0</v>
      </c>
      <c r="G63" s="25" t="str">
        <f aca="false">IF(D63+E63=0,"-",D63/(D63+E63))</f>
        <v>-</v>
      </c>
    </row>
    <row r="64" customFormat="false" ht="19.5" hidden="false" customHeight="true" outlineLevel="0" collapsed="false">
      <c r="A64" s="26" t="s">
        <v>484</v>
      </c>
      <c r="B64" s="99" t="s">
        <v>404</v>
      </c>
      <c r="C64" s="11" t="n">
        <v>7</v>
      </c>
      <c r="D64" s="90" t="n">
        <f aca="false">COUNTIFS('Test Case Register'!B5:B700,"Expense Claim",'Test Case Register'!C5:C700,"Taxes &amp; Charges",'Test Case Register'!G5:G700,"Pass")</f>
        <v>0</v>
      </c>
      <c r="E64" s="91" t="n">
        <f aca="false">COUNTIFS('Test Case Register'!B5:B700,"Expense Claim",'Test Case Register'!C5:C700,"Taxes &amp; Charges",'Test Case Register'!G5:G700,"Fail")</f>
        <v>0</v>
      </c>
      <c r="F64" s="92" t="n">
        <f aca="false">COUNTIFS('Test Case Register'!B5:B700,"Expense Claim",'Test Case Register'!C5:C700,"Taxes &amp; Charges",'Test Case Register'!G5:G700,"Blocked")</f>
        <v>0</v>
      </c>
      <c r="G64" s="27" t="str">
        <f aca="false">IF(D64+E64=0,"-",D64/(D64+E64))</f>
        <v>-</v>
      </c>
    </row>
    <row r="65" customFormat="false" ht="19.5" hidden="false" customHeight="true" outlineLevel="0" collapsed="false">
      <c r="A65" s="23" t="s">
        <v>501</v>
      </c>
      <c r="B65" s="99" t="s">
        <v>404</v>
      </c>
      <c r="C65" s="5" t="n">
        <v>6</v>
      </c>
      <c r="D65" s="93" t="n">
        <f aca="false">COUNTIFS('Test Case Register'!B5:B700,"Expense Claim",'Test Case Register'!C5:C700,"Accounting Details",'Test Case Register'!G5:G700,"Pass")</f>
        <v>0</v>
      </c>
      <c r="E65" s="94" t="n">
        <f aca="false">COUNTIFS('Test Case Register'!B5:B700,"Expense Claim",'Test Case Register'!C5:C700,"Accounting Details",'Test Case Register'!G5:G700,"Fail")</f>
        <v>0</v>
      </c>
      <c r="F65" s="95" t="n">
        <f aca="false">COUNTIFS('Test Case Register'!B5:B700,"Expense Claim",'Test Case Register'!C5:C700,"Accounting Details",'Test Case Register'!G5:G700,"Blocked")</f>
        <v>0</v>
      </c>
      <c r="G65" s="25" t="str">
        <f aca="false">IF(D65+E65=0,"-",D65/(D65+E65))</f>
        <v>-</v>
      </c>
    </row>
    <row r="66" customFormat="false" ht="19.5" hidden="false" customHeight="true" outlineLevel="0" collapsed="false">
      <c r="A66" s="26" t="s">
        <v>242</v>
      </c>
      <c r="B66" s="99" t="s">
        <v>404</v>
      </c>
      <c r="C66" s="11" t="n">
        <v>4</v>
      </c>
      <c r="D66" s="90" t="n">
        <f aca="false">COUNTIFS('Test Case Register'!B5:B700,"Expense Claim",'Test Case Register'!C5:C700,"Data Validation",'Test Case Register'!G5:G700,"Pass")</f>
        <v>0</v>
      </c>
      <c r="E66" s="91" t="n">
        <f aca="false">COUNTIFS('Test Case Register'!B5:B700,"Expense Claim",'Test Case Register'!C5:C700,"Data Validation",'Test Case Register'!G5:G700,"Fail")</f>
        <v>0</v>
      </c>
      <c r="F66" s="92" t="n">
        <f aca="false">COUNTIFS('Test Case Register'!B5:B700,"Expense Claim",'Test Case Register'!C5:C700,"Data Validation",'Test Case Register'!G5:G700,"Blocked")</f>
        <v>0</v>
      </c>
      <c r="G66" s="27" t="str">
        <f aca="false">IF(D66+E66=0,"-",D66/(D66+E66))</f>
        <v>-</v>
      </c>
    </row>
    <row r="67" customFormat="false" ht="19.5" hidden="false" customHeight="true" outlineLevel="0" collapsed="false">
      <c r="A67" s="23" t="s">
        <v>251</v>
      </c>
      <c r="B67" s="99" t="s">
        <v>404</v>
      </c>
      <c r="C67" s="5" t="n">
        <v>4</v>
      </c>
      <c r="D67" s="93" t="n">
        <f aca="false">COUNTIFS('Test Case Register'!B5:B700,"Expense Claim",'Test Case Register'!C5:C700,"Editing &amp; Updates",'Test Case Register'!G5:G700,"Pass")</f>
        <v>0</v>
      </c>
      <c r="E67" s="94" t="n">
        <f aca="false">COUNTIFS('Test Case Register'!B5:B700,"Expense Claim",'Test Case Register'!C5:C700,"Editing &amp; Updates",'Test Case Register'!G5:G700,"Fail")</f>
        <v>0</v>
      </c>
      <c r="F67" s="95" t="n">
        <f aca="false">COUNTIFS('Test Case Register'!B5:B700,"Expense Claim",'Test Case Register'!C5:C700,"Editing &amp; Updates",'Test Case Register'!G5:G700,"Blocked")</f>
        <v>0</v>
      </c>
      <c r="G67" s="25" t="str">
        <f aca="false">IF(D67+E67=0,"-",D67/(D67+E67))</f>
        <v>-</v>
      </c>
    </row>
    <row r="68" customFormat="false" ht="19.5" hidden="false" customHeight="true" outlineLevel="0" collapsed="false">
      <c r="A68" s="26" t="s">
        <v>263</v>
      </c>
      <c r="B68" s="99" t="s">
        <v>404</v>
      </c>
      <c r="C68" s="11" t="n">
        <v>6</v>
      </c>
      <c r="D68" s="90" t="n">
        <f aca="false">COUNTIFS('Test Case Register'!B5:B700,"Expense Claim",'Test Case Register'!C5:C700,"Form Actions",'Test Case Register'!G5:G700,"Pass")</f>
        <v>0</v>
      </c>
      <c r="E68" s="91" t="n">
        <f aca="false">COUNTIFS('Test Case Register'!B5:B700,"Expense Claim",'Test Case Register'!C5:C700,"Form Actions",'Test Case Register'!G5:G700,"Fail")</f>
        <v>0</v>
      </c>
      <c r="F68" s="92" t="n">
        <f aca="false">COUNTIFS('Test Case Register'!B5:B700,"Expense Claim",'Test Case Register'!C5:C700,"Form Actions",'Test Case Register'!G5:G700,"Blocked")</f>
        <v>0</v>
      </c>
      <c r="G68" s="27" t="str">
        <f aca="false">IF(D68+E68=0,"-",D68/(D68+E68))</f>
        <v>-</v>
      </c>
    </row>
    <row r="69" customFormat="false" ht="19.5" hidden="false" customHeight="true" outlineLevel="0" collapsed="false">
      <c r="A69" s="23" t="s">
        <v>546</v>
      </c>
      <c r="B69" s="100" t="s">
        <v>545</v>
      </c>
      <c r="C69" s="5" t="n">
        <v>2</v>
      </c>
      <c r="D69" s="93" t="n">
        <f aca="false">COUNTIFS('Test Case Register'!B5:B700,"Leave Application",'Test Case Register'!C5:C700,"Leave Application Creation &amp; Basic Details",'Test Case Register'!G5:G700,"Pass")</f>
        <v>0</v>
      </c>
      <c r="E69" s="94" t="n">
        <f aca="false">COUNTIFS('Test Case Register'!B5:B700,"Leave Application",'Test Case Register'!C5:C700,"Leave Application Creation &amp; Basic Details",'Test Case Register'!G5:G700,"Fail")</f>
        <v>0</v>
      </c>
      <c r="F69" s="95" t="n">
        <f aca="false">COUNTIFS('Test Case Register'!B5:B700,"Leave Application",'Test Case Register'!C5:C700,"Leave Application Creation &amp; Basic Details",'Test Case Register'!G5:G700,"Blocked")</f>
        <v>0</v>
      </c>
      <c r="G69" s="25" t="str">
        <f aca="false">IF(D69+E69=0,"-",D69/(D69+E69))</f>
        <v>-</v>
      </c>
    </row>
    <row r="70" customFormat="false" ht="19.5" hidden="false" customHeight="true" outlineLevel="0" collapsed="false">
      <c r="A70" s="26" t="s">
        <v>293</v>
      </c>
      <c r="B70" s="100" t="s">
        <v>545</v>
      </c>
      <c r="C70" s="11" t="n">
        <v>3</v>
      </c>
      <c r="D70" s="90" t="n">
        <f aca="false">COUNTIFS('Test Case Register'!B5:B700,"Leave Application",'Test Case Register'!C5:C700,"Series &amp; Auto-generation",'Test Case Register'!G5:G700,"Pass")</f>
        <v>0</v>
      </c>
      <c r="E70" s="91" t="n">
        <f aca="false">COUNTIFS('Test Case Register'!B5:B700,"Leave Application",'Test Case Register'!C5:C700,"Series &amp; Auto-generation",'Test Case Register'!G5:G700,"Fail")</f>
        <v>0</v>
      </c>
      <c r="F70" s="92" t="n">
        <f aca="false">COUNTIFS('Test Case Register'!B5:B700,"Leave Application",'Test Case Register'!C5:C700,"Series &amp; Auto-generation",'Test Case Register'!G5:G700,"Blocked")</f>
        <v>0</v>
      </c>
      <c r="G70" s="27" t="str">
        <f aca="false">IF(D70+E70=0,"-",D70/(D70+E70))</f>
        <v>-</v>
      </c>
    </row>
    <row r="71" customFormat="false" ht="19.5" hidden="false" customHeight="true" outlineLevel="0" collapsed="false">
      <c r="A71" s="23" t="s">
        <v>301</v>
      </c>
      <c r="B71" s="100" t="s">
        <v>545</v>
      </c>
      <c r="C71" s="5" t="n">
        <v>3</v>
      </c>
      <c r="D71" s="93" t="n">
        <f aca="false">COUNTIFS('Test Case Register'!B5:B700,"Leave Application",'Test Case Register'!C5:C700,"Employee Selection",'Test Case Register'!G5:G700,"Pass")</f>
        <v>0</v>
      </c>
      <c r="E71" s="94" t="n">
        <f aca="false">COUNTIFS('Test Case Register'!B5:B700,"Leave Application",'Test Case Register'!C5:C700,"Employee Selection",'Test Case Register'!G5:G700,"Fail")</f>
        <v>0</v>
      </c>
      <c r="F71" s="95" t="n">
        <f aca="false">COUNTIFS('Test Case Register'!B5:B700,"Leave Application",'Test Case Register'!C5:C700,"Employee Selection",'Test Case Register'!G5:G700,"Blocked")</f>
        <v>0</v>
      </c>
      <c r="G71" s="25" t="str">
        <f aca="false">IF(D71+E71=0,"-",D71/(D71+E71))</f>
        <v>-</v>
      </c>
    </row>
    <row r="72" customFormat="false" ht="19.5" hidden="false" customHeight="true" outlineLevel="0" collapsed="false">
      <c r="A72" s="26" t="s">
        <v>564</v>
      </c>
      <c r="B72" s="100" t="s">
        <v>545</v>
      </c>
      <c r="C72" s="11" t="n">
        <v>4</v>
      </c>
      <c r="D72" s="90" t="n">
        <f aca="false">COUNTIFS('Test Case Register'!B5:B700,"Leave Application",'Test Case Register'!C5:C700,"Leave Type Selection",'Test Case Register'!G5:G700,"Pass")</f>
        <v>0</v>
      </c>
      <c r="E72" s="91" t="n">
        <f aca="false">COUNTIFS('Test Case Register'!B5:B700,"Leave Application",'Test Case Register'!C5:C700,"Leave Type Selection",'Test Case Register'!G5:G700,"Fail")</f>
        <v>0</v>
      </c>
      <c r="F72" s="92" t="n">
        <f aca="false">COUNTIFS('Test Case Register'!B5:B700,"Leave Application",'Test Case Register'!C5:C700,"Leave Type Selection",'Test Case Register'!G5:G700,"Blocked")</f>
        <v>0</v>
      </c>
      <c r="G72" s="27" t="str">
        <f aca="false">IF(D72+E72=0,"-",D72/(D72+E72))</f>
        <v>-</v>
      </c>
    </row>
    <row r="73" customFormat="false" ht="19.5" hidden="false" customHeight="true" outlineLevel="0" collapsed="false">
      <c r="A73" s="23" t="s">
        <v>426</v>
      </c>
      <c r="B73" s="100" t="s">
        <v>545</v>
      </c>
      <c r="C73" s="5" t="n">
        <v>3</v>
      </c>
      <c r="D73" s="93" t="n">
        <f aca="false">COUNTIFS('Test Case Register'!B5:B700,"Leave Application",'Test Case Register'!C5:C700,"Company Details",'Test Case Register'!G5:G700,"Pass")</f>
        <v>0</v>
      </c>
      <c r="E73" s="94" t="n">
        <f aca="false">COUNTIFS('Test Case Register'!B5:B700,"Leave Application",'Test Case Register'!C5:C700,"Company Details",'Test Case Register'!G5:G700,"Fail")</f>
        <v>0</v>
      </c>
      <c r="F73" s="95" t="n">
        <f aca="false">COUNTIFS('Test Case Register'!B5:B700,"Leave Application",'Test Case Register'!C5:C700,"Company Details",'Test Case Register'!G5:G700,"Blocked")</f>
        <v>0</v>
      </c>
      <c r="G73" s="25" t="str">
        <f aca="false">IF(D73+E73=0,"-",D73/(D73+E73))</f>
        <v>-</v>
      </c>
    </row>
    <row r="74" customFormat="false" ht="19.5" hidden="false" customHeight="true" outlineLevel="0" collapsed="false">
      <c r="A74" s="26" t="s">
        <v>580</v>
      </c>
      <c r="B74" s="100" t="s">
        <v>545</v>
      </c>
      <c r="C74" s="11" t="n">
        <v>7</v>
      </c>
      <c r="D74" s="90" t="n">
        <f aca="false">COUNTIFS('Test Case Register'!B5:B700,"Leave Application",'Test Case Register'!C5:C700,"Date Range",'Test Case Register'!G5:G700,"Pass")</f>
        <v>0</v>
      </c>
      <c r="E74" s="91" t="n">
        <f aca="false">COUNTIFS('Test Case Register'!B5:B700,"Leave Application",'Test Case Register'!C5:C700,"Date Range",'Test Case Register'!G5:G700,"Fail")</f>
        <v>0</v>
      </c>
      <c r="F74" s="92" t="n">
        <f aca="false">COUNTIFS('Test Case Register'!B5:B700,"Leave Application",'Test Case Register'!C5:C700,"Date Range",'Test Case Register'!G5:G700,"Blocked")</f>
        <v>0</v>
      </c>
      <c r="G74" s="27" t="str">
        <f aca="false">IF(D74+E74=0,"-",D74/(D74+E74))</f>
        <v>-</v>
      </c>
    </row>
    <row r="75" customFormat="false" ht="19.5" hidden="false" customHeight="true" outlineLevel="0" collapsed="false">
      <c r="A75" s="23" t="s">
        <v>596</v>
      </c>
      <c r="B75" s="100" t="s">
        <v>545</v>
      </c>
      <c r="C75" s="5" t="n">
        <v>6</v>
      </c>
      <c r="D75" s="93" t="n">
        <f aca="false">COUNTIFS('Test Case Register'!B5:B700,"Leave Application",'Test Case Register'!C5:C700,"Half Day Leave",'Test Case Register'!G5:G700,"Pass")</f>
        <v>0</v>
      </c>
      <c r="E75" s="94" t="n">
        <f aca="false">COUNTIFS('Test Case Register'!B5:B700,"Leave Application",'Test Case Register'!C5:C700,"Half Day Leave",'Test Case Register'!G5:G700,"Fail")</f>
        <v>0</v>
      </c>
      <c r="F75" s="95" t="n">
        <f aca="false">COUNTIFS('Test Case Register'!B5:B700,"Leave Application",'Test Case Register'!C5:C700,"Half Day Leave",'Test Case Register'!G5:G700,"Blocked")</f>
        <v>0</v>
      </c>
      <c r="G75" s="25" t="str">
        <f aca="false">IF(D75+E75=0,"-",D75/(D75+E75))</f>
        <v>-</v>
      </c>
    </row>
    <row r="76" customFormat="false" ht="19.5" hidden="false" customHeight="true" outlineLevel="0" collapsed="false">
      <c r="A76" s="26" t="s">
        <v>610</v>
      </c>
      <c r="B76" s="100" t="s">
        <v>545</v>
      </c>
      <c r="C76" s="11" t="n">
        <v>3</v>
      </c>
      <c r="D76" s="90" t="n">
        <f aca="false">COUNTIFS('Test Case Register'!B5:B700,"Leave Application",'Test Case Register'!C5:C700,"Reason",'Test Case Register'!G5:G700,"Pass")</f>
        <v>0</v>
      </c>
      <c r="E76" s="91" t="n">
        <f aca="false">COUNTIFS('Test Case Register'!B5:B700,"Leave Application",'Test Case Register'!C5:C700,"Reason",'Test Case Register'!G5:G700,"Fail")</f>
        <v>0</v>
      </c>
      <c r="F76" s="92" t="n">
        <f aca="false">COUNTIFS('Test Case Register'!B5:B700,"Leave Application",'Test Case Register'!C5:C700,"Reason",'Test Case Register'!G5:G700,"Blocked")</f>
        <v>0</v>
      </c>
      <c r="G76" s="27" t="str">
        <f aca="false">IF(D76+E76=0,"-",D76/(D76+E76))</f>
        <v>-</v>
      </c>
    </row>
    <row r="77" customFormat="false" ht="19.5" hidden="false" customHeight="true" outlineLevel="0" collapsed="false">
      <c r="A77" s="23" t="s">
        <v>618</v>
      </c>
      <c r="B77" s="100" t="s">
        <v>545</v>
      </c>
      <c r="C77" s="5" t="n">
        <v>4</v>
      </c>
      <c r="D77" s="93" t="n">
        <f aca="false">COUNTIFS('Test Case Register'!B5:B700,"Leave Application",'Test Case Register'!C5:C700,"Leave Approver",'Test Case Register'!G5:G700,"Pass")</f>
        <v>0</v>
      </c>
      <c r="E77" s="94" t="n">
        <f aca="false">COUNTIFS('Test Case Register'!B5:B700,"Leave Application",'Test Case Register'!C5:C700,"Leave Approver",'Test Case Register'!G5:G700,"Fail")</f>
        <v>0</v>
      </c>
      <c r="F77" s="95" t="n">
        <f aca="false">COUNTIFS('Test Case Register'!B5:B700,"Leave Application",'Test Case Register'!C5:C700,"Leave Approver",'Test Case Register'!G5:G700,"Blocked")</f>
        <v>0</v>
      </c>
      <c r="G77" s="25" t="str">
        <f aca="false">IF(D77+E77=0,"-",D77/(D77+E77))</f>
        <v>-</v>
      </c>
    </row>
    <row r="78" customFormat="false" ht="19.5" hidden="false" customHeight="true" outlineLevel="0" collapsed="false">
      <c r="A78" s="26" t="s">
        <v>627</v>
      </c>
      <c r="B78" s="100" t="s">
        <v>545</v>
      </c>
      <c r="C78" s="11" t="n">
        <v>3</v>
      </c>
      <c r="D78" s="90" t="n">
        <f aca="false">COUNTIFS('Test Case Register'!B5:B700,"Leave Application",'Test Case Register'!C5:C700,"Posting Date",'Test Case Register'!G5:G700,"Pass")</f>
        <v>0</v>
      </c>
      <c r="E78" s="91" t="n">
        <f aca="false">COUNTIFS('Test Case Register'!B5:B700,"Leave Application",'Test Case Register'!C5:C700,"Posting Date",'Test Case Register'!G5:G700,"Fail")</f>
        <v>0</v>
      </c>
      <c r="F78" s="92" t="n">
        <f aca="false">COUNTIFS('Test Case Register'!B5:B700,"Leave Application",'Test Case Register'!C5:C700,"Posting Date",'Test Case Register'!G5:G700,"Blocked")</f>
        <v>0</v>
      </c>
      <c r="G78" s="27" t="str">
        <f aca="false">IF(D78+E78=0,"-",D78/(D78+E78))</f>
        <v>-</v>
      </c>
    </row>
    <row r="79" customFormat="false" ht="19.5" hidden="false" customHeight="true" outlineLevel="0" collapsed="false">
      <c r="A79" s="23" t="s">
        <v>635</v>
      </c>
      <c r="B79" s="100" t="s">
        <v>545</v>
      </c>
      <c r="C79" s="5" t="n">
        <v>5</v>
      </c>
      <c r="D79" s="93" t="n">
        <f aca="false">COUNTIFS('Test Case Register'!B5:B700,"Leave Application",'Test Case Register'!C5:C700,"Leave Balance",'Test Case Register'!G5:G700,"Pass")</f>
        <v>0</v>
      </c>
      <c r="E79" s="94" t="n">
        <f aca="false">COUNTIFS('Test Case Register'!B5:B700,"Leave Application",'Test Case Register'!C5:C700,"Leave Balance",'Test Case Register'!G5:G700,"Fail")</f>
        <v>0</v>
      </c>
      <c r="F79" s="95" t="n">
        <f aca="false">COUNTIFS('Test Case Register'!B5:B700,"Leave Application",'Test Case Register'!C5:C700,"Leave Balance",'Test Case Register'!G5:G700,"Blocked")</f>
        <v>0</v>
      </c>
      <c r="G79" s="25" t="str">
        <f aca="false">IF(D79+E79=0,"-",D79/(D79+E79))</f>
        <v>-</v>
      </c>
    </row>
    <row r="80" customFormat="false" ht="19.5" hidden="false" customHeight="true" outlineLevel="0" collapsed="false">
      <c r="A80" s="26" t="s">
        <v>646</v>
      </c>
      <c r="B80" s="100" t="s">
        <v>545</v>
      </c>
      <c r="C80" s="11" t="n">
        <v>5</v>
      </c>
      <c r="D80" s="90" t="n">
        <f aca="false">COUNTIFS('Test Case Register'!B5:B700,"Leave Application",'Test Case Register'!C5:C700,"Status &amp; Workflow",'Test Case Register'!G5:G700,"Pass")</f>
        <v>0</v>
      </c>
      <c r="E80" s="91" t="n">
        <f aca="false">COUNTIFS('Test Case Register'!B5:B700,"Leave Application",'Test Case Register'!C5:C700,"Status &amp; Workflow",'Test Case Register'!G5:G700,"Fail")</f>
        <v>0</v>
      </c>
      <c r="F80" s="92" t="n">
        <f aca="false">COUNTIFS('Test Case Register'!B5:B700,"Leave Application",'Test Case Register'!C5:C700,"Status &amp; Workflow",'Test Case Register'!G5:G700,"Blocked")</f>
        <v>0</v>
      </c>
      <c r="G80" s="27" t="str">
        <f aca="false">IF(D80+E80=0,"-",D80/(D80+E80))</f>
        <v>-</v>
      </c>
    </row>
    <row r="81" customFormat="false" ht="19.5" hidden="false" customHeight="true" outlineLevel="0" collapsed="false">
      <c r="A81" s="23" t="s">
        <v>242</v>
      </c>
      <c r="B81" s="100" t="s">
        <v>545</v>
      </c>
      <c r="C81" s="5" t="n">
        <v>5</v>
      </c>
      <c r="D81" s="93" t="n">
        <f aca="false">COUNTIFS('Test Case Register'!B5:B700,"Leave Application",'Test Case Register'!C5:C700,"Data Validation",'Test Case Register'!G5:G700,"Pass")</f>
        <v>0</v>
      </c>
      <c r="E81" s="94" t="n">
        <f aca="false">COUNTIFS('Test Case Register'!B5:B700,"Leave Application",'Test Case Register'!C5:C700,"Data Validation",'Test Case Register'!G5:G700,"Fail")</f>
        <v>0</v>
      </c>
      <c r="F81" s="95" t="n">
        <f aca="false">COUNTIFS('Test Case Register'!B5:B700,"Leave Application",'Test Case Register'!C5:C700,"Data Validation",'Test Case Register'!G5:G700,"Blocked")</f>
        <v>0</v>
      </c>
      <c r="G81" s="25" t="str">
        <f aca="false">IF(D81+E81=0,"-",D81/(D81+E81))</f>
        <v>-</v>
      </c>
    </row>
    <row r="82" customFormat="false" ht="19.5" hidden="false" customHeight="true" outlineLevel="0" collapsed="false">
      <c r="A82" s="26" t="s">
        <v>251</v>
      </c>
      <c r="B82" s="100" t="s">
        <v>545</v>
      </c>
      <c r="C82" s="11" t="n">
        <v>5</v>
      </c>
      <c r="D82" s="90" t="n">
        <f aca="false">COUNTIFS('Test Case Register'!B5:B700,"Leave Application",'Test Case Register'!C5:C700,"Editing &amp; Updates",'Test Case Register'!G5:G700,"Pass")</f>
        <v>0</v>
      </c>
      <c r="E82" s="91" t="n">
        <f aca="false">COUNTIFS('Test Case Register'!B5:B700,"Leave Application",'Test Case Register'!C5:C700,"Editing &amp; Updates",'Test Case Register'!G5:G700,"Fail")</f>
        <v>0</v>
      </c>
      <c r="F82" s="92" t="n">
        <f aca="false">COUNTIFS('Test Case Register'!B5:B700,"Leave Application",'Test Case Register'!C5:C700,"Editing &amp; Updates",'Test Case Register'!G5:G700,"Blocked")</f>
        <v>0</v>
      </c>
      <c r="G82" s="27" t="str">
        <f aca="false">IF(D82+E82=0,"-",D82/(D82+E82))</f>
        <v>-</v>
      </c>
    </row>
    <row r="83" customFormat="false" ht="19.5" hidden="false" customHeight="true" outlineLevel="0" collapsed="false">
      <c r="A83" s="23" t="s">
        <v>263</v>
      </c>
      <c r="B83" s="100" t="s">
        <v>545</v>
      </c>
      <c r="C83" s="5" t="n">
        <v>7</v>
      </c>
      <c r="D83" s="93" t="n">
        <f aca="false">COUNTIFS('Test Case Register'!B5:B700,"Leave Application",'Test Case Register'!C5:C700,"Form Actions",'Test Case Register'!G5:G700,"Pass")</f>
        <v>0</v>
      </c>
      <c r="E83" s="94" t="n">
        <f aca="false">COUNTIFS('Test Case Register'!B5:B700,"Leave Application",'Test Case Register'!C5:C700,"Form Actions",'Test Case Register'!G5:G700,"Fail")</f>
        <v>0</v>
      </c>
      <c r="F83" s="95" t="n">
        <f aca="false">COUNTIFS('Test Case Register'!B5:B700,"Leave Application",'Test Case Register'!C5:C700,"Form Actions",'Test Case Register'!G5:G700,"Blocked")</f>
        <v>0</v>
      </c>
      <c r="G83" s="25" t="str">
        <f aca="false">IF(D83+E83=0,"-",D83/(D83+E83))</f>
        <v>-</v>
      </c>
    </row>
    <row r="84" customFormat="false" ht="19.5" hidden="false" customHeight="true" outlineLevel="0" collapsed="false">
      <c r="A84" s="26" t="s">
        <v>694</v>
      </c>
      <c r="B84" s="101" t="s">
        <v>693</v>
      </c>
      <c r="C84" s="11" t="n">
        <v>5</v>
      </c>
      <c r="D84" s="90" t="n">
        <f aca="false">COUNTIFS('Test Case Register'!B5:B700,"Service Call",'Test Case Register'!C5:C700,"Service Call Creation &amp; Basic Details",'Test Case Register'!G5:G700,"Pass")</f>
        <v>0</v>
      </c>
      <c r="E84" s="91" t="n">
        <f aca="false">COUNTIFS('Test Case Register'!B5:B700,"Service Call",'Test Case Register'!C5:C700,"Service Call Creation &amp; Basic Details",'Test Case Register'!G5:G700,"Fail")</f>
        <v>0</v>
      </c>
      <c r="F84" s="92" t="n">
        <f aca="false">COUNTIFS('Test Case Register'!B5:B700,"Service Call",'Test Case Register'!C5:C700,"Service Call Creation &amp; Basic Details",'Test Case Register'!G5:G700,"Blocked")</f>
        <v>0</v>
      </c>
      <c r="G84" s="27" t="str">
        <f aca="false">IF(D84+E84=0,"-",D84/(D84+E84))</f>
        <v>-</v>
      </c>
    </row>
    <row r="85" customFormat="false" ht="19.5" hidden="false" customHeight="true" outlineLevel="0" collapsed="false">
      <c r="A85" s="23" t="s">
        <v>709</v>
      </c>
      <c r="B85" s="101" t="s">
        <v>693</v>
      </c>
      <c r="C85" s="5" t="n">
        <v>4</v>
      </c>
      <c r="D85" s="93" t="n">
        <f aca="false">COUNTIFS('Test Case Register'!B5:B700,"Service Call",'Test Case Register'!C5:C700,"Customer &amp; Location Validation",'Test Case Register'!G5:G700,"Pass")</f>
        <v>0</v>
      </c>
      <c r="E85" s="94" t="n">
        <f aca="false">COUNTIFS('Test Case Register'!B5:B700,"Service Call",'Test Case Register'!C5:C700,"Customer &amp; Location Validation",'Test Case Register'!G5:G700,"Fail")</f>
        <v>0</v>
      </c>
      <c r="F85" s="95" t="n">
        <f aca="false">COUNTIFS('Test Case Register'!B5:B700,"Service Call",'Test Case Register'!C5:C700,"Customer &amp; Location Validation",'Test Case Register'!G5:G700,"Blocked")</f>
        <v>0</v>
      </c>
      <c r="G85" s="25" t="str">
        <f aca="false">IF(D85+E85=0,"-",D85/(D85+E85))</f>
        <v>-</v>
      </c>
    </row>
    <row r="86" customFormat="false" ht="19.5" hidden="false" customHeight="true" outlineLevel="0" collapsed="false">
      <c r="A86" s="26" t="s">
        <v>719</v>
      </c>
      <c r="B86" s="101" t="s">
        <v>693</v>
      </c>
      <c r="C86" s="11" t="n">
        <v>4</v>
      </c>
      <c r="D86" s="90" t="n">
        <f aca="false">COUNTIFS('Test Case Register'!B5:B700,"Service Call",'Test Case Register'!C5:C700,"Technician Assignment",'Test Case Register'!G5:G700,"Pass")</f>
        <v>0</v>
      </c>
      <c r="E86" s="91" t="n">
        <f aca="false">COUNTIFS('Test Case Register'!B5:B700,"Service Call",'Test Case Register'!C5:C700,"Technician Assignment",'Test Case Register'!G5:G700,"Fail")</f>
        <v>0</v>
      </c>
      <c r="F86" s="92" t="n">
        <f aca="false">COUNTIFS('Test Case Register'!B5:B700,"Service Call",'Test Case Register'!C5:C700,"Technician Assignment",'Test Case Register'!G5:G700,"Blocked")</f>
        <v>0</v>
      </c>
      <c r="G86" s="27" t="str">
        <f aca="false">IF(D86+E86=0,"-",D86/(D86+E86))</f>
        <v>-</v>
      </c>
    </row>
    <row r="87" customFormat="false" ht="19.5" hidden="false" customHeight="true" outlineLevel="0" collapsed="false">
      <c r="A87" s="23" t="s">
        <v>729</v>
      </c>
      <c r="B87" s="101" t="s">
        <v>693</v>
      </c>
      <c r="C87" s="5" t="n">
        <v>5</v>
      </c>
      <c r="D87" s="93" t="n">
        <f aca="false">COUNTIFS('Test Case Register'!B5:B700,"Service Call",'Test Case Register'!C5:C700,"Priority &amp; Status Management",'Test Case Register'!G5:G700,"Pass")</f>
        <v>0</v>
      </c>
      <c r="E87" s="94" t="n">
        <f aca="false">COUNTIFS('Test Case Register'!B5:B700,"Service Call",'Test Case Register'!C5:C700,"Priority &amp; Status Management",'Test Case Register'!G5:G700,"Fail")</f>
        <v>0</v>
      </c>
      <c r="F87" s="95" t="n">
        <f aca="false">COUNTIFS('Test Case Register'!B5:B700,"Service Call",'Test Case Register'!C5:C700,"Priority &amp; Status Management",'Test Case Register'!G5:G700,"Blocked")</f>
        <v>0</v>
      </c>
      <c r="G87" s="25" t="str">
        <f aca="false">IF(D87+E87=0,"-",D87/(D87+E87))</f>
        <v>-</v>
      </c>
    </row>
    <row r="88" customFormat="false" ht="19.5" hidden="false" customHeight="true" outlineLevel="0" collapsed="false">
      <c r="A88" s="26" t="s">
        <v>742</v>
      </c>
      <c r="B88" s="101" t="s">
        <v>693</v>
      </c>
      <c r="C88" s="11" t="n">
        <v>4</v>
      </c>
      <c r="D88" s="90" t="n">
        <f aca="false">COUNTIFS('Test Case Register'!B5:B700,"Service Call",'Test Case Register'!C5:C700,"Service Date &amp; Time",'Test Case Register'!G5:G700,"Pass")</f>
        <v>0</v>
      </c>
      <c r="E88" s="91" t="n">
        <f aca="false">COUNTIFS('Test Case Register'!B5:B700,"Service Call",'Test Case Register'!C5:C700,"Service Date &amp; Time",'Test Case Register'!G5:G700,"Fail")</f>
        <v>0</v>
      </c>
      <c r="F88" s="92" t="n">
        <f aca="false">COUNTIFS('Test Case Register'!B5:B700,"Service Call",'Test Case Register'!C5:C700,"Service Date &amp; Time",'Test Case Register'!G5:G700,"Blocked")</f>
        <v>0</v>
      </c>
      <c r="G88" s="27" t="str">
        <f aca="false">IF(D88+E88=0,"-",D88/(D88+E88))</f>
        <v>-</v>
      </c>
    </row>
    <row r="89" customFormat="false" ht="19.5" hidden="false" customHeight="true" outlineLevel="0" collapsed="false">
      <c r="A89" s="23" t="s">
        <v>752</v>
      </c>
      <c r="B89" s="101" t="s">
        <v>693</v>
      </c>
      <c r="C89" s="5" t="n">
        <v>5</v>
      </c>
      <c r="D89" s="93" t="n">
        <f aca="false">COUNTIFS('Test Case Register'!B5:B700,"Service Call",'Test Case Register'!C5:C700,"Service Items &amp; Inventory",'Test Case Register'!G5:G700,"Pass")</f>
        <v>0</v>
      </c>
      <c r="E89" s="94" t="n">
        <f aca="false">COUNTIFS('Test Case Register'!B5:B700,"Service Call",'Test Case Register'!C5:C700,"Service Items &amp; Inventory",'Test Case Register'!G5:G700,"Fail")</f>
        <v>0</v>
      </c>
      <c r="F89" s="95" t="n">
        <f aca="false">COUNTIFS('Test Case Register'!B5:B700,"Service Call",'Test Case Register'!C5:C700,"Service Items &amp; Inventory",'Test Case Register'!G5:G700,"Blocked")</f>
        <v>0</v>
      </c>
      <c r="G89" s="25" t="str">
        <f aca="false">IF(D89+E89=0,"-",D89/(D89+E89))</f>
        <v>-</v>
      </c>
    </row>
    <row r="90" customFormat="false" ht="19.5" hidden="false" customHeight="true" outlineLevel="0" collapsed="false">
      <c r="A90" s="26" t="s">
        <v>763</v>
      </c>
      <c r="B90" s="101" t="s">
        <v>693</v>
      </c>
      <c r="C90" s="11" t="n">
        <v>4</v>
      </c>
      <c r="D90" s="90" t="n">
        <f aca="false">COUNTIFS('Test Case Register'!B5:B700,"Service Call",'Test Case Register'!C5:C700,"Billing &amp; Cost Calculation",'Test Case Register'!G5:G700,"Pass")</f>
        <v>0</v>
      </c>
      <c r="E90" s="91" t="n">
        <f aca="false">COUNTIFS('Test Case Register'!B5:B700,"Service Call",'Test Case Register'!C5:C700,"Billing &amp; Cost Calculation",'Test Case Register'!G5:G700,"Fail")</f>
        <v>0</v>
      </c>
      <c r="F90" s="92" t="n">
        <f aca="false">COUNTIFS('Test Case Register'!B5:B700,"Service Call",'Test Case Register'!C5:C700,"Billing &amp; Cost Calculation",'Test Case Register'!G5:G700,"Blocked")</f>
        <v>0</v>
      </c>
      <c r="G90" s="27" t="str">
        <f aca="false">IF(D90+E90=0,"-",D90/(D90+E90))</f>
        <v>-</v>
      </c>
    </row>
    <row r="91" customFormat="false" ht="19.5" hidden="false" customHeight="true" outlineLevel="0" collapsed="false">
      <c r="A91" s="23" t="s">
        <v>773</v>
      </c>
      <c r="B91" s="101" t="s">
        <v>693</v>
      </c>
      <c r="C91" s="5" t="n">
        <v>3</v>
      </c>
      <c r="D91" s="93" t="n">
        <f aca="false">COUNTIFS('Test Case Register'!B5:B700,"Service Call",'Test Case Register'!C5:C700,"SLA &amp; Warranty",'Test Case Register'!G5:G700,"Pass")</f>
        <v>0</v>
      </c>
      <c r="E91" s="94" t="n">
        <f aca="false">COUNTIFS('Test Case Register'!B5:B700,"Service Call",'Test Case Register'!C5:C700,"SLA &amp; Warranty",'Test Case Register'!G5:G700,"Fail")</f>
        <v>0</v>
      </c>
      <c r="F91" s="95" t="n">
        <f aca="false">COUNTIFS('Test Case Register'!B5:B700,"Service Call",'Test Case Register'!C5:C700,"SLA &amp; Warranty",'Test Case Register'!G5:G700,"Blocked")</f>
        <v>0</v>
      </c>
      <c r="G91" s="25" t="str">
        <f aca="false">IF(D91+E91=0,"-",D91/(D91+E91))</f>
        <v>-</v>
      </c>
    </row>
    <row r="92" customFormat="false" ht="19.5" hidden="false" customHeight="true" outlineLevel="0" collapsed="false">
      <c r="A92" s="26" t="s">
        <v>781</v>
      </c>
      <c r="B92" s="101" t="s">
        <v>693</v>
      </c>
      <c r="C92" s="11" t="n">
        <v>4</v>
      </c>
      <c r="D92" s="90" t="n">
        <f aca="false">COUNTIFS('Test Case Register'!B5:B700,"Service Call",'Test Case Register'!C5:C700,"Documentation",'Test Case Register'!G5:G700,"Pass")</f>
        <v>0</v>
      </c>
      <c r="E92" s="91" t="n">
        <f aca="false">COUNTIFS('Test Case Register'!B5:B700,"Service Call",'Test Case Register'!C5:C700,"Documentation",'Test Case Register'!G5:G700,"Fail")</f>
        <v>0</v>
      </c>
      <c r="F92" s="92" t="n">
        <f aca="false">COUNTIFS('Test Case Register'!B5:B700,"Service Call",'Test Case Register'!C5:C700,"Documentation",'Test Case Register'!G5:G700,"Blocked")</f>
        <v>0</v>
      </c>
      <c r="G92" s="27" t="str">
        <f aca="false">IF(D92+E92=0,"-",D92/(D92+E92))</f>
        <v>-</v>
      </c>
    </row>
    <row r="93" customFormat="false" ht="19.5" hidden="false" customHeight="true" outlineLevel="0" collapsed="false">
      <c r="A93" s="23" t="s">
        <v>242</v>
      </c>
      <c r="B93" s="101" t="s">
        <v>693</v>
      </c>
      <c r="C93" s="5" t="n">
        <v>3</v>
      </c>
      <c r="D93" s="93" t="n">
        <f aca="false">COUNTIFS('Test Case Register'!B5:B700,"Service Call",'Test Case Register'!C5:C700,"Data Validation",'Test Case Register'!G5:G700,"Pass")</f>
        <v>0</v>
      </c>
      <c r="E93" s="94" t="n">
        <f aca="false">COUNTIFS('Test Case Register'!B5:B700,"Service Call",'Test Case Register'!C5:C700,"Data Validation",'Test Case Register'!G5:G700,"Fail")</f>
        <v>0</v>
      </c>
      <c r="F93" s="95" t="n">
        <f aca="false">COUNTIFS('Test Case Register'!B5:B700,"Service Call",'Test Case Register'!C5:C700,"Data Validation",'Test Case Register'!G5:G700,"Blocked")</f>
        <v>0</v>
      </c>
      <c r="G93" s="25" t="str">
        <f aca="false">IF(D93+E93=0,"-",D93/(D93+E93))</f>
        <v>-</v>
      </c>
    </row>
    <row r="94" customFormat="false" ht="19.5" hidden="false" customHeight="true" outlineLevel="0" collapsed="false">
      <c r="A94" s="26" t="s">
        <v>251</v>
      </c>
      <c r="B94" s="101" t="s">
        <v>693</v>
      </c>
      <c r="C94" s="11" t="n">
        <v>3</v>
      </c>
      <c r="D94" s="90" t="n">
        <f aca="false">COUNTIFS('Test Case Register'!B5:B700,"Service Call",'Test Case Register'!C5:C700,"Editing &amp; Updates",'Test Case Register'!G5:G700,"Pass")</f>
        <v>0</v>
      </c>
      <c r="E94" s="91" t="n">
        <f aca="false">COUNTIFS('Test Case Register'!B5:B700,"Service Call",'Test Case Register'!C5:C700,"Editing &amp; Updates",'Test Case Register'!G5:G700,"Fail")</f>
        <v>0</v>
      </c>
      <c r="F94" s="92" t="n">
        <f aca="false">COUNTIFS('Test Case Register'!B5:B700,"Service Call",'Test Case Register'!C5:C700,"Editing &amp; Updates",'Test Case Register'!G5:G700,"Blocked")</f>
        <v>0</v>
      </c>
      <c r="G94" s="27" t="str">
        <f aca="false">IF(D94+E94=0,"-",D94/(D94+E94))</f>
        <v>-</v>
      </c>
    </row>
    <row r="95" customFormat="false" ht="19.5" hidden="false" customHeight="true" outlineLevel="0" collapsed="false">
      <c r="A95" s="23" t="s">
        <v>804</v>
      </c>
      <c r="B95" s="101" t="s">
        <v>693</v>
      </c>
      <c r="C95" s="5" t="n">
        <v>3</v>
      </c>
      <c r="D95" s="93" t="n">
        <f aca="false">COUNTIFS('Test Case Register'!B5:B700,"Service Call",'Test Case Register'!C5:C700,"Bulk Operations",'Test Case Register'!G5:G700,"Pass")</f>
        <v>0</v>
      </c>
      <c r="E95" s="94" t="n">
        <f aca="false">COUNTIFS('Test Case Register'!B5:B700,"Service Call",'Test Case Register'!C5:C700,"Bulk Operations",'Test Case Register'!G5:G700,"Fail")</f>
        <v>0</v>
      </c>
      <c r="F95" s="95" t="n">
        <f aca="false">COUNTIFS('Test Case Register'!B5:B700,"Service Call",'Test Case Register'!C5:C700,"Bulk Operations",'Test Case Register'!G5:G700,"Blocked")</f>
        <v>0</v>
      </c>
      <c r="G95" s="25" t="str">
        <f aca="false">IF(D95+E95=0,"-",D95/(D95+E95))</f>
        <v>-</v>
      </c>
    </row>
    <row r="96" customFormat="false" ht="19.5" hidden="false" customHeight="true" outlineLevel="0" collapsed="false">
      <c r="A96" s="26" t="s">
        <v>812</v>
      </c>
      <c r="B96" s="101" t="s">
        <v>693</v>
      </c>
      <c r="C96" s="11" t="n">
        <v>3</v>
      </c>
      <c r="D96" s="90" t="n">
        <f aca="false">COUNTIFS('Test Case Register'!B5:B700,"Service Call",'Test Case Register'!C5:C700,"Permissions &amp; Access",'Test Case Register'!G5:G700,"Pass")</f>
        <v>0</v>
      </c>
      <c r="E96" s="91" t="n">
        <f aca="false">COUNTIFS('Test Case Register'!B5:B700,"Service Call",'Test Case Register'!C5:C700,"Permissions &amp; Access",'Test Case Register'!G5:G700,"Fail")</f>
        <v>0</v>
      </c>
      <c r="F96" s="92" t="n">
        <f aca="false">COUNTIFS('Test Case Register'!B5:B700,"Service Call",'Test Case Register'!C5:C700,"Permissions &amp; Access",'Test Case Register'!G5:G700,"Blocked")</f>
        <v>0</v>
      </c>
      <c r="G96" s="27" t="str">
        <f aca="false">IF(D96+E96=0,"-",D96/(D96+E96))</f>
        <v>-</v>
      </c>
    </row>
  </sheetData>
  <mergeCells count="64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3:B13"/>
    <mergeCell ref="C13:D13"/>
    <mergeCell ref="E13:F13"/>
    <mergeCell ref="G13:H13"/>
    <mergeCell ref="I13:J13"/>
    <mergeCell ref="K13:L13"/>
    <mergeCell ref="A14:B14"/>
    <mergeCell ref="C14:D14"/>
    <mergeCell ref="E14:F14"/>
    <mergeCell ref="G14:H14"/>
    <mergeCell ref="I14:J14"/>
    <mergeCell ref="K14:L14"/>
    <mergeCell ref="A15:B15"/>
    <mergeCell ref="C15:D15"/>
    <mergeCell ref="E15:F15"/>
    <mergeCell ref="G15:H15"/>
    <mergeCell ref="I15:J15"/>
    <mergeCell ref="K15:L15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" t="s">
        <v>840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841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6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7</v>
      </c>
    </row>
    <row r="5" customFormat="false" ht="19.5" hidden="false" customHeight="true" outlineLevel="0" collapsed="false">
      <c r="A5" s="8" t="s">
        <v>19</v>
      </c>
      <c r="B5" s="8" t="s">
        <v>15</v>
      </c>
      <c r="C5" s="22" t="s">
        <v>16</v>
      </c>
      <c r="D5" s="23" t="s">
        <v>17</v>
      </c>
      <c r="E5" s="7" t="s">
        <v>18</v>
      </c>
      <c r="F5" s="9" t="s">
        <v>20</v>
      </c>
    </row>
    <row r="6" customFormat="false" ht="19.5" hidden="false" customHeight="true" outlineLevel="0" collapsed="false">
      <c r="A6" s="8" t="s">
        <v>19</v>
      </c>
      <c r="B6" s="8" t="s">
        <v>22</v>
      </c>
      <c r="C6" s="22" t="s">
        <v>16</v>
      </c>
      <c r="D6" s="26" t="s">
        <v>17</v>
      </c>
      <c r="E6" s="12" t="s">
        <v>23</v>
      </c>
      <c r="F6" s="13" t="s">
        <v>24</v>
      </c>
    </row>
    <row r="7" customFormat="false" ht="19.5" hidden="false" customHeight="true" outlineLevel="0" collapsed="false">
      <c r="A7" s="8" t="s">
        <v>19</v>
      </c>
      <c r="B7" s="8" t="s">
        <v>31</v>
      </c>
      <c r="C7" s="22" t="s">
        <v>16</v>
      </c>
      <c r="D7" s="23" t="s">
        <v>32</v>
      </c>
      <c r="E7" s="7" t="s">
        <v>33</v>
      </c>
      <c r="F7" s="9" t="s">
        <v>34</v>
      </c>
    </row>
    <row r="8" customFormat="false" ht="19.5" hidden="false" customHeight="true" outlineLevel="0" collapsed="false">
      <c r="A8" s="8" t="s">
        <v>19</v>
      </c>
      <c r="B8" s="8" t="s">
        <v>35</v>
      </c>
      <c r="C8" s="22" t="s">
        <v>16</v>
      </c>
      <c r="D8" s="26" t="s">
        <v>32</v>
      </c>
      <c r="E8" s="12" t="s">
        <v>36</v>
      </c>
      <c r="F8" s="13" t="s">
        <v>34</v>
      </c>
    </row>
    <row r="9" customFormat="false" ht="19.5" hidden="false" customHeight="true" outlineLevel="0" collapsed="false">
      <c r="A9" s="8" t="s">
        <v>19</v>
      </c>
      <c r="B9" s="8" t="s">
        <v>37</v>
      </c>
      <c r="C9" s="22" t="s">
        <v>16</v>
      </c>
      <c r="D9" s="23" t="s">
        <v>32</v>
      </c>
      <c r="E9" s="7" t="s">
        <v>38</v>
      </c>
      <c r="F9" s="9" t="s">
        <v>39</v>
      </c>
    </row>
    <row r="10" customFormat="false" ht="19.5" hidden="false" customHeight="true" outlineLevel="0" collapsed="false">
      <c r="A10" s="8" t="s">
        <v>19</v>
      </c>
      <c r="B10" s="8" t="s">
        <v>45</v>
      </c>
      <c r="C10" s="22" t="s">
        <v>16</v>
      </c>
      <c r="D10" s="26" t="s">
        <v>46</v>
      </c>
      <c r="E10" s="12" t="s">
        <v>47</v>
      </c>
      <c r="F10" s="13" t="s">
        <v>48</v>
      </c>
    </row>
    <row r="11" customFormat="false" ht="19.5" hidden="false" customHeight="true" outlineLevel="0" collapsed="false">
      <c r="A11" s="8" t="s">
        <v>19</v>
      </c>
      <c r="B11" s="8" t="s">
        <v>57</v>
      </c>
      <c r="C11" s="22" t="s">
        <v>16</v>
      </c>
      <c r="D11" s="23" t="s">
        <v>58</v>
      </c>
      <c r="E11" s="7" t="s">
        <v>59</v>
      </c>
      <c r="F11" s="9" t="s">
        <v>60</v>
      </c>
    </row>
    <row r="12" customFormat="false" ht="19.5" hidden="false" customHeight="true" outlineLevel="0" collapsed="false">
      <c r="A12" s="8" t="s">
        <v>19</v>
      </c>
      <c r="B12" s="8" t="s">
        <v>76</v>
      </c>
      <c r="C12" s="22" t="s">
        <v>16</v>
      </c>
      <c r="D12" s="26" t="s">
        <v>77</v>
      </c>
      <c r="E12" s="12" t="s">
        <v>78</v>
      </c>
      <c r="F12" s="13" t="s">
        <v>79</v>
      </c>
    </row>
    <row r="13" customFormat="false" ht="19.5" hidden="false" customHeight="true" outlineLevel="0" collapsed="false">
      <c r="A13" s="8" t="s">
        <v>19</v>
      </c>
      <c r="B13" s="8" t="s">
        <v>85</v>
      </c>
      <c r="C13" s="28" t="s">
        <v>86</v>
      </c>
      <c r="D13" s="23" t="s">
        <v>87</v>
      </c>
      <c r="E13" s="7" t="s">
        <v>88</v>
      </c>
      <c r="F13" s="9" t="s">
        <v>89</v>
      </c>
    </row>
    <row r="14" customFormat="false" ht="19.5" hidden="false" customHeight="true" outlineLevel="0" collapsed="false">
      <c r="A14" s="8" t="s">
        <v>19</v>
      </c>
      <c r="B14" s="8" t="s">
        <v>90</v>
      </c>
      <c r="C14" s="28" t="s">
        <v>86</v>
      </c>
      <c r="D14" s="26" t="s">
        <v>87</v>
      </c>
      <c r="E14" s="12" t="s">
        <v>91</v>
      </c>
      <c r="F14" s="13" t="s">
        <v>89</v>
      </c>
    </row>
    <row r="15" customFormat="false" ht="19.5" hidden="false" customHeight="true" outlineLevel="0" collapsed="false">
      <c r="A15" s="8" t="s">
        <v>19</v>
      </c>
      <c r="B15" s="8" t="s">
        <v>92</v>
      </c>
      <c r="C15" s="28" t="s">
        <v>86</v>
      </c>
      <c r="D15" s="23" t="s">
        <v>87</v>
      </c>
      <c r="E15" s="7" t="s">
        <v>93</v>
      </c>
      <c r="F15" s="9" t="s">
        <v>89</v>
      </c>
    </row>
    <row r="16" customFormat="false" ht="19.5" hidden="false" customHeight="true" outlineLevel="0" collapsed="false">
      <c r="A16" s="8" t="s">
        <v>19</v>
      </c>
      <c r="B16" s="8" t="s">
        <v>94</v>
      </c>
      <c r="C16" s="28" t="s">
        <v>86</v>
      </c>
      <c r="D16" s="26" t="s">
        <v>87</v>
      </c>
      <c r="E16" s="12" t="s">
        <v>95</v>
      </c>
      <c r="F16" s="13" t="s">
        <v>89</v>
      </c>
    </row>
    <row r="17" customFormat="false" ht="19.5" hidden="false" customHeight="true" outlineLevel="0" collapsed="false">
      <c r="A17" s="8" t="s">
        <v>19</v>
      </c>
      <c r="B17" s="8" t="s">
        <v>99</v>
      </c>
      <c r="C17" s="28" t="s">
        <v>86</v>
      </c>
      <c r="D17" s="23" t="s">
        <v>100</v>
      </c>
      <c r="E17" s="7" t="s">
        <v>101</v>
      </c>
      <c r="F17" s="9" t="s">
        <v>102</v>
      </c>
    </row>
    <row r="18" customFormat="false" ht="19.5" hidden="false" customHeight="true" outlineLevel="0" collapsed="false">
      <c r="A18" s="8" t="s">
        <v>19</v>
      </c>
      <c r="B18" s="8" t="s">
        <v>107</v>
      </c>
      <c r="C18" s="28" t="s">
        <v>86</v>
      </c>
      <c r="D18" s="26" t="s">
        <v>108</v>
      </c>
      <c r="E18" s="12" t="s">
        <v>109</v>
      </c>
      <c r="F18" s="13" t="s">
        <v>110</v>
      </c>
    </row>
    <row r="19" customFormat="false" ht="19.5" hidden="false" customHeight="true" outlineLevel="0" collapsed="false">
      <c r="A19" s="8" t="s">
        <v>19</v>
      </c>
      <c r="B19" s="8" t="s">
        <v>111</v>
      </c>
      <c r="C19" s="28" t="s">
        <v>86</v>
      </c>
      <c r="D19" s="23" t="s">
        <v>108</v>
      </c>
      <c r="E19" s="7" t="s">
        <v>112</v>
      </c>
      <c r="F19" s="9" t="s">
        <v>110</v>
      </c>
    </row>
    <row r="20" customFormat="false" ht="19.5" hidden="false" customHeight="true" outlineLevel="0" collapsed="false">
      <c r="A20" s="8" t="s">
        <v>19</v>
      </c>
      <c r="B20" s="8" t="s">
        <v>113</v>
      </c>
      <c r="C20" s="28" t="s">
        <v>86</v>
      </c>
      <c r="D20" s="26" t="s">
        <v>108</v>
      </c>
      <c r="E20" s="12" t="s">
        <v>114</v>
      </c>
      <c r="F20" s="13" t="s">
        <v>110</v>
      </c>
    </row>
    <row r="21" customFormat="false" ht="19.5" hidden="false" customHeight="true" outlineLevel="0" collapsed="false">
      <c r="A21" s="8" t="s">
        <v>19</v>
      </c>
      <c r="B21" s="8" t="s">
        <v>115</v>
      </c>
      <c r="C21" s="28" t="s">
        <v>86</v>
      </c>
      <c r="D21" s="23" t="s">
        <v>108</v>
      </c>
      <c r="E21" s="7" t="s">
        <v>116</v>
      </c>
      <c r="F21" s="9" t="s">
        <v>117</v>
      </c>
    </row>
    <row r="22" customFormat="false" ht="19.5" hidden="false" customHeight="true" outlineLevel="0" collapsed="false">
      <c r="A22" s="8" t="s">
        <v>19</v>
      </c>
      <c r="B22" s="8" t="s">
        <v>123</v>
      </c>
      <c r="C22" s="28" t="s">
        <v>86</v>
      </c>
      <c r="D22" s="26" t="s">
        <v>124</v>
      </c>
      <c r="E22" s="12" t="s">
        <v>125</v>
      </c>
      <c r="F22" s="13" t="s">
        <v>126</v>
      </c>
    </row>
    <row r="23" customFormat="false" ht="19.5" hidden="false" customHeight="true" outlineLevel="0" collapsed="false">
      <c r="A23" s="8" t="s">
        <v>19</v>
      </c>
      <c r="B23" s="8" t="s">
        <v>141</v>
      </c>
      <c r="C23" s="28" t="s">
        <v>86</v>
      </c>
      <c r="D23" s="23" t="s">
        <v>142</v>
      </c>
      <c r="E23" s="7" t="s">
        <v>143</v>
      </c>
      <c r="F23" s="9" t="s">
        <v>144</v>
      </c>
    </row>
    <row r="24" customFormat="false" ht="19.5" hidden="false" customHeight="true" outlineLevel="0" collapsed="false">
      <c r="A24" s="8" t="s">
        <v>19</v>
      </c>
      <c r="B24" s="8" t="s">
        <v>145</v>
      </c>
      <c r="C24" s="28" t="s">
        <v>86</v>
      </c>
      <c r="D24" s="26" t="s">
        <v>142</v>
      </c>
      <c r="E24" s="12" t="s">
        <v>146</v>
      </c>
      <c r="F24" s="13" t="s">
        <v>144</v>
      </c>
    </row>
    <row r="25" customFormat="false" ht="19.5" hidden="false" customHeight="true" outlineLevel="0" collapsed="false">
      <c r="A25" s="8" t="s">
        <v>19</v>
      </c>
      <c r="B25" s="8" t="s">
        <v>147</v>
      </c>
      <c r="C25" s="28" t="s">
        <v>86</v>
      </c>
      <c r="D25" s="23" t="s">
        <v>142</v>
      </c>
      <c r="E25" s="7" t="s">
        <v>148</v>
      </c>
      <c r="F25" s="9" t="s">
        <v>149</v>
      </c>
    </row>
    <row r="26" customFormat="false" ht="19.5" hidden="false" customHeight="true" outlineLevel="0" collapsed="false">
      <c r="A26" s="8" t="s">
        <v>19</v>
      </c>
      <c r="B26" s="8" t="s">
        <v>155</v>
      </c>
      <c r="C26" s="28" t="s">
        <v>86</v>
      </c>
      <c r="D26" s="26" t="s">
        <v>156</v>
      </c>
      <c r="E26" s="12" t="s">
        <v>157</v>
      </c>
      <c r="F26" s="13" t="s">
        <v>158</v>
      </c>
    </row>
    <row r="27" customFormat="false" ht="19.5" hidden="false" customHeight="true" outlineLevel="0" collapsed="false">
      <c r="A27" s="8" t="s">
        <v>19</v>
      </c>
      <c r="B27" s="8" t="s">
        <v>161</v>
      </c>
      <c r="C27" s="28" t="s">
        <v>86</v>
      </c>
      <c r="D27" s="23" t="s">
        <v>156</v>
      </c>
      <c r="E27" s="7" t="s">
        <v>162</v>
      </c>
      <c r="F27" s="9" t="s">
        <v>163</v>
      </c>
    </row>
    <row r="28" customFormat="false" ht="19.5" hidden="false" customHeight="true" outlineLevel="0" collapsed="false">
      <c r="A28" s="8" t="s">
        <v>19</v>
      </c>
      <c r="B28" s="8" t="s">
        <v>164</v>
      </c>
      <c r="C28" s="28" t="s">
        <v>86</v>
      </c>
      <c r="D28" s="26" t="s">
        <v>165</v>
      </c>
      <c r="E28" s="12" t="s">
        <v>166</v>
      </c>
      <c r="F28" s="13" t="s">
        <v>167</v>
      </c>
    </row>
    <row r="29" customFormat="false" ht="19.5" hidden="false" customHeight="true" outlineLevel="0" collapsed="false">
      <c r="A29" s="8" t="s">
        <v>19</v>
      </c>
      <c r="B29" s="8" t="s">
        <v>169</v>
      </c>
      <c r="C29" s="28" t="s">
        <v>86</v>
      </c>
      <c r="D29" s="23" t="s">
        <v>165</v>
      </c>
      <c r="E29" s="7" t="s">
        <v>170</v>
      </c>
      <c r="F29" s="9" t="s">
        <v>171</v>
      </c>
    </row>
    <row r="30" customFormat="false" ht="19.5" hidden="false" customHeight="true" outlineLevel="0" collapsed="false">
      <c r="A30" s="8" t="s">
        <v>19</v>
      </c>
      <c r="B30" s="8" t="s">
        <v>173</v>
      </c>
      <c r="C30" s="29" t="s">
        <v>174</v>
      </c>
      <c r="D30" s="26" t="s">
        <v>175</v>
      </c>
      <c r="E30" s="12" t="s">
        <v>176</v>
      </c>
      <c r="F30" s="13" t="s">
        <v>177</v>
      </c>
    </row>
    <row r="31" customFormat="false" ht="19.5" hidden="false" customHeight="true" outlineLevel="0" collapsed="false">
      <c r="A31" s="8" t="s">
        <v>19</v>
      </c>
      <c r="B31" s="8" t="s">
        <v>178</v>
      </c>
      <c r="C31" s="29" t="s">
        <v>174</v>
      </c>
      <c r="D31" s="23" t="s">
        <v>175</v>
      </c>
      <c r="E31" s="7" t="s">
        <v>179</v>
      </c>
      <c r="F31" s="9" t="s">
        <v>180</v>
      </c>
    </row>
    <row r="32" customFormat="false" ht="19.5" hidden="false" customHeight="true" outlineLevel="0" collapsed="false">
      <c r="A32" s="8" t="s">
        <v>19</v>
      </c>
      <c r="B32" s="8" t="s">
        <v>186</v>
      </c>
      <c r="C32" s="29" t="s">
        <v>174</v>
      </c>
      <c r="D32" s="26" t="s">
        <v>187</v>
      </c>
      <c r="E32" s="12" t="s">
        <v>188</v>
      </c>
      <c r="F32" s="13" t="s">
        <v>189</v>
      </c>
    </row>
    <row r="33" customFormat="false" ht="19.5" hidden="false" customHeight="true" outlineLevel="0" collapsed="false">
      <c r="A33" s="8" t="s">
        <v>19</v>
      </c>
      <c r="B33" s="8" t="s">
        <v>192</v>
      </c>
      <c r="C33" s="29" t="s">
        <v>174</v>
      </c>
      <c r="D33" s="23" t="s">
        <v>187</v>
      </c>
      <c r="E33" s="7" t="s">
        <v>193</v>
      </c>
      <c r="F33" s="9" t="s">
        <v>189</v>
      </c>
    </row>
    <row r="34" customFormat="false" ht="19.5" hidden="false" customHeight="true" outlineLevel="0" collapsed="false">
      <c r="A34" s="8" t="s">
        <v>19</v>
      </c>
      <c r="B34" s="8" t="s">
        <v>196</v>
      </c>
      <c r="C34" s="29" t="s">
        <v>174</v>
      </c>
      <c r="D34" s="26" t="s">
        <v>187</v>
      </c>
      <c r="E34" s="12" t="s">
        <v>197</v>
      </c>
      <c r="F34" s="13" t="s">
        <v>189</v>
      </c>
    </row>
    <row r="35" customFormat="false" ht="19.5" hidden="false" customHeight="true" outlineLevel="0" collapsed="false">
      <c r="A35" s="8" t="s">
        <v>19</v>
      </c>
      <c r="B35" s="8" t="s">
        <v>198</v>
      </c>
      <c r="C35" s="29" t="s">
        <v>174</v>
      </c>
      <c r="D35" s="23" t="s">
        <v>199</v>
      </c>
      <c r="E35" s="7" t="s">
        <v>200</v>
      </c>
      <c r="F35" s="9" t="s">
        <v>201</v>
      </c>
    </row>
    <row r="36" customFormat="false" ht="19.5" hidden="false" customHeight="true" outlineLevel="0" collapsed="false">
      <c r="A36" s="8" t="s">
        <v>19</v>
      </c>
      <c r="B36" s="8" t="s">
        <v>202</v>
      </c>
      <c r="C36" s="29" t="s">
        <v>174</v>
      </c>
      <c r="D36" s="26" t="s">
        <v>199</v>
      </c>
      <c r="E36" s="12" t="s">
        <v>203</v>
      </c>
      <c r="F36" s="13" t="s">
        <v>201</v>
      </c>
    </row>
    <row r="37" customFormat="false" ht="19.5" hidden="false" customHeight="true" outlineLevel="0" collapsed="false">
      <c r="A37" s="8" t="s">
        <v>19</v>
      </c>
      <c r="B37" s="8" t="s">
        <v>204</v>
      </c>
      <c r="C37" s="29" t="s">
        <v>174</v>
      </c>
      <c r="D37" s="23" t="s">
        <v>199</v>
      </c>
      <c r="E37" s="7" t="s">
        <v>205</v>
      </c>
      <c r="F37" s="9" t="s">
        <v>206</v>
      </c>
    </row>
    <row r="38" customFormat="false" ht="19.5" hidden="false" customHeight="true" outlineLevel="0" collapsed="false">
      <c r="A38" s="8" t="s">
        <v>19</v>
      </c>
      <c r="B38" s="8" t="s">
        <v>217</v>
      </c>
      <c r="C38" s="29" t="s">
        <v>174</v>
      </c>
      <c r="D38" s="26" t="s">
        <v>218</v>
      </c>
      <c r="E38" s="12" t="s">
        <v>219</v>
      </c>
      <c r="F38" s="13" t="s">
        <v>220</v>
      </c>
    </row>
    <row r="39" customFormat="false" ht="19.5" hidden="false" customHeight="true" outlineLevel="0" collapsed="false">
      <c r="A39" s="8" t="s">
        <v>19</v>
      </c>
      <c r="B39" s="8" t="s">
        <v>231</v>
      </c>
      <c r="C39" s="29" t="s">
        <v>174</v>
      </c>
      <c r="D39" s="23" t="s">
        <v>218</v>
      </c>
      <c r="E39" s="7" t="s">
        <v>232</v>
      </c>
      <c r="F39" s="9" t="s">
        <v>233</v>
      </c>
    </row>
    <row r="40" customFormat="false" ht="19.5" hidden="false" customHeight="true" outlineLevel="0" collapsed="false">
      <c r="A40" s="8" t="s">
        <v>19</v>
      </c>
      <c r="B40" s="8" t="s">
        <v>234</v>
      </c>
      <c r="C40" s="29" t="s">
        <v>174</v>
      </c>
      <c r="D40" s="26" t="s">
        <v>218</v>
      </c>
      <c r="E40" s="12" t="s">
        <v>235</v>
      </c>
      <c r="F40" s="13" t="s">
        <v>233</v>
      </c>
    </row>
    <row r="41" customFormat="false" ht="19.5" hidden="false" customHeight="true" outlineLevel="0" collapsed="false">
      <c r="A41" s="8" t="s">
        <v>19</v>
      </c>
      <c r="B41" s="8" t="s">
        <v>238</v>
      </c>
      <c r="C41" s="29" t="s">
        <v>174</v>
      </c>
      <c r="D41" s="23" t="s">
        <v>218</v>
      </c>
      <c r="E41" s="7" t="s">
        <v>239</v>
      </c>
      <c r="F41" s="9" t="s">
        <v>240</v>
      </c>
    </row>
    <row r="42" customFormat="false" ht="19.5" hidden="false" customHeight="true" outlineLevel="0" collapsed="false">
      <c r="A42" s="8" t="s">
        <v>19</v>
      </c>
      <c r="B42" s="8" t="s">
        <v>241</v>
      </c>
      <c r="C42" s="29" t="s">
        <v>174</v>
      </c>
      <c r="D42" s="26" t="s">
        <v>242</v>
      </c>
      <c r="E42" s="12" t="s">
        <v>243</v>
      </c>
      <c r="F42" s="13" t="s">
        <v>177</v>
      </c>
    </row>
    <row r="43" customFormat="false" ht="19.5" hidden="false" customHeight="true" outlineLevel="0" collapsed="false">
      <c r="A43" s="8" t="s">
        <v>19</v>
      </c>
      <c r="B43" s="8" t="s">
        <v>262</v>
      </c>
      <c r="C43" s="29" t="s">
        <v>174</v>
      </c>
      <c r="D43" s="23" t="s">
        <v>263</v>
      </c>
      <c r="E43" s="7" t="s">
        <v>264</v>
      </c>
      <c r="F43" s="9" t="s">
        <v>177</v>
      </c>
    </row>
    <row r="44" customFormat="false" ht="19.5" hidden="false" customHeight="true" outlineLevel="0" collapsed="false">
      <c r="A44" s="8" t="s">
        <v>19</v>
      </c>
      <c r="B44" s="8" t="s">
        <v>275</v>
      </c>
      <c r="C44" s="30" t="s">
        <v>276</v>
      </c>
      <c r="D44" s="26" t="s">
        <v>277</v>
      </c>
      <c r="E44" s="12" t="s">
        <v>278</v>
      </c>
      <c r="F44" s="13" t="s">
        <v>279</v>
      </c>
    </row>
    <row r="45" customFormat="false" ht="19.5" hidden="false" customHeight="true" outlineLevel="0" collapsed="false">
      <c r="A45" s="8" t="s">
        <v>19</v>
      </c>
      <c r="B45" s="8" t="s">
        <v>280</v>
      </c>
      <c r="C45" s="30" t="s">
        <v>276</v>
      </c>
      <c r="D45" s="23" t="s">
        <v>277</v>
      </c>
      <c r="E45" s="7" t="s">
        <v>281</v>
      </c>
      <c r="F45" s="9" t="s">
        <v>282</v>
      </c>
    </row>
    <row r="46" customFormat="false" ht="19.5" hidden="false" customHeight="true" outlineLevel="0" collapsed="false">
      <c r="A46" s="8" t="s">
        <v>19</v>
      </c>
      <c r="B46" s="8" t="s">
        <v>283</v>
      </c>
      <c r="C46" s="30" t="s">
        <v>276</v>
      </c>
      <c r="D46" s="26" t="s">
        <v>277</v>
      </c>
      <c r="E46" s="12" t="s">
        <v>284</v>
      </c>
      <c r="F46" s="13" t="s">
        <v>285</v>
      </c>
    </row>
    <row r="47" customFormat="false" ht="19.5" hidden="false" customHeight="true" outlineLevel="0" collapsed="false">
      <c r="A47" s="8" t="s">
        <v>19</v>
      </c>
      <c r="B47" s="8" t="s">
        <v>286</v>
      </c>
      <c r="C47" s="30" t="s">
        <v>276</v>
      </c>
      <c r="D47" s="23" t="s">
        <v>277</v>
      </c>
      <c r="E47" s="7" t="s">
        <v>287</v>
      </c>
      <c r="F47" s="9" t="s">
        <v>285</v>
      </c>
    </row>
    <row r="48" customFormat="false" ht="19.5" hidden="false" customHeight="true" outlineLevel="0" collapsed="false">
      <c r="A48" s="8" t="s">
        <v>19</v>
      </c>
      <c r="B48" s="8" t="s">
        <v>292</v>
      </c>
      <c r="C48" s="30" t="s">
        <v>276</v>
      </c>
      <c r="D48" s="26" t="s">
        <v>293</v>
      </c>
      <c r="E48" s="12" t="s">
        <v>294</v>
      </c>
      <c r="F48" s="13" t="s">
        <v>295</v>
      </c>
    </row>
    <row r="49" customFormat="false" ht="19.5" hidden="false" customHeight="true" outlineLevel="0" collapsed="false">
      <c r="A49" s="8" t="s">
        <v>19</v>
      </c>
      <c r="B49" s="8" t="s">
        <v>298</v>
      </c>
      <c r="C49" s="30" t="s">
        <v>276</v>
      </c>
      <c r="D49" s="23" t="s">
        <v>293</v>
      </c>
      <c r="E49" s="7" t="s">
        <v>299</v>
      </c>
      <c r="F49" s="9" t="s">
        <v>295</v>
      </c>
    </row>
    <row r="50" customFormat="false" ht="19.5" hidden="false" customHeight="true" outlineLevel="0" collapsed="false">
      <c r="A50" s="8" t="s">
        <v>19</v>
      </c>
      <c r="B50" s="8" t="s">
        <v>300</v>
      </c>
      <c r="C50" s="30" t="s">
        <v>276</v>
      </c>
      <c r="D50" s="26" t="s">
        <v>301</v>
      </c>
      <c r="E50" s="12" t="s">
        <v>302</v>
      </c>
      <c r="F50" s="13" t="s">
        <v>303</v>
      </c>
    </row>
    <row r="51" customFormat="false" ht="19.5" hidden="false" customHeight="true" outlineLevel="0" collapsed="false">
      <c r="A51" s="8" t="s">
        <v>19</v>
      </c>
      <c r="B51" s="8" t="s">
        <v>304</v>
      </c>
      <c r="C51" s="30" t="s">
        <v>276</v>
      </c>
      <c r="D51" s="23" t="s">
        <v>301</v>
      </c>
      <c r="E51" s="7" t="s">
        <v>305</v>
      </c>
      <c r="F51" s="9" t="s">
        <v>303</v>
      </c>
    </row>
    <row r="52" customFormat="false" ht="19.5" hidden="false" customHeight="true" outlineLevel="0" collapsed="false">
      <c r="A52" s="8" t="s">
        <v>19</v>
      </c>
      <c r="B52" s="8" t="s">
        <v>306</v>
      </c>
      <c r="C52" s="30" t="s">
        <v>276</v>
      </c>
      <c r="D52" s="26" t="s">
        <v>301</v>
      </c>
      <c r="E52" s="12" t="s">
        <v>307</v>
      </c>
      <c r="F52" s="13" t="s">
        <v>303</v>
      </c>
    </row>
    <row r="53" customFormat="false" ht="19.5" hidden="false" customHeight="true" outlineLevel="0" collapsed="false">
      <c r="A53" s="8" t="s">
        <v>19</v>
      </c>
      <c r="B53" s="8" t="s">
        <v>308</v>
      </c>
      <c r="C53" s="30" t="s">
        <v>276</v>
      </c>
      <c r="D53" s="23" t="s">
        <v>301</v>
      </c>
      <c r="E53" s="7" t="s">
        <v>309</v>
      </c>
      <c r="F53" s="9" t="s">
        <v>310</v>
      </c>
    </row>
    <row r="54" customFormat="false" ht="19.5" hidden="false" customHeight="true" outlineLevel="0" collapsed="false">
      <c r="A54" s="8" t="s">
        <v>19</v>
      </c>
      <c r="B54" s="8" t="s">
        <v>311</v>
      </c>
      <c r="C54" s="30" t="s">
        <v>276</v>
      </c>
      <c r="D54" s="26" t="s">
        <v>312</v>
      </c>
      <c r="E54" s="12" t="s">
        <v>313</v>
      </c>
      <c r="F54" s="13" t="s">
        <v>314</v>
      </c>
    </row>
    <row r="55" customFormat="false" ht="19.5" hidden="false" customHeight="true" outlineLevel="0" collapsed="false">
      <c r="A55" s="8" t="s">
        <v>19</v>
      </c>
      <c r="B55" s="8" t="s">
        <v>315</v>
      </c>
      <c r="C55" s="30" t="s">
        <v>276</v>
      </c>
      <c r="D55" s="23" t="s">
        <v>312</v>
      </c>
      <c r="E55" s="7" t="s">
        <v>316</v>
      </c>
      <c r="F55" s="9" t="s">
        <v>314</v>
      </c>
    </row>
    <row r="56" customFormat="false" ht="19.5" hidden="false" customHeight="true" outlineLevel="0" collapsed="false">
      <c r="A56" s="8" t="s">
        <v>19</v>
      </c>
      <c r="B56" s="8" t="s">
        <v>321</v>
      </c>
      <c r="C56" s="30" t="s">
        <v>276</v>
      </c>
      <c r="D56" s="26" t="s">
        <v>312</v>
      </c>
      <c r="E56" s="12" t="s">
        <v>322</v>
      </c>
      <c r="F56" s="13" t="s">
        <v>314</v>
      </c>
    </row>
    <row r="57" customFormat="false" ht="19.5" hidden="false" customHeight="true" outlineLevel="0" collapsed="false">
      <c r="A57" s="8" t="s">
        <v>19</v>
      </c>
      <c r="B57" s="8" t="s">
        <v>326</v>
      </c>
      <c r="C57" s="30" t="s">
        <v>276</v>
      </c>
      <c r="D57" s="23" t="s">
        <v>324</v>
      </c>
      <c r="E57" s="7" t="s">
        <v>327</v>
      </c>
      <c r="F57" s="9" t="s">
        <v>285</v>
      </c>
    </row>
    <row r="58" customFormat="false" ht="19.5" hidden="false" customHeight="true" outlineLevel="0" collapsed="false">
      <c r="A58" s="8" t="s">
        <v>19</v>
      </c>
      <c r="B58" s="8" t="s">
        <v>354</v>
      </c>
      <c r="C58" s="30" t="s">
        <v>276</v>
      </c>
      <c r="D58" s="26" t="s">
        <v>349</v>
      </c>
      <c r="E58" s="12" t="s">
        <v>355</v>
      </c>
      <c r="F58" s="13" t="s">
        <v>351</v>
      </c>
    </row>
    <row r="59" customFormat="false" ht="19.5" hidden="false" customHeight="true" outlineLevel="0" collapsed="false">
      <c r="A59" s="8" t="s">
        <v>19</v>
      </c>
      <c r="B59" s="8" t="s">
        <v>356</v>
      </c>
      <c r="C59" s="30" t="s">
        <v>276</v>
      </c>
      <c r="D59" s="23" t="s">
        <v>349</v>
      </c>
      <c r="E59" s="7" t="s">
        <v>357</v>
      </c>
      <c r="F59" s="9" t="s">
        <v>351</v>
      </c>
    </row>
    <row r="60" customFormat="false" ht="19.5" hidden="false" customHeight="true" outlineLevel="0" collapsed="false">
      <c r="A60" s="8" t="s">
        <v>19</v>
      </c>
      <c r="B60" s="8" t="s">
        <v>366</v>
      </c>
      <c r="C60" s="30" t="s">
        <v>276</v>
      </c>
      <c r="D60" s="26" t="s">
        <v>361</v>
      </c>
      <c r="E60" s="12" t="s">
        <v>367</v>
      </c>
      <c r="F60" s="13" t="s">
        <v>363</v>
      </c>
    </row>
    <row r="61" customFormat="false" ht="19.5" hidden="false" customHeight="true" outlineLevel="0" collapsed="false">
      <c r="A61" s="8" t="s">
        <v>19</v>
      </c>
      <c r="B61" s="8" t="s">
        <v>368</v>
      </c>
      <c r="C61" s="30" t="s">
        <v>276</v>
      </c>
      <c r="D61" s="23" t="s">
        <v>361</v>
      </c>
      <c r="E61" s="7" t="s">
        <v>369</v>
      </c>
      <c r="F61" s="9" t="s">
        <v>363</v>
      </c>
    </row>
    <row r="62" customFormat="false" ht="19.5" hidden="false" customHeight="true" outlineLevel="0" collapsed="false">
      <c r="A62" s="8" t="s">
        <v>19</v>
      </c>
      <c r="B62" s="8" t="s">
        <v>376</v>
      </c>
      <c r="C62" s="30" t="s">
        <v>276</v>
      </c>
      <c r="D62" s="26" t="s">
        <v>373</v>
      </c>
      <c r="E62" s="12" t="s">
        <v>377</v>
      </c>
      <c r="F62" s="13" t="s">
        <v>375</v>
      </c>
    </row>
    <row r="63" customFormat="false" ht="19.5" hidden="false" customHeight="true" outlineLevel="0" collapsed="false">
      <c r="A63" s="8" t="s">
        <v>19</v>
      </c>
      <c r="B63" s="8" t="s">
        <v>378</v>
      </c>
      <c r="C63" s="30" t="s">
        <v>276</v>
      </c>
      <c r="D63" s="23" t="s">
        <v>242</v>
      </c>
      <c r="E63" s="7" t="s">
        <v>379</v>
      </c>
      <c r="F63" s="9" t="s">
        <v>303</v>
      </c>
    </row>
    <row r="64" customFormat="false" ht="19.5" hidden="false" customHeight="true" outlineLevel="0" collapsed="false">
      <c r="A64" s="8" t="s">
        <v>19</v>
      </c>
      <c r="B64" s="8" t="s">
        <v>380</v>
      </c>
      <c r="C64" s="30" t="s">
        <v>276</v>
      </c>
      <c r="D64" s="26" t="s">
        <v>242</v>
      </c>
      <c r="E64" s="12" t="s">
        <v>381</v>
      </c>
      <c r="F64" s="13" t="s">
        <v>285</v>
      </c>
    </row>
    <row r="65" customFormat="false" ht="19.5" hidden="false" customHeight="true" outlineLevel="0" collapsed="false">
      <c r="A65" s="8" t="s">
        <v>19</v>
      </c>
      <c r="B65" s="8" t="s">
        <v>382</v>
      </c>
      <c r="C65" s="30" t="s">
        <v>276</v>
      </c>
      <c r="D65" s="23" t="s">
        <v>242</v>
      </c>
      <c r="E65" s="7" t="s">
        <v>383</v>
      </c>
      <c r="F65" s="9" t="s">
        <v>314</v>
      </c>
    </row>
    <row r="66" customFormat="false" ht="19.5" hidden="false" customHeight="true" outlineLevel="0" collapsed="false">
      <c r="A66" s="8" t="s">
        <v>19</v>
      </c>
      <c r="B66" s="8" t="s">
        <v>397</v>
      </c>
      <c r="C66" s="30" t="s">
        <v>276</v>
      </c>
      <c r="D66" s="26" t="s">
        <v>263</v>
      </c>
      <c r="E66" s="12" t="s">
        <v>398</v>
      </c>
      <c r="F66" s="13" t="s">
        <v>279</v>
      </c>
    </row>
    <row r="67" customFormat="false" ht="19.5" hidden="false" customHeight="true" outlineLevel="0" collapsed="false">
      <c r="A67" s="8" t="s">
        <v>19</v>
      </c>
      <c r="B67" s="8" t="s">
        <v>403</v>
      </c>
      <c r="C67" s="31" t="s">
        <v>404</v>
      </c>
      <c r="D67" s="23" t="s">
        <v>405</v>
      </c>
      <c r="E67" s="7" t="s">
        <v>406</v>
      </c>
      <c r="F67" s="9" t="s">
        <v>407</v>
      </c>
    </row>
    <row r="68" customFormat="false" ht="19.5" hidden="false" customHeight="true" outlineLevel="0" collapsed="false">
      <c r="A68" s="8" t="s">
        <v>19</v>
      </c>
      <c r="B68" s="8" t="s">
        <v>408</v>
      </c>
      <c r="C68" s="31" t="s">
        <v>404</v>
      </c>
      <c r="D68" s="26" t="s">
        <v>405</v>
      </c>
      <c r="E68" s="12" t="s">
        <v>409</v>
      </c>
      <c r="F68" s="13" t="s">
        <v>410</v>
      </c>
    </row>
    <row r="69" customFormat="false" ht="19.5" hidden="false" customHeight="true" outlineLevel="0" collapsed="false">
      <c r="A69" s="8" t="s">
        <v>19</v>
      </c>
      <c r="B69" s="8" t="s">
        <v>411</v>
      </c>
      <c r="C69" s="31" t="s">
        <v>404</v>
      </c>
      <c r="D69" s="23" t="s">
        <v>293</v>
      </c>
      <c r="E69" s="7" t="s">
        <v>412</v>
      </c>
      <c r="F69" s="9" t="s">
        <v>413</v>
      </c>
    </row>
    <row r="70" customFormat="false" ht="19.5" hidden="false" customHeight="true" outlineLevel="0" collapsed="false">
      <c r="A70" s="8" t="s">
        <v>19</v>
      </c>
      <c r="B70" s="8" t="s">
        <v>415</v>
      </c>
      <c r="C70" s="31" t="s">
        <v>404</v>
      </c>
      <c r="D70" s="26" t="s">
        <v>293</v>
      </c>
      <c r="E70" s="12" t="s">
        <v>416</v>
      </c>
      <c r="F70" s="13" t="s">
        <v>413</v>
      </c>
    </row>
    <row r="71" customFormat="false" ht="19.5" hidden="false" customHeight="true" outlineLevel="0" collapsed="false">
      <c r="A71" s="8" t="s">
        <v>19</v>
      </c>
      <c r="B71" s="8" t="s">
        <v>417</v>
      </c>
      <c r="C71" s="31" t="s">
        <v>404</v>
      </c>
      <c r="D71" s="23" t="s">
        <v>301</v>
      </c>
      <c r="E71" s="7" t="s">
        <v>418</v>
      </c>
      <c r="F71" s="9" t="s">
        <v>419</v>
      </c>
    </row>
    <row r="72" customFormat="false" ht="19.5" hidden="false" customHeight="true" outlineLevel="0" collapsed="false">
      <c r="A72" s="8" t="s">
        <v>19</v>
      </c>
      <c r="B72" s="8" t="s">
        <v>420</v>
      </c>
      <c r="C72" s="31" t="s">
        <v>404</v>
      </c>
      <c r="D72" s="26" t="s">
        <v>301</v>
      </c>
      <c r="E72" s="12" t="s">
        <v>305</v>
      </c>
      <c r="F72" s="13" t="s">
        <v>419</v>
      </c>
    </row>
    <row r="73" customFormat="false" ht="19.5" hidden="false" customHeight="true" outlineLevel="0" collapsed="false">
      <c r="A73" s="8" t="s">
        <v>19</v>
      </c>
      <c r="B73" s="8" t="s">
        <v>421</v>
      </c>
      <c r="C73" s="31" t="s">
        <v>404</v>
      </c>
      <c r="D73" s="23" t="s">
        <v>301</v>
      </c>
      <c r="E73" s="7" t="s">
        <v>422</v>
      </c>
      <c r="F73" s="9" t="s">
        <v>419</v>
      </c>
    </row>
    <row r="74" customFormat="false" ht="19.5" hidden="false" customHeight="true" outlineLevel="0" collapsed="false">
      <c r="A74" s="8" t="s">
        <v>19</v>
      </c>
      <c r="B74" s="8" t="s">
        <v>425</v>
      </c>
      <c r="C74" s="31" t="s">
        <v>404</v>
      </c>
      <c r="D74" s="26" t="s">
        <v>426</v>
      </c>
      <c r="E74" s="12" t="s">
        <v>332</v>
      </c>
      <c r="F74" s="13" t="s">
        <v>427</v>
      </c>
    </row>
    <row r="75" customFormat="false" ht="19.5" hidden="false" customHeight="true" outlineLevel="0" collapsed="false">
      <c r="A75" s="8" t="s">
        <v>19</v>
      </c>
      <c r="B75" s="8" t="s">
        <v>428</v>
      </c>
      <c r="C75" s="31" t="s">
        <v>404</v>
      </c>
      <c r="D75" s="23" t="s">
        <v>426</v>
      </c>
      <c r="E75" s="7" t="s">
        <v>429</v>
      </c>
      <c r="F75" s="9" t="s">
        <v>427</v>
      </c>
    </row>
    <row r="76" customFormat="false" ht="19.5" hidden="false" customHeight="true" outlineLevel="0" collapsed="false">
      <c r="A76" s="8" t="s">
        <v>19</v>
      </c>
      <c r="B76" s="8" t="s">
        <v>434</v>
      </c>
      <c r="C76" s="31" t="s">
        <v>404</v>
      </c>
      <c r="D76" s="26" t="s">
        <v>435</v>
      </c>
      <c r="E76" s="12" t="s">
        <v>436</v>
      </c>
      <c r="F76" s="13" t="s">
        <v>437</v>
      </c>
    </row>
    <row r="77" customFormat="false" ht="19.5" hidden="false" customHeight="true" outlineLevel="0" collapsed="false">
      <c r="A77" s="8" t="s">
        <v>19</v>
      </c>
      <c r="B77" s="8" t="s">
        <v>438</v>
      </c>
      <c r="C77" s="31" t="s">
        <v>404</v>
      </c>
      <c r="D77" s="23" t="s">
        <v>435</v>
      </c>
      <c r="E77" s="7" t="s">
        <v>439</v>
      </c>
      <c r="F77" s="9" t="s">
        <v>437</v>
      </c>
    </row>
    <row r="78" customFormat="false" ht="19.5" hidden="false" customHeight="true" outlineLevel="0" collapsed="false">
      <c r="A78" s="8" t="s">
        <v>19</v>
      </c>
      <c r="B78" s="8" t="s">
        <v>440</v>
      </c>
      <c r="C78" s="31" t="s">
        <v>404</v>
      </c>
      <c r="D78" s="26" t="s">
        <v>435</v>
      </c>
      <c r="E78" s="12" t="s">
        <v>441</v>
      </c>
      <c r="F78" s="13" t="s">
        <v>437</v>
      </c>
    </row>
    <row r="79" customFormat="false" ht="19.5" hidden="false" customHeight="true" outlineLevel="0" collapsed="false">
      <c r="A79" s="8" t="s">
        <v>19</v>
      </c>
      <c r="B79" s="8" t="s">
        <v>442</v>
      </c>
      <c r="C79" s="31" t="s">
        <v>404</v>
      </c>
      <c r="D79" s="23" t="s">
        <v>443</v>
      </c>
      <c r="E79" s="7" t="s">
        <v>444</v>
      </c>
      <c r="F79" s="9" t="s">
        <v>445</v>
      </c>
    </row>
    <row r="80" customFormat="false" ht="19.5" hidden="false" customHeight="true" outlineLevel="0" collapsed="false">
      <c r="A80" s="8" t="s">
        <v>19</v>
      </c>
      <c r="B80" s="8" t="s">
        <v>446</v>
      </c>
      <c r="C80" s="31" t="s">
        <v>404</v>
      </c>
      <c r="D80" s="26" t="s">
        <v>443</v>
      </c>
      <c r="E80" s="12" t="s">
        <v>447</v>
      </c>
      <c r="F80" s="13" t="s">
        <v>445</v>
      </c>
    </row>
    <row r="81" customFormat="false" ht="19.5" hidden="false" customHeight="true" outlineLevel="0" collapsed="false">
      <c r="A81" s="8" t="s">
        <v>19</v>
      </c>
      <c r="B81" s="8" t="s">
        <v>448</v>
      </c>
      <c r="C81" s="31" t="s">
        <v>404</v>
      </c>
      <c r="D81" s="23" t="s">
        <v>443</v>
      </c>
      <c r="E81" s="7" t="s">
        <v>449</v>
      </c>
      <c r="F81" s="9" t="s">
        <v>445</v>
      </c>
    </row>
    <row r="82" customFormat="false" ht="19.5" hidden="false" customHeight="true" outlineLevel="0" collapsed="false">
      <c r="A82" s="8" t="s">
        <v>19</v>
      </c>
      <c r="B82" s="8" t="s">
        <v>452</v>
      </c>
      <c r="C82" s="31" t="s">
        <v>404</v>
      </c>
      <c r="D82" s="26" t="s">
        <v>453</v>
      </c>
      <c r="E82" s="12" t="s">
        <v>454</v>
      </c>
      <c r="F82" s="13" t="s">
        <v>455</v>
      </c>
    </row>
    <row r="83" customFormat="false" ht="19.5" hidden="false" customHeight="true" outlineLevel="0" collapsed="false">
      <c r="A83" s="8" t="s">
        <v>19</v>
      </c>
      <c r="B83" s="8" t="s">
        <v>460</v>
      </c>
      <c r="C83" s="31" t="s">
        <v>404</v>
      </c>
      <c r="D83" s="23" t="s">
        <v>453</v>
      </c>
      <c r="E83" s="7" t="s">
        <v>461</v>
      </c>
      <c r="F83" s="9" t="s">
        <v>455</v>
      </c>
    </row>
    <row r="84" customFormat="false" ht="19.5" hidden="false" customHeight="true" outlineLevel="0" collapsed="false">
      <c r="A84" s="8" t="s">
        <v>19</v>
      </c>
      <c r="B84" s="8" t="s">
        <v>465</v>
      </c>
      <c r="C84" s="31" t="s">
        <v>404</v>
      </c>
      <c r="D84" s="26" t="s">
        <v>453</v>
      </c>
      <c r="E84" s="12" t="s">
        <v>466</v>
      </c>
      <c r="F84" s="13" t="s">
        <v>464</v>
      </c>
    </row>
    <row r="85" customFormat="false" ht="19.5" hidden="false" customHeight="true" outlineLevel="0" collapsed="false">
      <c r="A85" s="8" t="s">
        <v>19</v>
      </c>
      <c r="B85" s="8" t="s">
        <v>469</v>
      </c>
      <c r="C85" s="31" t="s">
        <v>404</v>
      </c>
      <c r="D85" s="23" t="s">
        <v>453</v>
      </c>
      <c r="E85" s="7" t="s">
        <v>470</v>
      </c>
      <c r="F85" s="9" t="s">
        <v>455</v>
      </c>
    </row>
    <row r="86" customFormat="false" ht="19.5" hidden="false" customHeight="true" outlineLevel="0" collapsed="false">
      <c r="A86" s="8" t="s">
        <v>19</v>
      </c>
      <c r="B86" s="8" t="s">
        <v>473</v>
      </c>
      <c r="C86" s="31" t="s">
        <v>404</v>
      </c>
      <c r="D86" s="26" t="s">
        <v>453</v>
      </c>
      <c r="E86" s="12" t="s">
        <v>474</v>
      </c>
      <c r="F86" s="13" t="s">
        <v>455</v>
      </c>
    </row>
    <row r="87" customFormat="false" ht="19.5" hidden="false" customHeight="true" outlineLevel="0" collapsed="false">
      <c r="A87" s="8" t="s">
        <v>19</v>
      </c>
      <c r="B87" s="8" t="s">
        <v>478</v>
      </c>
      <c r="C87" s="31" t="s">
        <v>404</v>
      </c>
      <c r="D87" s="23" t="s">
        <v>453</v>
      </c>
      <c r="E87" s="7" t="s">
        <v>479</v>
      </c>
      <c r="F87" s="9" t="s">
        <v>477</v>
      </c>
    </row>
    <row r="88" customFormat="false" ht="19.5" hidden="false" customHeight="true" outlineLevel="0" collapsed="false">
      <c r="A88" s="8" t="s">
        <v>19</v>
      </c>
      <c r="B88" s="8" t="s">
        <v>480</v>
      </c>
      <c r="C88" s="31" t="s">
        <v>404</v>
      </c>
      <c r="D88" s="26" t="s">
        <v>453</v>
      </c>
      <c r="E88" s="12" t="s">
        <v>481</v>
      </c>
      <c r="F88" s="13" t="s">
        <v>482</v>
      </c>
    </row>
    <row r="89" customFormat="false" ht="19.5" hidden="false" customHeight="true" outlineLevel="0" collapsed="false">
      <c r="A89" s="8" t="s">
        <v>19</v>
      </c>
      <c r="B89" s="8" t="s">
        <v>491</v>
      </c>
      <c r="C89" s="31" t="s">
        <v>404</v>
      </c>
      <c r="D89" s="23" t="s">
        <v>484</v>
      </c>
      <c r="E89" s="7" t="s">
        <v>492</v>
      </c>
      <c r="F89" s="9" t="s">
        <v>486</v>
      </c>
    </row>
    <row r="90" customFormat="false" ht="19.5" hidden="false" customHeight="true" outlineLevel="0" collapsed="false">
      <c r="A90" s="8" t="s">
        <v>19</v>
      </c>
      <c r="B90" s="8" t="s">
        <v>493</v>
      </c>
      <c r="C90" s="31" t="s">
        <v>404</v>
      </c>
      <c r="D90" s="26" t="s">
        <v>484</v>
      </c>
      <c r="E90" s="12" t="s">
        <v>494</v>
      </c>
      <c r="F90" s="13" t="s">
        <v>486</v>
      </c>
    </row>
    <row r="91" customFormat="false" ht="19.5" hidden="false" customHeight="true" outlineLevel="0" collapsed="false">
      <c r="A91" s="8" t="s">
        <v>19</v>
      </c>
      <c r="B91" s="8" t="s">
        <v>495</v>
      </c>
      <c r="C91" s="31" t="s">
        <v>404</v>
      </c>
      <c r="D91" s="23" t="s">
        <v>484</v>
      </c>
      <c r="E91" s="7" t="s">
        <v>496</v>
      </c>
      <c r="F91" s="9" t="s">
        <v>486</v>
      </c>
    </row>
    <row r="92" customFormat="false" ht="19.5" hidden="false" customHeight="true" outlineLevel="0" collapsed="false">
      <c r="A92" s="8" t="s">
        <v>19</v>
      </c>
      <c r="B92" s="8" t="s">
        <v>497</v>
      </c>
      <c r="C92" s="31" t="s">
        <v>404</v>
      </c>
      <c r="D92" s="26" t="s">
        <v>484</v>
      </c>
      <c r="E92" s="12" t="s">
        <v>498</v>
      </c>
      <c r="F92" s="13" t="s">
        <v>499</v>
      </c>
    </row>
    <row r="93" customFormat="false" ht="19.5" hidden="false" customHeight="true" outlineLevel="0" collapsed="false">
      <c r="A93" s="8" t="s">
        <v>19</v>
      </c>
      <c r="B93" s="8" t="s">
        <v>506</v>
      </c>
      <c r="C93" s="31" t="s">
        <v>404</v>
      </c>
      <c r="D93" s="23" t="s">
        <v>501</v>
      </c>
      <c r="E93" s="7" t="s">
        <v>507</v>
      </c>
      <c r="F93" s="9" t="s">
        <v>503</v>
      </c>
    </row>
    <row r="94" customFormat="false" ht="19.5" hidden="false" customHeight="true" outlineLevel="0" collapsed="false">
      <c r="A94" s="8" t="s">
        <v>19</v>
      </c>
      <c r="B94" s="8" t="s">
        <v>515</v>
      </c>
      <c r="C94" s="31" t="s">
        <v>404</v>
      </c>
      <c r="D94" s="26" t="s">
        <v>242</v>
      </c>
      <c r="E94" s="12" t="s">
        <v>516</v>
      </c>
      <c r="F94" s="13" t="s">
        <v>419</v>
      </c>
    </row>
    <row r="95" customFormat="false" ht="19.5" hidden="false" customHeight="true" outlineLevel="0" collapsed="false">
      <c r="A95" s="8" t="s">
        <v>19</v>
      </c>
      <c r="B95" s="8" t="s">
        <v>517</v>
      </c>
      <c r="C95" s="31" t="s">
        <v>404</v>
      </c>
      <c r="D95" s="23" t="s">
        <v>242</v>
      </c>
      <c r="E95" s="7" t="s">
        <v>518</v>
      </c>
      <c r="F95" s="9" t="s">
        <v>427</v>
      </c>
    </row>
    <row r="96" customFormat="false" ht="19.5" hidden="false" customHeight="true" outlineLevel="0" collapsed="false">
      <c r="A96" s="8" t="s">
        <v>19</v>
      </c>
      <c r="B96" s="8" t="s">
        <v>519</v>
      </c>
      <c r="C96" s="31" t="s">
        <v>404</v>
      </c>
      <c r="D96" s="26" t="s">
        <v>242</v>
      </c>
      <c r="E96" s="12" t="s">
        <v>520</v>
      </c>
      <c r="F96" s="13" t="s">
        <v>437</v>
      </c>
    </row>
    <row r="97" customFormat="false" ht="19.5" hidden="false" customHeight="true" outlineLevel="0" collapsed="false">
      <c r="A97" s="8" t="s">
        <v>19</v>
      </c>
      <c r="B97" s="8" t="s">
        <v>521</v>
      </c>
      <c r="C97" s="31" t="s">
        <v>404</v>
      </c>
      <c r="D97" s="23" t="s">
        <v>242</v>
      </c>
      <c r="E97" s="7" t="s">
        <v>522</v>
      </c>
      <c r="F97" s="9" t="s">
        <v>455</v>
      </c>
    </row>
    <row r="98" customFormat="false" ht="19.5" hidden="false" customHeight="true" outlineLevel="0" collapsed="false">
      <c r="A98" s="8" t="s">
        <v>19</v>
      </c>
      <c r="B98" s="8" t="s">
        <v>530</v>
      </c>
      <c r="C98" s="31" t="s">
        <v>404</v>
      </c>
      <c r="D98" s="26" t="s">
        <v>251</v>
      </c>
      <c r="E98" s="12" t="s">
        <v>531</v>
      </c>
      <c r="F98" s="13" t="s">
        <v>445</v>
      </c>
    </row>
    <row r="99" customFormat="false" ht="19.5" hidden="false" customHeight="true" outlineLevel="0" collapsed="false">
      <c r="A99" s="8" t="s">
        <v>19</v>
      </c>
      <c r="B99" s="8" t="s">
        <v>532</v>
      </c>
      <c r="C99" s="31" t="s">
        <v>404</v>
      </c>
      <c r="D99" s="23" t="s">
        <v>263</v>
      </c>
      <c r="E99" s="7" t="s">
        <v>533</v>
      </c>
      <c r="F99" s="9" t="s">
        <v>407</v>
      </c>
    </row>
    <row r="100" customFormat="false" ht="19.5" hidden="false" customHeight="true" outlineLevel="0" collapsed="false">
      <c r="A100" s="8" t="s">
        <v>19</v>
      </c>
      <c r="B100" s="8" t="s">
        <v>534</v>
      </c>
      <c r="C100" s="31" t="s">
        <v>404</v>
      </c>
      <c r="D100" s="26" t="s">
        <v>263</v>
      </c>
      <c r="E100" s="12" t="s">
        <v>535</v>
      </c>
      <c r="F100" s="13" t="s">
        <v>536</v>
      </c>
    </row>
    <row r="101" customFormat="false" ht="19.5" hidden="false" customHeight="true" outlineLevel="0" collapsed="false">
      <c r="A101" s="8" t="s">
        <v>19</v>
      </c>
      <c r="B101" s="8" t="s">
        <v>541</v>
      </c>
      <c r="C101" s="31" t="s">
        <v>404</v>
      </c>
      <c r="D101" s="23" t="s">
        <v>263</v>
      </c>
      <c r="E101" s="7" t="s">
        <v>542</v>
      </c>
      <c r="F101" s="9" t="s">
        <v>536</v>
      </c>
    </row>
    <row r="102" customFormat="false" ht="19.5" hidden="false" customHeight="true" outlineLevel="0" collapsed="false">
      <c r="A102" s="8" t="s">
        <v>19</v>
      </c>
      <c r="B102" s="8" t="s">
        <v>544</v>
      </c>
      <c r="C102" s="32" t="s">
        <v>545</v>
      </c>
      <c r="D102" s="26" t="s">
        <v>546</v>
      </c>
      <c r="E102" s="12" t="s">
        <v>547</v>
      </c>
      <c r="F102" s="13" t="s">
        <v>548</v>
      </c>
    </row>
    <row r="103" customFormat="false" ht="19.5" hidden="false" customHeight="true" outlineLevel="0" collapsed="false">
      <c r="A103" s="8" t="s">
        <v>19</v>
      </c>
      <c r="B103" s="8" t="s">
        <v>549</v>
      </c>
      <c r="C103" s="32" t="s">
        <v>545</v>
      </c>
      <c r="D103" s="23" t="s">
        <v>546</v>
      </c>
      <c r="E103" s="7" t="s">
        <v>550</v>
      </c>
      <c r="F103" s="9" t="s">
        <v>551</v>
      </c>
    </row>
    <row r="104" customFormat="false" ht="19.5" hidden="false" customHeight="true" outlineLevel="0" collapsed="false">
      <c r="A104" s="8" t="s">
        <v>19</v>
      </c>
      <c r="B104" s="8" t="s">
        <v>552</v>
      </c>
      <c r="C104" s="32" t="s">
        <v>545</v>
      </c>
      <c r="D104" s="26" t="s">
        <v>293</v>
      </c>
      <c r="E104" s="12" t="s">
        <v>553</v>
      </c>
      <c r="F104" s="13" t="s">
        <v>554</v>
      </c>
    </row>
    <row r="105" customFormat="false" ht="19.5" hidden="false" customHeight="true" outlineLevel="0" collapsed="false">
      <c r="A105" s="8" t="s">
        <v>19</v>
      </c>
      <c r="B105" s="8" t="s">
        <v>556</v>
      </c>
      <c r="C105" s="32" t="s">
        <v>545</v>
      </c>
      <c r="D105" s="23" t="s">
        <v>293</v>
      </c>
      <c r="E105" s="7" t="s">
        <v>557</v>
      </c>
      <c r="F105" s="9" t="s">
        <v>554</v>
      </c>
    </row>
    <row r="106" customFormat="false" ht="19.5" hidden="false" customHeight="true" outlineLevel="0" collapsed="false">
      <c r="A106" s="8" t="s">
        <v>19</v>
      </c>
      <c r="B106" s="8" t="s">
        <v>558</v>
      </c>
      <c r="C106" s="32" t="s">
        <v>545</v>
      </c>
      <c r="D106" s="26" t="s">
        <v>301</v>
      </c>
      <c r="E106" s="12" t="s">
        <v>559</v>
      </c>
      <c r="F106" s="13" t="s">
        <v>560</v>
      </c>
    </row>
    <row r="107" customFormat="false" ht="19.5" hidden="false" customHeight="true" outlineLevel="0" collapsed="false">
      <c r="A107" s="8" t="s">
        <v>19</v>
      </c>
      <c r="B107" s="8" t="s">
        <v>561</v>
      </c>
      <c r="C107" s="32" t="s">
        <v>545</v>
      </c>
      <c r="D107" s="23" t="s">
        <v>301</v>
      </c>
      <c r="E107" s="7" t="s">
        <v>305</v>
      </c>
      <c r="F107" s="9" t="s">
        <v>560</v>
      </c>
    </row>
    <row r="108" customFormat="false" ht="19.5" hidden="false" customHeight="true" outlineLevel="0" collapsed="false">
      <c r="A108" s="8" t="s">
        <v>19</v>
      </c>
      <c r="B108" s="8" t="s">
        <v>562</v>
      </c>
      <c r="C108" s="32" t="s">
        <v>545</v>
      </c>
      <c r="D108" s="26" t="s">
        <v>301</v>
      </c>
      <c r="E108" s="12" t="s">
        <v>307</v>
      </c>
      <c r="F108" s="13" t="s">
        <v>560</v>
      </c>
    </row>
    <row r="109" customFormat="false" ht="19.5" hidden="false" customHeight="true" outlineLevel="0" collapsed="false">
      <c r="A109" s="8" t="s">
        <v>19</v>
      </c>
      <c r="B109" s="8" t="s">
        <v>563</v>
      </c>
      <c r="C109" s="32" t="s">
        <v>545</v>
      </c>
      <c r="D109" s="23" t="s">
        <v>564</v>
      </c>
      <c r="E109" s="7" t="s">
        <v>565</v>
      </c>
      <c r="F109" s="9" t="s">
        <v>566</v>
      </c>
    </row>
    <row r="110" customFormat="false" ht="19.5" hidden="false" customHeight="true" outlineLevel="0" collapsed="false">
      <c r="A110" s="8" t="s">
        <v>19</v>
      </c>
      <c r="B110" s="8" t="s">
        <v>567</v>
      </c>
      <c r="C110" s="32" t="s">
        <v>545</v>
      </c>
      <c r="D110" s="26" t="s">
        <v>564</v>
      </c>
      <c r="E110" s="12" t="s">
        <v>568</v>
      </c>
      <c r="F110" s="13" t="s">
        <v>566</v>
      </c>
    </row>
    <row r="111" customFormat="false" ht="19.5" hidden="false" customHeight="true" outlineLevel="0" collapsed="false">
      <c r="A111" s="8" t="s">
        <v>19</v>
      </c>
      <c r="B111" s="8" t="s">
        <v>571</v>
      </c>
      <c r="C111" s="32" t="s">
        <v>545</v>
      </c>
      <c r="D111" s="23" t="s">
        <v>564</v>
      </c>
      <c r="E111" s="7" t="s">
        <v>572</v>
      </c>
      <c r="F111" s="9" t="s">
        <v>573</v>
      </c>
    </row>
    <row r="112" customFormat="false" ht="19.5" hidden="false" customHeight="true" outlineLevel="0" collapsed="false">
      <c r="A112" s="8" t="s">
        <v>19</v>
      </c>
      <c r="B112" s="8" t="s">
        <v>574</v>
      </c>
      <c r="C112" s="32" t="s">
        <v>545</v>
      </c>
      <c r="D112" s="26" t="s">
        <v>426</v>
      </c>
      <c r="E112" s="12" t="s">
        <v>332</v>
      </c>
      <c r="F112" s="13" t="s">
        <v>575</v>
      </c>
    </row>
    <row r="113" customFormat="false" ht="19.5" hidden="false" customHeight="true" outlineLevel="0" collapsed="false">
      <c r="A113" s="8" t="s">
        <v>19</v>
      </c>
      <c r="B113" s="8" t="s">
        <v>576</v>
      </c>
      <c r="C113" s="32" t="s">
        <v>545</v>
      </c>
      <c r="D113" s="23" t="s">
        <v>426</v>
      </c>
      <c r="E113" s="7" t="s">
        <v>429</v>
      </c>
      <c r="F113" s="9" t="s">
        <v>575</v>
      </c>
    </row>
    <row r="114" customFormat="false" ht="19.5" hidden="false" customHeight="true" outlineLevel="0" collapsed="false">
      <c r="A114" s="8" t="s">
        <v>19</v>
      </c>
      <c r="B114" s="8" t="s">
        <v>579</v>
      </c>
      <c r="C114" s="32" t="s">
        <v>545</v>
      </c>
      <c r="D114" s="26" t="s">
        <v>580</v>
      </c>
      <c r="E114" s="12" t="s">
        <v>581</v>
      </c>
      <c r="F114" s="13" t="s">
        <v>582</v>
      </c>
    </row>
    <row r="115" customFormat="false" ht="19.5" hidden="false" customHeight="true" outlineLevel="0" collapsed="false">
      <c r="A115" s="8" t="s">
        <v>19</v>
      </c>
      <c r="B115" s="8" t="s">
        <v>583</v>
      </c>
      <c r="C115" s="32" t="s">
        <v>545</v>
      </c>
      <c r="D115" s="23" t="s">
        <v>580</v>
      </c>
      <c r="E115" s="7" t="s">
        <v>584</v>
      </c>
      <c r="F115" s="9" t="s">
        <v>582</v>
      </c>
    </row>
    <row r="116" customFormat="false" ht="19.5" hidden="false" customHeight="true" outlineLevel="0" collapsed="false">
      <c r="A116" s="8" t="s">
        <v>19</v>
      </c>
      <c r="B116" s="8" t="s">
        <v>585</v>
      </c>
      <c r="C116" s="32" t="s">
        <v>545</v>
      </c>
      <c r="D116" s="26" t="s">
        <v>580</v>
      </c>
      <c r="E116" s="12" t="s">
        <v>586</v>
      </c>
      <c r="F116" s="13" t="s">
        <v>582</v>
      </c>
    </row>
    <row r="117" customFormat="false" ht="19.5" hidden="false" customHeight="true" outlineLevel="0" collapsed="false">
      <c r="A117" s="8" t="s">
        <v>19</v>
      </c>
      <c r="B117" s="8" t="s">
        <v>589</v>
      </c>
      <c r="C117" s="32" t="s">
        <v>545</v>
      </c>
      <c r="D117" s="23" t="s">
        <v>580</v>
      </c>
      <c r="E117" s="7" t="s">
        <v>590</v>
      </c>
      <c r="F117" s="9" t="s">
        <v>582</v>
      </c>
    </row>
    <row r="118" customFormat="false" ht="19.5" hidden="false" customHeight="true" outlineLevel="0" collapsed="false">
      <c r="A118" s="8" t="s">
        <v>19</v>
      </c>
      <c r="B118" s="8" t="s">
        <v>591</v>
      </c>
      <c r="C118" s="32" t="s">
        <v>545</v>
      </c>
      <c r="D118" s="26" t="s">
        <v>580</v>
      </c>
      <c r="E118" s="12" t="s">
        <v>322</v>
      </c>
      <c r="F118" s="13" t="s">
        <v>582</v>
      </c>
    </row>
    <row r="119" customFormat="false" ht="19.5" hidden="false" customHeight="true" outlineLevel="0" collapsed="false">
      <c r="A119" s="8" t="s">
        <v>19</v>
      </c>
      <c r="B119" s="8" t="s">
        <v>592</v>
      </c>
      <c r="C119" s="32" t="s">
        <v>545</v>
      </c>
      <c r="D119" s="23" t="s">
        <v>580</v>
      </c>
      <c r="E119" s="7" t="s">
        <v>593</v>
      </c>
      <c r="F119" s="9" t="s">
        <v>594</v>
      </c>
    </row>
    <row r="120" customFormat="false" ht="19.5" hidden="false" customHeight="true" outlineLevel="0" collapsed="false">
      <c r="A120" s="8" t="s">
        <v>19</v>
      </c>
      <c r="B120" s="8" t="s">
        <v>601</v>
      </c>
      <c r="C120" s="32" t="s">
        <v>545</v>
      </c>
      <c r="D120" s="26" t="s">
        <v>596</v>
      </c>
      <c r="E120" s="12" t="s">
        <v>602</v>
      </c>
      <c r="F120" s="13" t="s">
        <v>598</v>
      </c>
    </row>
    <row r="121" customFormat="false" ht="19.5" hidden="false" customHeight="true" outlineLevel="0" collapsed="false">
      <c r="A121" s="8" t="s">
        <v>19</v>
      </c>
      <c r="B121" s="8" t="s">
        <v>603</v>
      </c>
      <c r="C121" s="32" t="s">
        <v>545</v>
      </c>
      <c r="D121" s="23" t="s">
        <v>596</v>
      </c>
      <c r="E121" s="7" t="s">
        <v>604</v>
      </c>
      <c r="F121" s="9" t="s">
        <v>598</v>
      </c>
    </row>
    <row r="122" customFormat="false" ht="19.5" hidden="false" customHeight="true" outlineLevel="0" collapsed="false">
      <c r="A122" s="8" t="s">
        <v>19</v>
      </c>
      <c r="B122" s="8" t="s">
        <v>605</v>
      </c>
      <c r="C122" s="32" t="s">
        <v>545</v>
      </c>
      <c r="D122" s="26" t="s">
        <v>596</v>
      </c>
      <c r="E122" s="12" t="s">
        <v>606</v>
      </c>
      <c r="F122" s="13" t="s">
        <v>598</v>
      </c>
    </row>
    <row r="123" customFormat="false" ht="19.5" hidden="false" customHeight="true" outlineLevel="0" collapsed="false">
      <c r="A123" s="8" t="s">
        <v>19</v>
      </c>
      <c r="B123" s="8" t="s">
        <v>607</v>
      </c>
      <c r="C123" s="32" t="s">
        <v>545</v>
      </c>
      <c r="D123" s="23" t="s">
        <v>596</v>
      </c>
      <c r="E123" s="7" t="s">
        <v>608</v>
      </c>
      <c r="F123" s="9" t="s">
        <v>594</v>
      </c>
    </row>
    <row r="124" customFormat="false" ht="19.5" hidden="false" customHeight="true" outlineLevel="0" collapsed="false">
      <c r="A124" s="8" t="s">
        <v>19</v>
      </c>
      <c r="B124" s="8" t="s">
        <v>617</v>
      </c>
      <c r="C124" s="32" t="s">
        <v>545</v>
      </c>
      <c r="D124" s="26" t="s">
        <v>618</v>
      </c>
      <c r="E124" s="12" t="s">
        <v>619</v>
      </c>
      <c r="F124" s="13" t="s">
        <v>620</v>
      </c>
    </row>
    <row r="125" customFormat="false" ht="19.5" hidden="false" customHeight="true" outlineLevel="0" collapsed="false">
      <c r="A125" s="8" t="s">
        <v>19</v>
      </c>
      <c r="B125" s="8" t="s">
        <v>621</v>
      </c>
      <c r="C125" s="32" t="s">
        <v>545</v>
      </c>
      <c r="D125" s="23" t="s">
        <v>618</v>
      </c>
      <c r="E125" s="7" t="s">
        <v>439</v>
      </c>
      <c r="F125" s="9" t="s">
        <v>620</v>
      </c>
    </row>
    <row r="126" customFormat="false" ht="19.5" hidden="false" customHeight="true" outlineLevel="0" collapsed="false">
      <c r="A126" s="8" t="s">
        <v>19</v>
      </c>
      <c r="B126" s="8" t="s">
        <v>622</v>
      </c>
      <c r="C126" s="32" t="s">
        <v>545</v>
      </c>
      <c r="D126" s="26" t="s">
        <v>618</v>
      </c>
      <c r="E126" s="12" t="s">
        <v>623</v>
      </c>
      <c r="F126" s="13" t="s">
        <v>620</v>
      </c>
    </row>
    <row r="127" customFormat="false" ht="19.5" hidden="false" customHeight="true" outlineLevel="0" collapsed="false">
      <c r="A127" s="8" t="s">
        <v>19</v>
      </c>
      <c r="B127" s="8" t="s">
        <v>624</v>
      </c>
      <c r="C127" s="32" t="s">
        <v>545</v>
      </c>
      <c r="D127" s="23" t="s">
        <v>618</v>
      </c>
      <c r="E127" s="7" t="s">
        <v>625</v>
      </c>
      <c r="F127" s="9" t="s">
        <v>620</v>
      </c>
    </row>
    <row r="128" customFormat="false" ht="19.5" hidden="false" customHeight="true" outlineLevel="0" collapsed="false">
      <c r="A128" s="8" t="s">
        <v>19</v>
      </c>
      <c r="B128" s="8" t="s">
        <v>634</v>
      </c>
      <c r="C128" s="32" t="s">
        <v>545</v>
      </c>
      <c r="D128" s="26" t="s">
        <v>635</v>
      </c>
      <c r="E128" s="12" t="s">
        <v>636</v>
      </c>
      <c r="F128" s="13" t="s">
        <v>573</v>
      </c>
    </row>
    <row r="129" customFormat="false" ht="19.5" hidden="false" customHeight="true" outlineLevel="0" collapsed="false">
      <c r="A129" s="8" t="s">
        <v>19</v>
      </c>
      <c r="B129" s="8" t="s">
        <v>637</v>
      </c>
      <c r="C129" s="32" t="s">
        <v>545</v>
      </c>
      <c r="D129" s="23" t="s">
        <v>635</v>
      </c>
      <c r="E129" s="7" t="s">
        <v>638</v>
      </c>
      <c r="F129" s="9" t="s">
        <v>573</v>
      </c>
    </row>
    <row r="130" customFormat="false" ht="19.5" hidden="false" customHeight="true" outlineLevel="0" collapsed="false">
      <c r="A130" s="8" t="s">
        <v>19</v>
      </c>
      <c r="B130" s="8" t="s">
        <v>639</v>
      </c>
      <c r="C130" s="32" t="s">
        <v>545</v>
      </c>
      <c r="D130" s="26" t="s">
        <v>635</v>
      </c>
      <c r="E130" s="12" t="s">
        <v>640</v>
      </c>
      <c r="F130" s="13" t="s">
        <v>573</v>
      </c>
    </row>
    <row r="131" customFormat="false" ht="19.5" hidden="false" customHeight="true" outlineLevel="0" collapsed="false">
      <c r="A131" s="8" t="s">
        <v>19</v>
      </c>
      <c r="B131" s="8" t="s">
        <v>641</v>
      </c>
      <c r="C131" s="32" t="s">
        <v>545</v>
      </c>
      <c r="D131" s="23" t="s">
        <v>635</v>
      </c>
      <c r="E131" s="7" t="s">
        <v>642</v>
      </c>
      <c r="F131" s="9" t="s">
        <v>573</v>
      </c>
    </row>
    <row r="132" customFormat="false" ht="19.5" hidden="false" customHeight="true" outlineLevel="0" collapsed="false">
      <c r="A132" s="8" t="s">
        <v>19</v>
      </c>
      <c r="B132" s="8" t="s">
        <v>645</v>
      </c>
      <c r="C132" s="32" t="s">
        <v>545</v>
      </c>
      <c r="D132" s="26" t="s">
        <v>646</v>
      </c>
      <c r="E132" s="12" t="s">
        <v>647</v>
      </c>
      <c r="F132" s="13" t="s">
        <v>648</v>
      </c>
    </row>
    <row r="133" customFormat="false" ht="19.5" hidden="false" customHeight="true" outlineLevel="0" collapsed="false">
      <c r="A133" s="8" t="s">
        <v>19</v>
      </c>
      <c r="B133" s="8" t="s">
        <v>649</v>
      </c>
      <c r="C133" s="32" t="s">
        <v>545</v>
      </c>
      <c r="D133" s="23" t="s">
        <v>646</v>
      </c>
      <c r="E133" s="7" t="s">
        <v>650</v>
      </c>
      <c r="F133" s="9" t="s">
        <v>648</v>
      </c>
    </row>
    <row r="134" customFormat="false" ht="19.5" hidden="false" customHeight="true" outlineLevel="0" collapsed="false">
      <c r="A134" s="8" t="s">
        <v>19</v>
      </c>
      <c r="B134" s="8" t="s">
        <v>651</v>
      </c>
      <c r="C134" s="32" t="s">
        <v>545</v>
      </c>
      <c r="D134" s="26" t="s">
        <v>646</v>
      </c>
      <c r="E134" s="12" t="s">
        <v>652</v>
      </c>
      <c r="F134" s="13" t="s">
        <v>648</v>
      </c>
    </row>
    <row r="135" customFormat="false" ht="19.5" hidden="false" customHeight="true" outlineLevel="0" collapsed="false">
      <c r="A135" s="8" t="s">
        <v>19</v>
      </c>
      <c r="B135" s="8" t="s">
        <v>653</v>
      </c>
      <c r="C135" s="32" t="s">
        <v>545</v>
      </c>
      <c r="D135" s="23" t="s">
        <v>646</v>
      </c>
      <c r="E135" s="7" t="s">
        <v>654</v>
      </c>
      <c r="F135" s="9" t="s">
        <v>648</v>
      </c>
    </row>
    <row r="136" customFormat="false" ht="19.5" hidden="false" customHeight="true" outlineLevel="0" collapsed="false">
      <c r="A136" s="8" t="s">
        <v>19</v>
      </c>
      <c r="B136" s="8" t="s">
        <v>655</v>
      </c>
      <c r="C136" s="32" t="s">
        <v>545</v>
      </c>
      <c r="D136" s="26" t="s">
        <v>646</v>
      </c>
      <c r="E136" s="12" t="s">
        <v>656</v>
      </c>
      <c r="F136" s="13" t="s">
        <v>620</v>
      </c>
    </row>
    <row r="137" customFormat="false" ht="19.5" hidden="false" customHeight="true" outlineLevel="0" collapsed="false">
      <c r="A137" s="8" t="s">
        <v>19</v>
      </c>
      <c r="B137" s="8" t="s">
        <v>657</v>
      </c>
      <c r="C137" s="32" t="s">
        <v>545</v>
      </c>
      <c r="D137" s="23" t="s">
        <v>242</v>
      </c>
      <c r="E137" s="7" t="s">
        <v>658</v>
      </c>
      <c r="F137" s="9" t="s">
        <v>560</v>
      </c>
    </row>
    <row r="138" customFormat="false" ht="19.5" hidden="false" customHeight="true" outlineLevel="0" collapsed="false">
      <c r="A138" s="8" t="s">
        <v>19</v>
      </c>
      <c r="B138" s="8" t="s">
        <v>659</v>
      </c>
      <c r="C138" s="32" t="s">
        <v>545</v>
      </c>
      <c r="D138" s="26" t="s">
        <v>242</v>
      </c>
      <c r="E138" s="12" t="s">
        <v>660</v>
      </c>
      <c r="F138" s="13" t="s">
        <v>566</v>
      </c>
    </row>
    <row r="139" customFormat="false" ht="19.5" hidden="false" customHeight="true" outlineLevel="0" collapsed="false">
      <c r="A139" s="8" t="s">
        <v>19</v>
      </c>
      <c r="B139" s="8" t="s">
        <v>661</v>
      </c>
      <c r="C139" s="32" t="s">
        <v>545</v>
      </c>
      <c r="D139" s="23" t="s">
        <v>242</v>
      </c>
      <c r="E139" s="7" t="s">
        <v>662</v>
      </c>
      <c r="F139" s="9" t="s">
        <v>582</v>
      </c>
    </row>
    <row r="140" customFormat="false" ht="19.5" hidden="false" customHeight="true" outlineLevel="0" collapsed="false">
      <c r="A140" s="8" t="s">
        <v>19</v>
      </c>
      <c r="B140" s="8" t="s">
        <v>663</v>
      </c>
      <c r="C140" s="32" t="s">
        <v>545</v>
      </c>
      <c r="D140" s="26" t="s">
        <v>242</v>
      </c>
      <c r="E140" s="12" t="s">
        <v>664</v>
      </c>
      <c r="F140" s="13" t="s">
        <v>582</v>
      </c>
    </row>
    <row r="141" customFormat="false" ht="19.5" hidden="false" customHeight="true" outlineLevel="0" collapsed="false">
      <c r="A141" s="8" t="s">
        <v>19</v>
      </c>
      <c r="B141" s="8" t="s">
        <v>665</v>
      </c>
      <c r="C141" s="32" t="s">
        <v>545</v>
      </c>
      <c r="D141" s="23" t="s">
        <v>242</v>
      </c>
      <c r="E141" s="7" t="s">
        <v>666</v>
      </c>
      <c r="F141" s="9" t="s">
        <v>582</v>
      </c>
    </row>
    <row r="142" customFormat="false" ht="19.5" hidden="false" customHeight="true" outlineLevel="0" collapsed="false">
      <c r="A142" s="8" t="s">
        <v>19</v>
      </c>
      <c r="B142" s="8" t="s">
        <v>676</v>
      </c>
      <c r="C142" s="32" t="s">
        <v>545</v>
      </c>
      <c r="D142" s="26" t="s">
        <v>251</v>
      </c>
      <c r="E142" s="12" t="s">
        <v>677</v>
      </c>
      <c r="F142" s="13" t="s">
        <v>648</v>
      </c>
    </row>
    <row r="143" customFormat="false" ht="19.5" hidden="false" customHeight="true" outlineLevel="0" collapsed="false">
      <c r="A143" s="8" t="s">
        <v>19</v>
      </c>
      <c r="B143" s="8" t="s">
        <v>678</v>
      </c>
      <c r="C143" s="32" t="s">
        <v>545</v>
      </c>
      <c r="D143" s="23" t="s">
        <v>263</v>
      </c>
      <c r="E143" s="7" t="s">
        <v>679</v>
      </c>
      <c r="F143" s="9" t="s">
        <v>548</v>
      </c>
    </row>
    <row r="144" customFormat="false" ht="19.5" hidden="false" customHeight="true" outlineLevel="0" collapsed="false">
      <c r="A144" s="8" t="s">
        <v>19</v>
      </c>
      <c r="B144" s="8" t="s">
        <v>680</v>
      </c>
      <c r="C144" s="32" t="s">
        <v>545</v>
      </c>
      <c r="D144" s="26" t="s">
        <v>263</v>
      </c>
      <c r="E144" s="12" t="s">
        <v>681</v>
      </c>
      <c r="F144" s="13" t="s">
        <v>682</v>
      </c>
    </row>
    <row r="145" customFormat="false" ht="19.5" hidden="false" customHeight="true" outlineLevel="0" collapsed="false">
      <c r="A145" s="8" t="s">
        <v>19</v>
      </c>
      <c r="B145" s="8" t="s">
        <v>687</v>
      </c>
      <c r="C145" s="32" t="s">
        <v>545</v>
      </c>
      <c r="D145" s="23" t="s">
        <v>263</v>
      </c>
      <c r="E145" s="7" t="s">
        <v>688</v>
      </c>
      <c r="F145" s="9" t="s">
        <v>682</v>
      </c>
    </row>
    <row r="146" customFormat="false" ht="19.5" hidden="false" customHeight="true" outlineLevel="0" collapsed="false">
      <c r="A146" s="8" t="s">
        <v>19</v>
      </c>
      <c r="B146" s="8" t="s">
        <v>692</v>
      </c>
      <c r="C146" s="33" t="s">
        <v>693</v>
      </c>
      <c r="D146" s="26" t="s">
        <v>694</v>
      </c>
      <c r="E146" s="12" t="s">
        <v>695</v>
      </c>
      <c r="F146" s="13" t="s">
        <v>696</v>
      </c>
    </row>
    <row r="147" customFormat="false" ht="19.5" hidden="false" customHeight="true" outlineLevel="0" collapsed="false">
      <c r="A147" s="8" t="s">
        <v>19</v>
      </c>
      <c r="B147" s="8" t="s">
        <v>697</v>
      </c>
      <c r="C147" s="33" t="s">
        <v>693</v>
      </c>
      <c r="D147" s="23" t="s">
        <v>694</v>
      </c>
      <c r="E147" s="7" t="s">
        <v>698</v>
      </c>
      <c r="F147" s="9" t="s">
        <v>699</v>
      </c>
    </row>
    <row r="148" customFormat="false" ht="19.5" hidden="false" customHeight="true" outlineLevel="0" collapsed="false">
      <c r="A148" s="8" t="s">
        <v>19</v>
      </c>
      <c r="B148" s="8" t="s">
        <v>708</v>
      </c>
      <c r="C148" s="33" t="s">
        <v>693</v>
      </c>
      <c r="D148" s="26" t="s">
        <v>709</v>
      </c>
      <c r="E148" s="12" t="s">
        <v>710</v>
      </c>
      <c r="F148" s="13" t="s">
        <v>705</v>
      </c>
    </row>
    <row r="149" customFormat="false" ht="19.5" hidden="false" customHeight="true" outlineLevel="0" collapsed="false">
      <c r="A149" s="8" t="s">
        <v>19</v>
      </c>
      <c r="B149" s="8" t="s">
        <v>711</v>
      </c>
      <c r="C149" s="33" t="s">
        <v>693</v>
      </c>
      <c r="D149" s="23" t="s">
        <v>709</v>
      </c>
      <c r="E149" s="7" t="s">
        <v>712</v>
      </c>
      <c r="F149" s="9" t="s">
        <v>705</v>
      </c>
    </row>
    <row r="150" customFormat="false" ht="19.5" hidden="false" customHeight="true" outlineLevel="0" collapsed="false">
      <c r="A150" s="8" t="s">
        <v>19</v>
      </c>
      <c r="B150" s="8" t="s">
        <v>718</v>
      </c>
      <c r="C150" s="33" t="s">
        <v>693</v>
      </c>
      <c r="D150" s="26" t="s">
        <v>719</v>
      </c>
      <c r="E150" s="12" t="s">
        <v>720</v>
      </c>
      <c r="F150" s="13" t="s">
        <v>721</v>
      </c>
    </row>
    <row r="151" customFormat="false" ht="19.5" hidden="false" customHeight="true" outlineLevel="0" collapsed="false">
      <c r="A151" s="8" t="s">
        <v>19</v>
      </c>
      <c r="B151" s="8" t="s">
        <v>726</v>
      </c>
      <c r="C151" s="33" t="s">
        <v>693</v>
      </c>
      <c r="D151" s="23" t="s">
        <v>719</v>
      </c>
      <c r="E151" s="7" t="s">
        <v>727</v>
      </c>
      <c r="F151" s="9" t="s">
        <v>721</v>
      </c>
    </row>
    <row r="152" customFormat="false" ht="19.5" hidden="false" customHeight="true" outlineLevel="0" collapsed="false">
      <c r="A152" s="8" t="s">
        <v>19</v>
      </c>
      <c r="B152" s="8" t="s">
        <v>734</v>
      </c>
      <c r="C152" s="33" t="s">
        <v>693</v>
      </c>
      <c r="D152" s="26" t="s">
        <v>729</v>
      </c>
      <c r="E152" s="12" t="s">
        <v>735</v>
      </c>
      <c r="F152" s="13" t="s">
        <v>736</v>
      </c>
    </row>
    <row r="153" customFormat="false" ht="19.5" hidden="false" customHeight="true" outlineLevel="0" collapsed="false">
      <c r="A153" s="8" t="s">
        <v>19</v>
      </c>
      <c r="B153" s="8" t="s">
        <v>737</v>
      </c>
      <c r="C153" s="33" t="s">
        <v>693</v>
      </c>
      <c r="D153" s="23" t="s">
        <v>729</v>
      </c>
      <c r="E153" s="7" t="s">
        <v>738</v>
      </c>
      <c r="F153" s="9" t="s">
        <v>736</v>
      </c>
    </row>
    <row r="154" customFormat="false" ht="19.5" hidden="false" customHeight="true" outlineLevel="0" collapsed="false">
      <c r="A154" s="8" t="s">
        <v>19</v>
      </c>
      <c r="B154" s="8" t="s">
        <v>739</v>
      </c>
      <c r="C154" s="33" t="s">
        <v>693</v>
      </c>
      <c r="D154" s="26" t="s">
        <v>729</v>
      </c>
      <c r="E154" s="12" t="s">
        <v>740</v>
      </c>
      <c r="F154" s="13" t="s">
        <v>736</v>
      </c>
    </row>
    <row r="155" customFormat="false" ht="19.5" hidden="false" customHeight="true" outlineLevel="0" collapsed="false">
      <c r="A155" s="8" t="s">
        <v>19</v>
      </c>
      <c r="B155" s="8" t="s">
        <v>741</v>
      </c>
      <c r="C155" s="33" t="s">
        <v>693</v>
      </c>
      <c r="D155" s="23" t="s">
        <v>742</v>
      </c>
      <c r="E155" s="7" t="s">
        <v>743</v>
      </c>
      <c r="F155" s="9" t="s">
        <v>744</v>
      </c>
    </row>
    <row r="156" customFormat="false" ht="19.5" hidden="false" customHeight="true" outlineLevel="0" collapsed="false">
      <c r="A156" s="8" t="s">
        <v>19</v>
      </c>
      <c r="B156" s="8" t="s">
        <v>745</v>
      </c>
      <c r="C156" s="33" t="s">
        <v>693</v>
      </c>
      <c r="D156" s="26" t="s">
        <v>742</v>
      </c>
      <c r="E156" s="12" t="s">
        <v>746</v>
      </c>
      <c r="F156" s="13" t="s">
        <v>744</v>
      </c>
    </row>
    <row r="157" customFormat="false" ht="19.5" hidden="false" customHeight="true" outlineLevel="0" collapsed="false">
      <c r="A157" s="8" t="s">
        <v>19</v>
      </c>
      <c r="B157" s="8" t="s">
        <v>747</v>
      </c>
      <c r="C157" s="33" t="s">
        <v>693</v>
      </c>
      <c r="D157" s="23" t="s">
        <v>742</v>
      </c>
      <c r="E157" s="7" t="s">
        <v>748</v>
      </c>
      <c r="F157" s="9" t="s">
        <v>744</v>
      </c>
    </row>
    <row r="158" customFormat="false" ht="19.5" hidden="false" customHeight="true" outlineLevel="0" collapsed="false">
      <c r="A158" s="8" t="s">
        <v>19</v>
      </c>
      <c r="B158" s="8" t="s">
        <v>751</v>
      </c>
      <c r="C158" s="33" t="s">
        <v>693</v>
      </c>
      <c r="D158" s="26" t="s">
        <v>752</v>
      </c>
      <c r="E158" s="12" t="s">
        <v>753</v>
      </c>
      <c r="F158" s="13" t="s">
        <v>702</v>
      </c>
    </row>
    <row r="159" customFormat="false" ht="19.5" hidden="false" customHeight="true" outlineLevel="0" collapsed="false">
      <c r="A159" s="8" t="s">
        <v>19</v>
      </c>
      <c r="B159" s="8" t="s">
        <v>760</v>
      </c>
      <c r="C159" s="33" t="s">
        <v>693</v>
      </c>
      <c r="D159" s="23" t="s">
        <v>752</v>
      </c>
      <c r="E159" s="7" t="s">
        <v>761</v>
      </c>
      <c r="F159" s="9" t="s">
        <v>702</v>
      </c>
    </row>
    <row r="160" customFormat="false" ht="19.5" hidden="false" customHeight="true" outlineLevel="0" collapsed="false">
      <c r="A160" s="8" t="s">
        <v>19</v>
      </c>
      <c r="B160" s="8" t="s">
        <v>762</v>
      </c>
      <c r="C160" s="33" t="s">
        <v>693</v>
      </c>
      <c r="D160" s="26" t="s">
        <v>763</v>
      </c>
      <c r="E160" s="12" t="s">
        <v>764</v>
      </c>
      <c r="F160" s="13" t="s">
        <v>765</v>
      </c>
    </row>
    <row r="161" customFormat="false" ht="19.5" hidden="false" customHeight="true" outlineLevel="0" collapsed="false">
      <c r="A161" s="8" t="s">
        <v>19</v>
      </c>
      <c r="B161" s="8" t="s">
        <v>770</v>
      </c>
      <c r="C161" s="33" t="s">
        <v>693</v>
      </c>
      <c r="D161" s="23" t="s">
        <v>763</v>
      </c>
      <c r="E161" s="7" t="s">
        <v>771</v>
      </c>
      <c r="F161" s="9" t="s">
        <v>765</v>
      </c>
    </row>
    <row r="162" customFormat="false" ht="19.5" hidden="false" customHeight="true" outlineLevel="0" collapsed="false">
      <c r="A162" s="8" t="s">
        <v>19</v>
      </c>
      <c r="B162" s="8" t="s">
        <v>772</v>
      </c>
      <c r="C162" s="33" t="s">
        <v>693</v>
      </c>
      <c r="D162" s="26" t="s">
        <v>773</v>
      </c>
      <c r="E162" s="12" t="s">
        <v>774</v>
      </c>
      <c r="F162" s="13" t="s">
        <v>775</v>
      </c>
    </row>
    <row r="163" customFormat="false" ht="19.5" hidden="false" customHeight="true" outlineLevel="0" collapsed="false">
      <c r="A163" s="8" t="s">
        <v>19</v>
      </c>
      <c r="B163" s="8" t="s">
        <v>776</v>
      </c>
      <c r="C163" s="33" t="s">
        <v>693</v>
      </c>
      <c r="D163" s="23" t="s">
        <v>773</v>
      </c>
      <c r="E163" s="7" t="s">
        <v>777</v>
      </c>
      <c r="F163" s="9" t="s">
        <v>775</v>
      </c>
    </row>
    <row r="164" customFormat="false" ht="19.5" hidden="false" customHeight="true" outlineLevel="0" collapsed="false">
      <c r="A164" s="8" t="s">
        <v>19</v>
      </c>
      <c r="B164" s="8" t="s">
        <v>778</v>
      </c>
      <c r="C164" s="33" t="s">
        <v>693</v>
      </c>
      <c r="D164" s="26" t="s">
        <v>773</v>
      </c>
      <c r="E164" s="12" t="s">
        <v>779</v>
      </c>
      <c r="F164" s="13" t="s">
        <v>775</v>
      </c>
    </row>
    <row r="165" customFormat="false" ht="19.5" hidden="false" customHeight="true" outlineLevel="0" collapsed="false">
      <c r="A165" s="8" t="s">
        <v>19</v>
      </c>
      <c r="B165" s="8" t="s">
        <v>790</v>
      </c>
      <c r="C165" s="33" t="s">
        <v>693</v>
      </c>
      <c r="D165" s="23" t="s">
        <v>242</v>
      </c>
      <c r="E165" s="7" t="s">
        <v>791</v>
      </c>
      <c r="F165" s="9" t="s">
        <v>696</v>
      </c>
    </row>
    <row r="166" customFormat="false" ht="19.5" hidden="false" customHeight="true" outlineLevel="0" collapsed="false">
      <c r="A166" s="8" t="s">
        <v>19</v>
      </c>
      <c r="B166" s="8" t="s">
        <v>792</v>
      </c>
      <c r="C166" s="33" t="s">
        <v>693</v>
      </c>
      <c r="D166" s="26" t="s">
        <v>242</v>
      </c>
      <c r="E166" s="12" t="s">
        <v>793</v>
      </c>
      <c r="F166" s="13" t="s">
        <v>794</v>
      </c>
    </row>
    <row r="167" customFormat="false" ht="19.5" hidden="false" customHeight="true" outlineLevel="0" collapsed="false">
      <c r="A167" s="8" t="s">
        <v>19</v>
      </c>
      <c r="B167" s="8" t="s">
        <v>795</v>
      </c>
      <c r="C167" s="33" t="s">
        <v>693</v>
      </c>
      <c r="D167" s="23" t="s">
        <v>242</v>
      </c>
      <c r="E167" s="7" t="s">
        <v>193</v>
      </c>
      <c r="F167" s="9" t="s">
        <v>794</v>
      </c>
    </row>
    <row r="168" customFormat="false" ht="19.5" hidden="false" customHeight="true" outlineLevel="0" collapsed="false">
      <c r="A168" s="8" t="s">
        <v>19</v>
      </c>
      <c r="B168" s="8" t="s">
        <v>799</v>
      </c>
      <c r="C168" s="33" t="s">
        <v>693</v>
      </c>
      <c r="D168" s="26" t="s">
        <v>251</v>
      </c>
      <c r="E168" s="12" t="s">
        <v>800</v>
      </c>
      <c r="F168" s="13" t="s">
        <v>798</v>
      </c>
    </row>
    <row r="169" customFormat="false" ht="19.5" hidden="false" customHeight="true" outlineLevel="0" collapsed="false">
      <c r="A169" s="8" t="s">
        <v>19</v>
      </c>
      <c r="B169" s="8" t="s">
        <v>807</v>
      </c>
      <c r="C169" s="33" t="s">
        <v>693</v>
      </c>
      <c r="D169" s="23" t="s">
        <v>804</v>
      </c>
      <c r="E169" s="7" t="s">
        <v>808</v>
      </c>
      <c r="F169" s="9" t="s">
        <v>806</v>
      </c>
    </row>
    <row r="170" customFormat="false" ht="19.5" hidden="false" customHeight="true" outlineLevel="0" collapsed="false">
      <c r="A170" s="8" t="s">
        <v>19</v>
      </c>
      <c r="B170" s="8" t="s">
        <v>811</v>
      </c>
      <c r="C170" s="33" t="s">
        <v>693</v>
      </c>
      <c r="D170" s="26" t="s">
        <v>812</v>
      </c>
      <c r="E170" s="12" t="s">
        <v>813</v>
      </c>
      <c r="F170" s="13" t="s">
        <v>814</v>
      </c>
    </row>
    <row r="171" customFormat="false" ht="19.5" hidden="false" customHeight="true" outlineLevel="0" collapsed="false">
      <c r="A171" s="8" t="s">
        <v>19</v>
      </c>
      <c r="B171" s="8" t="s">
        <v>815</v>
      </c>
      <c r="C171" s="33" t="s">
        <v>693</v>
      </c>
      <c r="D171" s="23" t="s">
        <v>812</v>
      </c>
      <c r="E171" s="7" t="s">
        <v>816</v>
      </c>
      <c r="F171" s="9" t="s">
        <v>814</v>
      </c>
    </row>
    <row r="172" customFormat="false" ht="19.5" hidden="false" customHeight="true" outlineLevel="0" collapsed="false">
      <c r="A172" s="8" t="s">
        <v>19</v>
      </c>
      <c r="B172" s="8" t="s">
        <v>817</v>
      </c>
      <c r="C172" s="33" t="s">
        <v>693</v>
      </c>
      <c r="D172" s="26" t="s">
        <v>812</v>
      </c>
      <c r="E172" s="12" t="s">
        <v>818</v>
      </c>
      <c r="F172" s="13" t="s">
        <v>814</v>
      </c>
    </row>
    <row r="173" customFormat="false" ht="19.5" hidden="false" customHeight="true" outlineLevel="0" collapsed="false">
      <c r="A173" s="14" t="s">
        <v>27</v>
      </c>
      <c r="B173" s="14" t="s">
        <v>25</v>
      </c>
      <c r="C173" s="22" t="s">
        <v>16</v>
      </c>
      <c r="D173" s="23" t="s">
        <v>17</v>
      </c>
      <c r="E173" s="7" t="s">
        <v>26</v>
      </c>
      <c r="F173" s="9" t="s">
        <v>28</v>
      </c>
    </row>
    <row r="174" customFormat="false" ht="19.5" hidden="false" customHeight="true" outlineLevel="0" collapsed="false">
      <c r="A174" s="14" t="s">
        <v>27</v>
      </c>
      <c r="B174" s="14" t="s">
        <v>29</v>
      </c>
      <c r="C174" s="22" t="s">
        <v>16</v>
      </c>
      <c r="D174" s="26" t="s">
        <v>17</v>
      </c>
      <c r="E174" s="12" t="s">
        <v>30</v>
      </c>
      <c r="F174" s="13" t="s">
        <v>28</v>
      </c>
    </row>
    <row r="175" customFormat="false" ht="19.5" hidden="false" customHeight="true" outlineLevel="0" collapsed="false">
      <c r="A175" s="14" t="s">
        <v>27</v>
      </c>
      <c r="B175" s="14" t="s">
        <v>40</v>
      </c>
      <c r="C175" s="22" t="s">
        <v>16</v>
      </c>
      <c r="D175" s="23" t="s">
        <v>32</v>
      </c>
      <c r="E175" s="7" t="s">
        <v>41</v>
      </c>
      <c r="F175" s="9" t="s">
        <v>34</v>
      </c>
    </row>
    <row r="176" customFormat="false" ht="19.5" hidden="false" customHeight="true" outlineLevel="0" collapsed="false">
      <c r="A176" s="14" t="s">
        <v>27</v>
      </c>
      <c r="B176" s="14" t="s">
        <v>42</v>
      </c>
      <c r="C176" s="22" t="s">
        <v>16</v>
      </c>
      <c r="D176" s="26" t="s">
        <v>32</v>
      </c>
      <c r="E176" s="12" t="s">
        <v>43</v>
      </c>
      <c r="F176" s="13" t="s">
        <v>44</v>
      </c>
    </row>
    <row r="177" customFormat="false" ht="19.5" hidden="false" customHeight="true" outlineLevel="0" collapsed="false">
      <c r="A177" s="14" t="s">
        <v>27</v>
      </c>
      <c r="B177" s="14" t="s">
        <v>49</v>
      </c>
      <c r="C177" s="22" t="s">
        <v>16</v>
      </c>
      <c r="D177" s="23" t="s">
        <v>46</v>
      </c>
      <c r="E177" s="7" t="s">
        <v>50</v>
      </c>
      <c r="F177" s="9" t="s">
        <v>48</v>
      </c>
    </row>
    <row r="178" customFormat="false" ht="19.5" hidden="false" customHeight="true" outlineLevel="0" collapsed="false">
      <c r="A178" s="14" t="s">
        <v>27</v>
      </c>
      <c r="B178" s="14" t="s">
        <v>54</v>
      </c>
      <c r="C178" s="22" t="s">
        <v>16</v>
      </c>
      <c r="D178" s="26" t="s">
        <v>46</v>
      </c>
      <c r="E178" s="12" t="s">
        <v>55</v>
      </c>
      <c r="F178" s="13" t="s">
        <v>56</v>
      </c>
    </row>
    <row r="179" customFormat="false" ht="19.5" hidden="false" customHeight="true" outlineLevel="0" collapsed="false">
      <c r="A179" s="14" t="s">
        <v>27</v>
      </c>
      <c r="B179" s="14" t="s">
        <v>61</v>
      </c>
      <c r="C179" s="22" t="s">
        <v>16</v>
      </c>
      <c r="D179" s="23" t="s">
        <v>58</v>
      </c>
      <c r="E179" s="7" t="s">
        <v>62</v>
      </c>
      <c r="F179" s="9" t="s">
        <v>63</v>
      </c>
    </row>
    <row r="180" customFormat="false" ht="19.5" hidden="false" customHeight="true" outlineLevel="0" collapsed="false">
      <c r="A180" s="14" t="s">
        <v>27</v>
      </c>
      <c r="B180" s="14" t="s">
        <v>64</v>
      </c>
      <c r="C180" s="22" t="s">
        <v>16</v>
      </c>
      <c r="D180" s="26" t="s">
        <v>58</v>
      </c>
      <c r="E180" s="12" t="s">
        <v>65</v>
      </c>
      <c r="F180" s="13" t="s">
        <v>66</v>
      </c>
    </row>
    <row r="181" customFormat="false" ht="19.5" hidden="false" customHeight="true" outlineLevel="0" collapsed="false">
      <c r="A181" s="14" t="s">
        <v>27</v>
      </c>
      <c r="B181" s="14" t="s">
        <v>70</v>
      </c>
      <c r="C181" s="22" t="s">
        <v>16</v>
      </c>
      <c r="D181" s="23" t="s">
        <v>71</v>
      </c>
      <c r="E181" s="7" t="s">
        <v>72</v>
      </c>
      <c r="F181" s="9" t="s">
        <v>73</v>
      </c>
    </row>
    <row r="182" customFormat="false" ht="19.5" hidden="false" customHeight="true" outlineLevel="0" collapsed="false">
      <c r="A182" s="14" t="s">
        <v>27</v>
      </c>
      <c r="B182" s="14" t="s">
        <v>80</v>
      </c>
      <c r="C182" s="22" t="s">
        <v>16</v>
      </c>
      <c r="D182" s="26" t="s">
        <v>81</v>
      </c>
      <c r="E182" s="12" t="s">
        <v>82</v>
      </c>
      <c r="F182" s="13" t="s">
        <v>83</v>
      </c>
    </row>
    <row r="183" customFormat="false" ht="19.5" hidden="false" customHeight="true" outlineLevel="0" collapsed="false">
      <c r="A183" s="14" t="s">
        <v>27</v>
      </c>
      <c r="B183" s="14" t="s">
        <v>96</v>
      </c>
      <c r="C183" s="28" t="s">
        <v>86</v>
      </c>
      <c r="D183" s="23" t="s">
        <v>87</v>
      </c>
      <c r="E183" s="7" t="s">
        <v>97</v>
      </c>
      <c r="F183" s="9" t="s">
        <v>98</v>
      </c>
    </row>
    <row r="184" customFormat="false" ht="19.5" hidden="false" customHeight="true" outlineLevel="0" collapsed="false">
      <c r="A184" s="14" t="s">
        <v>27</v>
      </c>
      <c r="B184" s="14" t="s">
        <v>103</v>
      </c>
      <c r="C184" s="28" t="s">
        <v>86</v>
      </c>
      <c r="D184" s="26" t="s">
        <v>100</v>
      </c>
      <c r="E184" s="12" t="s">
        <v>104</v>
      </c>
      <c r="F184" s="13" t="s">
        <v>102</v>
      </c>
    </row>
    <row r="185" customFormat="false" ht="19.5" hidden="false" customHeight="true" outlineLevel="0" collapsed="false">
      <c r="A185" s="14" t="s">
        <v>27</v>
      </c>
      <c r="B185" s="14" t="s">
        <v>105</v>
      </c>
      <c r="C185" s="28" t="s">
        <v>86</v>
      </c>
      <c r="D185" s="23" t="s">
        <v>100</v>
      </c>
      <c r="E185" s="7" t="s">
        <v>106</v>
      </c>
      <c r="F185" s="9" t="s">
        <v>102</v>
      </c>
    </row>
    <row r="186" customFormat="false" ht="19.5" hidden="false" customHeight="true" outlineLevel="0" collapsed="false">
      <c r="A186" s="14" t="s">
        <v>27</v>
      </c>
      <c r="B186" s="14" t="s">
        <v>118</v>
      </c>
      <c r="C186" s="28" t="s">
        <v>86</v>
      </c>
      <c r="D186" s="26" t="s">
        <v>108</v>
      </c>
      <c r="E186" s="12" t="s">
        <v>119</v>
      </c>
      <c r="F186" s="13" t="s">
        <v>110</v>
      </c>
    </row>
    <row r="187" customFormat="false" ht="19.5" hidden="false" customHeight="true" outlineLevel="0" collapsed="false">
      <c r="A187" s="14" t="s">
        <v>27</v>
      </c>
      <c r="B187" s="14" t="s">
        <v>120</v>
      </c>
      <c r="C187" s="28" t="s">
        <v>86</v>
      </c>
      <c r="D187" s="23" t="s">
        <v>108</v>
      </c>
      <c r="E187" s="7" t="s">
        <v>121</v>
      </c>
      <c r="F187" s="9" t="s">
        <v>122</v>
      </c>
    </row>
    <row r="188" customFormat="false" ht="19.5" hidden="false" customHeight="true" outlineLevel="0" collapsed="false">
      <c r="A188" s="14" t="s">
        <v>27</v>
      </c>
      <c r="B188" s="14" t="s">
        <v>127</v>
      </c>
      <c r="C188" s="28" t="s">
        <v>86</v>
      </c>
      <c r="D188" s="26" t="s">
        <v>124</v>
      </c>
      <c r="E188" s="12" t="s">
        <v>128</v>
      </c>
      <c r="F188" s="13" t="s">
        <v>126</v>
      </c>
    </row>
    <row r="189" customFormat="false" ht="19.5" hidden="false" customHeight="true" outlineLevel="0" collapsed="false">
      <c r="A189" s="14" t="s">
        <v>27</v>
      </c>
      <c r="B189" s="14" t="s">
        <v>129</v>
      </c>
      <c r="C189" s="28" t="s">
        <v>86</v>
      </c>
      <c r="D189" s="23" t="s">
        <v>124</v>
      </c>
      <c r="E189" s="7" t="s">
        <v>130</v>
      </c>
      <c r="F189" s="9" t="s">
        <v>126</v>
      </c>
    </row>
    <row r="190" customFormat="false" ht="19.5" hidden="false" customHeight="true" outlineLevel="0" collapsed="false">
      <c r="A190" s="14" t="s">
        <v>27</v>
      </c>
      <c r="B190" s="14" t="s">
        <v>131</v>
      </c>
      <c r="C190" s="28" t="s">
        <v>86</v>
      </c>
      <c r="D190" s="26" t="s">
        <v>124</v>
      </c>
      <c r="E190" s="12" t="s">
        <v>132</v>
      </c>
      <c r="F190" s="13" t="s">
        <v>69</v>
      </c>
    </row>
    <row r="191" customFormat="false" ht="19.5" hidden="false" customHeight="true" outlineLevel="0" collapsed="false">
      <c r="A191" s="14" t="s">
        <v>27</v>
      </c>
      <c r="B191" s="14" t="s">
        <v>133</v>
      </c>
      <c r="C191" s="28" t="s">
        <v>86</v>
      </c>
      <c r="D191" s="23" t="s">
        <v>134</v>
      </c>
      <c r="E191" s="7" t="s">
        <v>135</v>
      </c>
      <c r="F191" s="9" t="s">
        <v>136</v>
      </c>
    </row>
    <row r="192" customFormat="false" ht="19.5" hidden="false" customHeight="true" outlineLevel="0" collapsed="false">
      <c r="A192" s="14" t="s">
        <v>27</v>
      </c>
      <c r="B192" s="14" t="s">
        <v>137</v>
      </c>
      <c r="C192" s="28" t="s">
        <v>86</v>
      </c>
      <c r="D192" s="26" t="s">
        <v>134</v>
      </c>
      <c r="E192" s="12" t="s">
        <v>138</v>
      </c>
      <c r="F192" s="13" t="s">
        <v>136</v>
      </c>
    </row>
    <row r="193" customFormat="false" ht="19.5" hidden="false" customHeight="true" outlineLevel="0" collapsed="false">
      <c r="A193" s="14" t="s">
        <v>27</v>
      </c>
      <c r="B193" s="14" t="s">
        <v>150</v>
      </c>
      <c r="C193" s="28" t="s">
        <v>86</v>
      </c>
      <c r="D193" s="23" t="s">
        <v>142</v>
      </c>
      <c r="E193" s="7" t="s">
        <v>151</v>
      </c>
      <c r="F193" s="9" t="s">
        <v>144</v>
      </c>
    </row>
    <row r="194" customFormat="false" ht="19.5" hidden="false" customHeight="true" outlineLevel="0" collapsed="false">
      <c r="A194" s="14" t="s">
        <v>27</v>
      </c>
      <c r="B194" s="14" t="s">
        <v>152</v>
      </c>
      <c r="C194" s="28" t="s">
        <v>86</v>
      </c>
      <c r="D194" s="26" t="s">
        <v>153</v>
      </c>
      <c r="E194" s="12" t="s">
        <v>154</v>
      </c>
      <c r="F194" s="13" t="s">
        <v>122</v>
      </c>
    </row>
    <row r="195" customFormat="false" ht="19.5" hidden="false" customHeight="true" outlineLevel="0" collapsed="false">
      <c r="A195" s="14" t="s">
        <v>27</v>
      </c>
      <c r="B195" s="14" t="s">
        <v>159</v>
      </c>
      <c r="C195" s="28" t="s">
        <v>86</v>
      </c>
      <c r="D195" s="23" t="s">
        <v>156</v>
      </c>
      <c r="E195" s="7" t="s">
        <v>160</v>
      </c>
      <c r="F195" s="9" t="s">
        <v>158</v>
      </c>
    </row>
    <row r="196" customFormat="false" ht="19.5" hidden="false" customHeight="true" outlineLevel="0" collapsed="false">
      <c r="A196" s="14" t="s">
        <v>27</v>
      </c>
      <c r="B196" s="14" t="s">
        <v>168</v>
      </c>
      <c r="C196" s="28" t="s">
        <v>86</v>
      </c>
      <c r="D196" s="26" t="s">
        <v>165</v>
      </c>
      <c r="E196" s="12" t="s">
        <v>82</v>
      </c>
      <c r="F196" s="13" t="s">
        <v>83</v>
      </c>
    </row>
    <row r="197" customFormat="false" ht="19.5" hidden="false" customHeight="true" outlineLevel="0" collapsed="false">
      <c r="A197" s="14" t="s">
        <v>27</v>
      </c>
      <c r="B197" s="14" t="s">
        <v>181</v>
      </c>
      <c r="C197" s="29" t="s">
        <v>174</v>
      </c>
      <c r="D197" s="23" t="s">
        <v>175</v>
      </c>
      <c r="E197" s="7" t="s">
        <v>182</v>
      </c>
      <c r="F197" s="9" t="s">
        <v>183</v>
      </c>
    </row>
    <row r="198" customFormat="false" ht="19.5" hidden="false" customHeight="true" outlineLevel="0" collapsed="false">
      <c r="A198" s="14" t="s">
        <v>27</v>
      </c>
      <c r="B198" s="14" t="s">
        <v>184</v>
      </c>
      <c r="C198" s="29" t="s">
        <v>174</v>
      </c>
      <c r="D198" s="26" t="s">
        <v>175</v>
      </c>
      <c r="E198" s="12" t="s">
        <v>185</v>
      </c>
      <c r="F198" s="13" t="s">
        <v>183</v>
      </c>
    </row>
    <row r="199" customFormat="false" ht="19.5" hidden="false" customHeight="true" outlineLevel="0" collapsed="false">
      <c r="A199" s="14" t="s">
        <v>27</v>
      </c>
      <c r="B199" s="14" t="s">
        <v>190</v>
      </c>
      <c r="C199" s="29" t="s">
        <v>174</v>
      </c>
      <c r="D199" s="23" t="s">
        <v>187</v>
      </c>
      <c r="E199" s="7" t="s">
        <v>191</v>
      </c>
      <c r="F199" s="9" t="s">
        <v>189</v>
      </c>
    </row>
    <row r="200" customFormat="false" ht="19.5" hidden="false" customHeight="true" outlineLevel="0" collapsed="false">
      <c r="A200" s="14" t="s">
        <v>27</v>
      </c>
      <c r="B200" s="14" t="s">
        <v>194</v>
      </c>
      <c r="C200" s="29" t="s">
        <v>174</v>
      </c>
      <c r="D200" s="26" t="s">
        <v>187</v>
      </c>
      <c r="E200" s="12" t="s">
        <v>195</v>
      </c>
      <c r="F200" s="13" t="s">
        <v>189</v>
      </c>
    </row>
    <row r="201" customFormat="false" ht="19.5" hidden="false" customHeight="true" outlineLevel="0" collapsed="false">
      <c r="A201" s="14" t="s">
        <v>27</v>
      </c>
      <c r="B201" s="14" t="s">
        <v>207</v>
      </c>
      <c r="C201" s="29" t="s">
        <v>174</v>
      </c>
      <c r="D201" s="23" t="s">
        <v>199</v>
      </c>
      <c r="E201" s="7" t="s">
        <v>208</v>
      </c>
      <c r="F201" s="9" t="s">
        <v>201</v>
      </c>
    </row>
    <row r="202" customFormat="false" ht="19.5" hidden="false" customHeight="true" outlineLevel="0" collapsed="false">
      <c r="A202" s="14" t="s">
        <v>27</v>
      </c>
      <c r="B202" s="14" t="s">
        <v>209</v>
      </c>
      <c r="C202" s="29" t="s">
        <v>174</v>
      </c>
      <c r="D202" s="26" t="s">
        <v>210</v>
      </c>
      <c r="E202" s="12" t="s">
        <v>211</v>
      </c>
      <c r="F202" s="13" t="s">
        <v>212</v>
      </c>
    </row>
    <row r="203" customFormat="false" ht="19.5" hidden="false" customHeight="true" outlineLevel="0" collapsed="false">
      <c r="A203" s="14" t="s">
        <v>27</v>
      </c>
      <c r="B203" s="14" t="s">
        <v>213</v>
      </c>
      <c r="C203" s="29" t="s">
        <v>174</v>
      </c>
      <c r="D203" s="23" t="s">
        <v>210</v>
      </c>
      <c r="E203" s="7" t="s">
        <v>214</v>
      </c>
      <c r="F203" s="9" t="s">
        <v>212</v>
      </c>
    </row>
    <row r="204" customFormat="false" ht="19.5" hidden="false" customHeight="true" outlineLevel="0" collapsed="false">
      <c r="A204" s="14" t="s">
        <v>27</v>
      </c>
      <c r="B204" s="14" t="s">
        <v>221</v>
      </c>
      <c r="C204" s="29" t="s">
        <v>174</v>
      </c>
      <c r="D204" s="26" t="s">
        <v>218</v>
      </c>
      <c r="E204" s="12" t="s">
        <v>222</v>
      </c>
      <c r="F204" s="13" t="s">
        <v>220</v>
      </c>
    </row>
    <row r="205" customFormat="false" ht="19.5" hidden="false" customHeight="true" outlineLevel="0" collapsed="false">
      <c r="A205" s="14" t="s">
        <v>27</v>
      </c>
      <c r="B205" s="14" t="s">
        <v>225</v>
      </c>
      <c r="C205" s="29" t="s">
        <v>174</v>
      </c>
      <c r="D205" s="23" t="s">
        <v>218</v>
      </c>
      <c r="E205" s="7" t="s">
        <v>226</v>
      </c>
      <c r="F205" s="9" t="s">
        <v>220</v>
      </c>
    </row>
    <row r="206" customFormat="false" ht="19.5" hidden="false" customHeight="true" outlineLevel="0" collapsed="false">
      <c r="A206" s="14" t="s">
        <v>27</v>
      </c>
      <c r="B206" s="14" t="s">
        <v>227</v>
      </c>
      <c r="C206" s="29" t="s">
        <v>174</v>
      </c>
      <c r="D206" s="26" t="s">
        <v>218</v>
      </c>
      <c r="E206" s="12" t="s">
        <v>228</v>
      </c>
      <c r="F206" s="13" t="s">
        <v>220</v>
      </c>
    </row>
    <row r="207" customFormat="false" ht="19.5" hidden="false" customHeight="true" outlineLevel="0" collapsed="false">
      <c r="A207" s="14" t="s">
        <v>27</v>
      </c>
      <c r="B207" s="14" t="s">
        <v>229</v>
      </c>
      <c r="C207" s="29" t="s">
        <v>174</v>
      </c>
      <c r="D207" s="23" t="s">
        <v>218</v>
      </c>
      <c r="E207" s="7" t="s">
        <v>230</v>
      </c>
      <c r="F207" s="9" t="s">
        <v>220</v>
      </c>
    </row>
    <row r="208" customFormat="false" ht="19.5" hidden="false" customHeight="true" outlineLevel="0" collapsed="false">
      <c r="A208" s="14" t="s">
        <v>27</v>
      </c>
      <c r="B208" s="14" t="s">
        <v>236</v>
      </c>
      <c r="C208" s="29" t="s">
        <v>174</v>
      </c>
      <c r="D208" s="26" t="s">
        <v>218</v>
      </c>
      <c r="E208" s="12" t="s">
        <v>237</v>
      </c>
      <c r="F208" s="13" t="s">
        <v>220</v>
      </c>
    </row>
    <row r="209" customFormat="false" ht="19.5" hidden="false" customHeight="true" outlineLevel="0" collapsed="false">
      <c r="A209" s="14" t="s">
        <v>27</v>
      </c>
      <c r="B209" s="14" t="s">
        <v>248</v>
      </c>
      <c r="C209" s="29" t="s">
        <v>174</v>
      </c>
      <c r="D209" s="23" t="s">
        <v>242</v>
      </c>
      <c r="E209" s="7" t="s">
        <v>249</v>
      </c>
      <c r="F209" s="9" t="s">
        <v>183</v>
      </c>
    </row>
    <row r="210" customFormat="false" ht="19.5" hidden="false" customHeight="true" outlineLevel="0" collapsed="false">
      <c r="A210" s="14" t="s">
        <v>27</v>
      </c>
      <c r="B210" s="14" t="s">
        <v>250</v>
      </c>
      <c r="C210" s="29" t="s">
        <v>174</v>
      </c>
      <c r="D210" s="26" t="s">
        <v>251</v>
      </c>
      <c r="E210" s="12" t="s">
        <v>252</v>
      </c>
      <c r="F210" s="13" t="s">
        <v>253</v>
      </c>
    </row>
    <row r="211" customFormat="false" ht="19.5" hidden="false" customHeight="true" outlineLevel="0" collapsed="false">
      <c r="A211" s="14" t="s">
        <v>27</v>
      </c>
      <c r="B211" s="14" t="s">
        <v>254</v>
      </c>
      <c r="C211" s="29" t="s">
        <v>174</v>
      </c>
      <c r="D211" s="23" t="s">
        <v>251</v>
      </c>
      <c r="E211" s="7" t="s">
        <v>255</v>
      </c>
      <c r="F211" s="9" t="s">
        <v>253</v>
      </c>
    </row>
    <row r="212" customFormat="false" ht="19.5" hidden="false" customHeight="true" outlineLevel="0" collapsed="false">
      <c r="A212" s="14" t="s">
        <v>27</v>
      </c>
      <c r="B212" s="14" t="s">
        <v>256</v>
      </c>
      <c r="C212" s="29" t="s">
        <v>174</v>
      </c>
      <c r="D212" s="26" t="s">
        <v>251</v>
      </c>
      <c r="E212" s="12" t="s">
        <v>257</v>
      </c>
      <c r="F212" s="13" t="s">
        <v>253</v>
      </c>
    </row>
    <row r="213" customFormat="false" ht="19.5" hidden="false" customHeight="true" outlineLevel="0" collapsed="false">
      <c r="A213" s="14" t="s">
        <v>27</v>
      </c>
      <c r="B213" s="14" t="s">
        <v>270</v>
      </c>
      <c r="C213" s="29" t="s">
        <v>174</v>
      </c>
      <c r="D213" s="23" t="s">
        <v>263</v>
      </c>
      <c r="E213" s="7" t="s">
        <v>271</v>
      </c>
      <c r="F213" s="9" t="s">
        <v>267</v>
      </c>
    </row>
    <row r="214" customFormat="false" ht="19.5" hidden="false" customHeight="true" outlineLevel="0" collapsed="false">
      <c r="A214" s="14" t="s">
        <v>27</v>
      </c>
      <c r="B214" s="14" t="s">
        <v>272</v>
      </c>
      <c r="C214" s="29" t="s">
        <v>174</v>
      </c>
      <c r="D214" s="26" t="s">
        <v>263</v>
      </c>
      <c r="E214" s="12" t="s">
        <v>273</v>
      </c>
      <c r="F214" s="13" t="s">
        <v>267</v>
      </c>
    </row>
    <row r="215" customFormat="false" ht="19.5" hidden="false" customHeight="true" outlineLevel="0" collapsed="false">
      <c r="A215" s="14" t="s">
        <v>27</v>
      </c>
      <c r="B215" s="14" t="s">
        <v>288</v>
      </c>
      <c r="C215" s="30" t="s">
        <v>276</v>
      </c>
      <c r="D215" s="23" t="s">
        <v>277</v>
      </c>
      <c r="E215" s="7" t="s">
        <v>289</v>
      </c>
      <c r="F215" s="9" t="s">
        <v>285</v>
      </c>
    </row>
    <row r="216" customFormat="false" ht="19.5" hidden="false" customHeight="true" outlineLevel="0" collapsed="false">
      <c r="A216" s="14" t="s">
        <v>27</v>
      </c>
      <c r="B216" s="14" t="s">
        <v>290</v>
      </c>
      <c r="C216" s="30" t="s">
        <v>276</v>
      </c>
      <c r="D216" s="26" t="s">
        <v>277</v>
      </c>
      <c r="E216" s="12" t="s">
        <v>291</v>
      </c>
      <c r="F216" s="13" t="s">
        <v>285</v>
      </c>
    </row>
    <row r="217" customFormat="false" ht="19.5" hidden="false" customHeight="true" outlineLevel="0" collapsed="false">
      <c r="A217" s="14" t="s">
        <v>27</v>
      </c>
      <c r="B217" s="14" t="s">
        <v>296</v>
      </c>
      <c r="C217" s="30" t="s">
        <v>276</v>
      </c>
      <c r="D217" s="23" t="s">
        <v>293</v>
      </c>
      <c r="E217" s="7" t="s">
        <v>297</v>
      </c>
      <c r="F217" s="9" t="s">
        <v>295</v>
      </c>
    </row>
    <row r="218" customFormat="false" ht="19.5" hidden="false" customHeight="true" outlineLevel="0" collapsed="false">
      <c r="A218" s="14" t="s">
        <v>27</v>
      </c>
      <c r="B218" s="14" t="s">
        <v>319</v>
      </c>
      <c r="C218" s="30" t="s">
        <v>276</v>
      </c>
      <c r="D218" s="26" t="s">
        <v>312</v>
      </c>
      <c r="E218" s="12" t="s">
        <v>320</v>
      </c>
      <c r="F218" s="13" t="s">
        <v>314</v>
      </c>
    </row>
    <row r="219" customFormat="false" ht="19.5" hidden="false" customHeight="true" outlineLevel="0" collapsed="false">
      <c r="A219" s="14" t="s">
        <v>27</v>
      </c>
      <c r="B219" s="14" t="s">
        <v>323</v>
      </c>
      <c r="C219" s="30" t="s">
        <v>276</v>
      </c>
      <c r="D219" s="23" t="s">
        <v>324</v>
      </c>
      <c r="E219" s="7" t="s">
        <v>325</v>
      </c>
      <c r="F219" s="9" t="s">
        <v>285</v>
      </c>
    </row>
    <row r="220" customFormat="false" ht="19.5" hidden="false" customHeight="true" outlineLevel="0" collapsed="false">
      <c r="A220" s="14" t="s">
        <v>27</v>
      </c>
      <c r="B220" s="14" t="s">
        <v>328</v>
      </c>
      <c r="C220" s="30" t="s">
        <v>276</v>
      </c>
      <c r="D220" s="26" t="s">
        <v>324</v>
      </c>
      <c r="E220" s="12" t="s">
        <v>329</v>
      </c>
      <c r="F220" s="13" t="s">
        <v>285</v>
      </c>
    </row>
    <row r="221" customFormat="false" ht="19.5" hidden="false" customHeight="true" outlineLevel="0" collapsed="false">
      <c r="A221" s="14" t="s">
        <v>27</v>
      </c>
      <c r="B221" s="14" t="s">
        <v>330</v>
      </c>
      <c r="C221" s="30" t="s">
        <v>276</v>
      </c>
      <c r="D221" s="23" t="s">
        <v>331</v>
      </c>
      <c r="E221" s="7" t="s">
        <v>332</v>
      </c>
      <c r="F221" s="9" t="s">
        <v>333</v>
      </c>
    </row>
    <row r="222" customFormat="false" ht="19.5" hidden="false" customHeight="true" outlineLevel="0" collapsed="false">
      <c r="A222" s="14" t="s">
        <v>27</v>
      </c>
      <c r="B222" s="14" t="s">
        <v>334</v>
      </c>
      <c r="C222" s="30" t="s">
        <v>276</v>
      </c>
      <c r="D222" s="26" t="s">
        <v>331</v>
      </c>
      <c r="E222" s="12" t="s">
        <v>335</v>
      </c>
      <c r="F222" s="13" t="s">
        <v>333</v>
      </c>
    </row>
    <row r="223" customFormat="false" ht="19.5" hidden="false" customHeight="true" outlineLevel="0" collapsed="false">
      <c r="A223" s="14" t="s">
        <v>27</v>
      </c>
      <c r="B223" s="14" t="s">
        <v>338</v>
      </c>
      <c r="C223" s="30" t="s">
        <v>276</v>
      </c>
      <c r="D223" s="23" t="s">
        <v>339</v>
      </c>
      <c r="E223" s="7" t="s">
        <v>340</v>
      </c>
      <c r="F223" s="9" t="s">
        <v>341</v>
      </c>
    </row>
    <row r="224" customFormat="false" ht="19.5" hidden="false" customHeight="true" outlineLevel="0" collapsed="false">
      <c r="A224" s="14" t="s">
        <v>27</v>
      </c>
      <c r="B224" s="14" t="s">
        <v>344</v>
      </c>
      <c r="C224" s="30" t="s">
        <v>276</v>
      </c>
      <c r="D224" s="26" t="s">
        <v>339</v>
      </c>
      <c r="E224" s="12" t="s">
        <v>345</v>
      </c>
      <c r="F224" s="13" t="s">
        <v>341</v>
      </c>
    </row>
    <row r="225" customFormat="false" ht="19.5" hidden="false" customHeight="true" outlineLevel="0" collapsed="false">
      <c r="A225" s="14" t="s">
        <v>27</v>
      </c>
      <c r="B225" s="14" t="s">
        <v>348</v>
      </c>
      <c r="C225" s="30" t="s">
        <v>276</v>
      </c>
      <c r="D225" s="23" t="s">
        <v>349</v>
      </c>
      <c r="E225" s="7" t="s">
        <v>350</v>
      </c>
      <c r="F225" s="9" t="s">
        <v>351</v>
      </c>
    </row>
    <row r="226" customFormat="false" ht="19.5" hidden="false" customHeight="true" outlineLevel="0" collapsed="false">
      <c r="A226" s="14" t="s">
        <v>27</v>
      </c>
      <c r="B226" s="14" t="s">
        <v>352</v>
      </c>
      <c r="C226" s="30" t="s">
        <v>276</v>
      </c>
      <c r="D226" s="26" t="s">
        <v>349</v>
      </c>
      <c r="E226" s="12" t="s">
        <v>353</v>
      </c>
      <c r="F226" s="13" t="s">
        <v>351</v>
      </c>
    </row>
    <row r="227" customFormat="false" ht="19.5" hidden="false" customHeight="true" outlineLevel="0" collapsed="false">
      <c r="A227" s="14" t="s">
        <v>27</v>
      </c>
      <c r="B227" s="14" t="s">
        <v>360</v>
      </c>
      <c r="C227" s="30" t="s">
        <v>276</v>
      </c>
      <c r="D227" s="23" t="s">
        <v>361</v>
      </c>
      <c r="E227" s="7" t="s">
        <v>362</v>
      </c>
      <c r="F227" s="9" t="s">
        <v>363</v>
      </c>
    </row>
    <row r="228" customFormat="false" ht="19.5" hidden="false" customHeight="true" outlineLevel="0" collapsed="false">
      <c r="A228" s="14" t="s">
        <v>27</v>
      </c>
      <c r="B228" s="14" t="s">
        <v>364</v>
      </c>
      <c r="C228" s="30" t="s">
        <v>276</v>
      </c>
      <c r="D228" s="26" t="s">
        <v>361</v>
      </c>
      <c r="E228" s="12" t="s">
        <v>365</v>
      </c>
      <c r="F228" s="13" t="s">
        <v>363</v>
      </c>
    </row>
    <row r="229" customFormat="false" ht="19.5" hidden="false" customHeight="true" outlineLevel="0" collapsed="false">
      <c r="A229" s="14" t="s">
        <v>27</v>
      </c>
      <c r="B229" s="14" t="s">
        <v>372</v>
      </c>
      <c r="C229" s="30" t="s">
        <v>276</v>
      </c>
      <c r="D229" s="23" t="s">
        <v>373</v>
      </c>
      <c r="E229" s="7" t="s">
        <v>374</v>
      </c>
      <c r="F229" s="9" t="s">
        <v>375</v>
      </c>
    </row>
    <row r="230" customFormat="false" ht="19.5" hidden="false" customHeight="true" outlineLevel="0" collapsed="false">
      <c r="A230" s="14" t="s">
        <v>27</v>
      </c>
      <c r="B230" s="14" t="s">
        <v>384</v>
      </c>
      <c r="C230" s="30" t="s">
        <v>276</v>
      </c>
      <c r="D230" s="26" t="s">
        <v>251</v>
      </c>
      <c r="E230" s="12" t="s">
        <v>385</v>
      </c>
      <c r="F230" s="13" t="s">
        <v>386</v>
      </c>
    </row>
    <row r="231" customFormat="false" ht="19.5" hidden="false" customHeight="true" outlineLevel="0" collapsed="false">
      <c r="A231" s="14" t="s">
        <v>27</v>
      </c>
      <c r="B231" s="14" t="s">
        <v>387</v>
      </c>
      <c r="C231" s="30" t="s">
        <v>276</v>
      </c>
      <c r="D231" s="23" t="s">
        <v>251</v>
      </c>
      <c r="E231" s="7" t="s">
        <v>388</v>
      </c>
      <c r="F231" s="9" t="s">
        <v>386</v>
      </c>
    </row>
    <row r="232" customFormat="false" ht="19.5" hidden="false" customHeight="true" outlineLevel="0" collapsed="false">
      <c r="A232" s="14" t="s">
        <v>27</v>
      </c>
      <c r="B232" s="14" t="s">
        <v>389</v>
      </c>
      <c r="C232" s="30" t="s">
        <v>276</v>
      </c>
      <c r="D232" s="26" t="s">
        <v>251</v>
      </c>
      <c r="E232" s="12" t="s">
        <v>390</v>
      </c>
      <c r="F232" s="13" t="s">
        <v>386</v>
      </c>
    </row>
    <row r="233" customFormat="false" ht="19.5" hidden="false" customHeight="true" outlineLevel="0" collapsed="false">
      <c r="A233" s="14" t="s">
        <v>27</v>
      </c>
      <c r="B233" s="14" t="s">
        <v>414</v>
      </c>
      <c r="C233" s="31" t="s">
        <v>404</v>
      </c>
      <c r="D233" s="23" t="s">
        <v>293</v>
      </c>
      <c r="E233" s="7" t="s">
        <v>297</v>
      </c>
      <c r="F233" s="9" t="s">
        <v>413</v>
      </c>
    </row>
    <row r="234" customFormat="false" ht="19.5" hidden="false" customHeight="true" outlineLevel="0" collapsed="false">
      <c r="A234" s="14" t="s">
        <v>27</v>
      </c>
      <c r="B234" s="14" t="s">
        <v>423</v>
      </c>
      <c r="C234" s="31" t="s">
        <v>404</v>
      </c>
      <c r="D234" s="26" t="s">
        <v>301</v>
      </c>
      <c r="E234" s="12" t="s">
        <v>424</v>
      </c>
      <c r="F234" s="13" t="s">
        <v>419</v>
      </c>
    </row>
    <row r="235" customFormat="false" ht="19.5" hidden="false" customHeight="true" outlineLevel="0" collapsed="false">
      <c r="A235" s="14" t="s">
        <v>27</v>
      </c>
      <c r="B235" s="14" t="s">
        <v>430</v>
      </c>
      <c r="C235" s="31" t="s">
        <v>404</v>
      </c>
      <c r="D235" s="23" t="s">
        <v>426</v>
      </c>
      <c r="E235" s="7" t="s">
        <v>431</v>
      </c>
      <c r="F235" s="9" t="s">
        <v>427</v>
      </c>
    </row>
    <row r="236" customFormat="false" ht="19.5" hidden="false" customHeight="true" outlineLevel="0" collapsed="false">
      <c r="A236" s="14" t="s">
        <v>27</v>
      </c>
      <c r="B236" s="14" t="s">
        <v>432</v>
      </c>
      <c r="C236" s="31" t="s">
        <v>404</v>
      </c>
      <c r="D236" s="26" t="s">
        <v>426</v>
      </c>
      <c r="E236" s="12" t="s">
        <v>433</v>
      </c>
      <c r="F236" s="13" t="s">
        <v>427</v>
      </c>
    </row>
    <row r="237" customFormat="false" ht="19.5" hidden="false" customHeight="true" outlineLevel="0" collapsed="false">
      <c r="A237" s="14" t="s">
        <v>27</v>
      </c>
      <c r="B237" s="14" t="s">
        <v>450</v>
      </c>
      <c r="C237" s="31" t="s">
        <v>404</v>
      </c>
      <c r="D237" s="23" t="s">
        <v>443</v>
      </c>
      <c r="E237" s="7" t="s">
        <v>451</v>
      </c>
      <c r="F237" s="9" t="s">
        <v>445</v>
      </c>
    </row>
    <row r="238" customFormat="false" ht="19.5" hidden="false" customHeight="true" outlineLevel="0" collapsed="false">
      <c r="A238" s="14" t="s">
        <v>27</v>
      </c>
      <c r="B238" s="14" t="s">
        <v>456</v>
      </c>
      <c r="C238" s="31" t="s">
        <v>404</v>
      </c>
      <c r="D238" s="26" t="s">
        <v>453</v>
      </c>
      <c r="E238" s="12" t="s">
        <v>457</v>
      </c>
      <c r="F238" s="13" t="s">
        <v>455</v>
      </c>
    </row>
    <row r="239" customFormat="false" ht="19.5" hidden="false" customHeight="true" outlineLevel="0" collapsed="false">
      <c r="A239" s="14" t="s">
        <v>27</v>
      </c>
      <c r="B239" s="14" t="s">
        <v>462</v>
      </c>
      <c r="C239" s="31" t="s">
        <v>404</v>
      </c>
      <c r="D239" s="23" t="s">
        <v>453</v>
      </c>
      <c r="E239" s="7" t="s">
        <v>463</v>
      </c>
      <c r="F239" s="9" t="s">
        <v>464</v>
      </c>
    </row>
    <row r="240" customFormat="false" ht="19.5" hidden="false" customHeight="true" outlineLevel="0" collapsed="false">
      <c r="A240" s="14" t="s">
        <v>27</v>
      </c>
      <c r="B240" s="14" t="s">
        <v>471</v>
      </c>
      <c r="C240" s="31" t="s">
        <v>404</v>
      </c>
      <c r="D240" s="26" t="s">
        <v>453</v>
      </c>
      <c r="E240" s="12" t="s">
        <v>472</v>
      </c>
      <c r="F240" s="13" t="s">
        <v>455</v>
      </c>
    </row>
    <row r="241" customFormat="false" ht="19.5" hidden="false" customHeight="true" outlineLevel="0" collapsed="false">
      <c r="A241" s="14" t="s">
        <v>27</v>
      </c>
      <c r="B241" s="14" t="s">
        <v>475</v>
      </c>
      <c r="C241" s="31" t="s">
        <v>404</v>
      </c>
      <c r="D241" s="23" t="s">
        <v>453</v>
      </c>
      <c r="E241" s="7" t="s">
        <v>476</v>
      </c>
      <c r="F241" s="9" t="s">
        <v>477</v>
      </c>
    </row>
    <row r="242" customFormat="false" ht="19.5" hidden="false" customHeight="true" outlineLevel="0" collapsed="false">
      <c r="A242" s="14" t="s">
        <v>27</v>
      </c>
      <c r="B242" s="14" t="s">
        <v>483</v>
      </c>
      <c r="C242" s="31" t="s">
        <v>404</v>
      </c>
      <c r="D242" s="26" t="s">
        <v>484</v>
      </c>
      <c r="E242" s="12" t="s">
        <v>485</v>
      </c>
      <c r="F242" s="13" t="s">
        <v>486</v>
      </c>
    </row>
    <row r="243" customFormat="false" ht="19.5" hidden="false" customHeight="true" outlineLevel="0" collapsed="false">
      <c r="A243" s="14" t="s">
        <v>27</v>
      </c>
      <c r="B243" s="14" t="s">
        <v>487</v>
      </c>
      <c r="C243" s="31" t="s">
        <v>404</v>
      </c>
      <c r="D243" s="23" t="s">
        <v>484</v>
      </c>
      <c r="E243" s="7" t="s">
        <v>488</v>
      </c>
      <c r="F243" s="9" t="s">
        <v>486</v>
      </c>
    </row>
    <row r="244" customFormat="false" ht="19.5" hidden="false" customHeight="true" outlineLevel="0" collapsed="false">
      <c r="A244" s="14" t="s">
        <v>27</v>
      </c>
      <c r="B244" s="14" t="s">
        <v>500</v>
      </c>
      <c r="C244" s="31" t="s">
        <v>404</v>
      </c>
      <c r="D244" s="26" t="s">
        <v>501</v>
      </c>
      <c r="E244" s="12" t="s">
        <v>502</v>
      </c>
      <c r="F244" s="13" t="s">
        <v>503</v>
      </c>
    </row>
    <row r="245" customFormat="false" ht="19.5" hidden="false" customHeight="true" outlineLevel="0" collapsed="false">
      <c r="A245" s="14" t="s">
        <v>27</v>
      </c>
      <c r="B245" s="14" t="s">
        <v>508</v>
      </c>
      <c r="C245" s="31" t="s">
        <v>404</v>
      </c>
      <c r="D245" s="23" t="s">
        <v>501</v>
      </c>
      <c r="E245" s="7" t="s">
        <v>509</v>
      </c>
      <c r="F245" s="9" t="s">
        <v>503</v>
      </c>
    </row>
    <row r="246" customFormat="false" ht="19.5" hidden="false" customHeight="true" outlineLevel="0" collapsed="false">
      <c r="A246" s="14" t="s">
        <v>27</v>
      </c>
      <c r="B246" s="14" t="s">
        <v>510</v>
      </c>
      <c r="C246" s="31" t="s">
        <v>404</v>
      </c>
      <c r="D246" s="26" t="s">
        <v>501</v>
      </c>
      <c r="E246" s="12" t="s">
        <v>511</v>
      </c>
      <c r="F246" s="13" t="s">
        <v>503</v>
      </c>
    </row>
    <row r="247" customFormat="false" ht="19.5" hidden="false" customHeight="true" outlineLevel="0" collapsed="false">
      <c r="A247" s="14" t="s">
        <v>27</v>
      </c>
      <c r="B247" s="14" t="s">
        <v>512</v>
      </c>
      <c r="C247" s="31" t="s">
        <v>404</v>
      </c>
      <c r="D247" s="23" t="s">
        <v>501</v>
      </c>
      <c r="E247" s="7" t="s">
        <v>513</v>
      </c>
      <c r="F247" s="9" t="s">
        <v>514</v>
      </c>
    </row>
    <row r="248" customFormat="false" ht="19.5" hidden="false" customHeight="true" outlineLevel="0" collapsed="false">
      <c r="A248" s="14" t="s">
        <v>27</v>
      </c>
      <c r="B248" s="14" t="s">
        <v>523</v>
      </c>
      <c r="C248" s="31" t="s">
        <v>404</v>
      </c>
      <c r="D248" s="26" t="s">
        <v>251</v>
      </c>
      <c r="E248" s="12" t="s">
        <v>524</v>
      </c>
      <c r="F248" s="13" t="s">
        <v>525</v>
      </c>
    </row>
    <row r="249" customFormat="false" ht="19.5" hidden="false" customHeight="true" outlineLevel="0" collapsed="false">
      <c r="A249" s="14" t="s">
        <v>27</v>
      </c>
      <c r="B249" s="14" t="s">
        <v>526</v>
      </c>
      <c r="C249" s="31" t="s">
        <v>404</v>
      </c>
      <c r="D249" s="23" t="s">
        <v>251</v>
      </c>
      <c r="E249" s="7" t="s">
        <v>527</v>
      </c>
      <c r="F249" s="9" t="s">
        <v>525</v>
      </c>
    </row>
    <row r="250" customFormat="false" ht="19.5" hidden="false" customHeight="true" outlineLevel="0" collapsed="false">
      <c r="A250" s="14" t="s">
        <v>27</v>
      </c>
      <c r="B250" s="14" t="s">
        <v>528</v>
      </c>
      <c r="C250" s="31" t="s">
        <v>404</v>
      </c>
      <c r="D250" s="26" t="s">
        <v>251</v>
      </c>
      <c r="E250" s="12" t="s">
        <v>529</v>
      </c>
      <c r="F250" s="13" t="s">
        <v>525</v>
      </c>
    </row>
    <row r="251" customFormat="false" ht="19.5" hidden="false" customHeight="true" outlineLevel="0" collapsed="false">
      <c r="A251" s="14" t="s">
        <v>27</v>
      </c>
      <c r="B251" s="14" t="s">
        <v>539</v>
      </c>
      <c r="C251" s="31" t="s">
        <v>404</v>
      </c>
      <c r="D251" s="23" t="s">
        <v>263</v>
      </c>
      <c r="E251" s="7" t="s">
        <v>540</v>
      </c>
      <c r="F251" s="9" t="s">
        <v>536</v>
      </c>
    </row>
    <row r="252" customFormat="false" ht="19.5" hidden="false" customHeight="true" outlineLevel="0" collapsed="false">
      <c r="A252" s="14" t="s">
        <v>27</v>
      </c>
      <c r="B252" s="14" t="s">
        <v>555</v>
      </c>
      <c r="C252" s="32" t="s">
        <v>545</v>
      </c>
      <c r="D252" s="26" t="s">
        <v>293</v>
      </c>
      <c r="E252" s="12" t="s">
        <v>297</v>
      </c>
      <c r="F252" s="13" t="s">
        <v>554</v>
      </c>
    </row>
    <row r="253" customFormat="false" ht="19.5" hidden="false" customHeight="true" outlineLevel="0" collapsed="false">
      <c r="A253" s="14" t="s">
        <v>27</v>
      </c>
      <c r="B253" s="14" t="s">
        <v>569</v>
      </c>
      <c r="C253" s="32" t="s">
        <v>545</v>
      </c>
      <c r="D253" s="23" t="s">
        <v>564</v>
      </c>
      <c r="E253" s="7" t="s">
        <v>570</v>
      </c>
      <c r="F253" s="9" t="s">
        <v>566</v>
      </c>
    </row>
    <row r="254" customFormat="false" ht="19.5" hidden="false" customHeight="true" outlineLevel="0" collapsed="false">
      <c r="A254" s="14" t="s">
        <v>27</v>
      </c>
      <c r="B254" s="14" t="s">
        <v>577</v>
      </c>
      <c r="C254" s="32" t="s">
        <v>545</v>
      </c>
      <c r="D254" s="26" t="s">
        <v>426</v>
      </c>
      <c r="E254" s="12" t="s">
        <v>578</v>
      </c>
      <c r="F254" s="13" t="s">
        <v>575</v>
      </c>
    </row>
    <row r="255" customFormat="false" ht="19.5" hidden="false" customHeight="true" outlineLevel="0" collapsed="false">
      <c r="A255" s="14" t="s">
        <v>27</v>
      </c>
      <c r="B255" s="14" t="s">
        <v>587</v>
      </c>
      <c r="C255" s="32" t="s">
        <v>545</v>
      </c>
      <c r="D255" s="23" t="s">
        <v>580</v>
      </c>
      <c r="E255" s="7" t="s">
        <v>588</v>
      </c>
      <c r="F255" s="9" t="s">
        <v>582</v>
      </c>
    </row>
    <row r="256" customFormat="false" ht="19.5" hidden="false" customHeight="true" outlineLevel="0" collapsed="false">
      <c r="A256" s="14" t="s">
        <v>27</v>
      </c>
      <c r="B256" s="14" t="s">
        <v>595</v>
      </c>
      <c r="C256" s="32" t="s">
        <v>545</v>
      </c>
      <c r="D256" s="26" t="s">
        <v>596</v>
      </c>
      <c r="E256" s="12" t="s">
        <v>597</v>
      </c>
      <c r="F256" s="13" t="s">
        <v>598</v>
      </c>
    </row>
    <row r="257" customFormat="false" ht="19.5" hidden="false" customHeight="true" outlineLevel="0" collapsed="false">
      <c r="A257" s="14" t="s">
        <v>27</v>
      </c>
      <c r="B257" s="14" t="s">
        <v>599</v>
      </c>
      <c r="C257" s="32" t="s">
        <v>545</v>
      </c>
      <c r="D257" s="23" t="s">
        <v>596</v>
      </c>
      <c r="E257" s="7" t="s">
        <v>600</v>
      </c>
      <c r="F257" s="9" t="s">
        <v>598</v>
      </c>
    </row>
    <row r="258" customFormat="false" ht="19.5" hidden="false" customHeight="true" outlineLevel="0" collapsed="false">
      <c r="A258" s="14" t="s">
        <v>27</v>
      </c>
      <c r="B258" s="14" t="s">
        <v>626</v>
      </c>
      <c r="C258" s="32" t="s">
        <v>545</v>
      </c>
      <c r="D258" s="26" t="s">
        <v>627</v>
      </c>
      <c r="E258" s="12" t="s">
        <v>628</v>
      </c>
      <c r="F258" s="13" t="s">
        <v>629</v>
      </c>
    </row>
    <row r="259" customFormat="false" ht="19.5" hidden="false" customHeight="true" outlineLevel="0" collapsed="false">
      <c r="A259" s="14" t="s">
        <v>27</v>
      </c>
      <c r="B259" s="14" t="s">
        <v>630</v>
      </c>
      <c r="C259" s="32" t="s">
        <v>545</v>
      </c>
      <c r="D259" s="23" t="s">
        <v>627</v>
      </c>
      <c r="E259" s="7" t="s">
        <v>631</v>
      </c>
      <c r="F259" s="9" t="s">
        <v>629</v>
      </c>
    </row>
    <row r="260" customFormat="false" ht="19.5" hidden="false" customHeight="true" outlineLevel="0" collapsed="false">
      <c r="A260" s="14" t="s">
        <v>27</v>
      </c>
      <c r="B260" s="14" t="s">
        <v>632</v>
      </c>
      <c r="C260" s="32" t="s">
        <v>545</v>
      </c>
      <c r="D260" s="26" t="s">
        <v>627</v>
      </c>
      <c r="E260" s="12" t="s">
        <v>633</v>
      </c>
      <c r="F260" s="13" t="s">
        <v>629</v>
      </c>
    </row>
    <row r="261" customFormat="false" ht="19.5" hidden="false" customHeight="true" outlineLevel="0" collapsed="false">
      <c r="A261" s="14" t="s">
        <v>27</v>
      </c>
      <c r="B261" s="14" t="s">
        <v>643</v>
      </c>
      <c r="C261" s="32" t="s">
        <v>545</v>
      </c>
      <c r="D261" s="23" t="s">
        <v>635</v>
      </c>
      <c r="E261" s="7" t="s">
        <v>644</v>
      </c>
      <c r="F261" s="9" t="s">
        <v>573</v>
      </c>
    </row>
    <row r="262" customFormat="false" ht="19.5" hidden="false" customHeight="true" outlineLevel="0" collapsed="false">
      <c r="A262" s="14" t="s">
        <v>27</v>
      </c>
      <c r="B262" s="14" t="s">
        <v>667</v>
      </c>
      <c r="C262" s="32" t="s">
        <v>545</v>
      </c>
      <c r="D262" s="26" t="s">
        <v>251</v>
      </c>
      <c r="E262" s="12" t="s">
        <v>668</v>
      </c>
      <c r="F262" s="13" t="s">
        <v>669</v>
      </c>
    </row>
    <row r="263" customFormat="false" ht="19.5" hidden="false" customHeight="true" outlineLevel="0" collapsed="false">
      <c r="A263" s="14" t="s">
        <v>27</v>
      </c>
      <c r="B263" s="14" t="s">
        <v>670</v>
      </c>
      <c r="C263" s="32" t="s">
        <v>545</v>
      </c>
      <c r="D263" s="23" t="s">
        <v>251</v>
      </c>
      <c r="E263" s="7" t="s">
        <v>671</v>
      </c>
      <c r="F263" s="9" t="s">
        <v>669</v>
      </c>
    </row>
    <row r="264" customFormat="false" ht="19.5" hidden="false" customHeight="true" outlineLevel="0" collapsed="false">
      <c r="A264" s="14" t="s">
        <v>27</v>
      </c>
      <c r="B264" s="14" t="s">
        <v>674</v>
      </c>
      <c r="C264" s="32" t="s">
        <v>545</v>
      </c>
      <c r="D264" s="26" t="s">
        <v>251</v>
      </c>
      <c r="E264" s="12" t="s">
        <v>675</v>
      </c>
      <c r="F264" s="13" t="s">
        <v>669</v>
      </c>
    </row>
    <row r="265" customFormat="false" ht="19.5" hidden="false" customHeight="true" outlineLevel="0" collapsed="false">
      <c r="A265" s="14" t="s">
        <v>27</v>
      </c>
      <c r="B265" s="14" t="s">
        <v>685</v>
      </c>
      <c r="C265" s="32" t="s">
        <v>545</v>
      </c>
      <c r="D265" s="23" t="s">
        <v>263</v>
      </c>
      <c r="E265" s="7" t="s">
        <v>686</v>
      </c>
      <c r="F265" s="9" t="s">
        <v>682</v>
      </c>
    </row>
    <row r="266" customFormat="false" ht="19.5" hidden="false" customHeight="true" outlineLevel="0" collapsed="false">
      <c r="A266" s="14" t="s">
        <v>27</v>
      </c>
      <c r="B266" s="14" t="s">
        <v>689</v>
      </c>
      <c r="C266" s="32" t="s">
        <v>545</v>
      </c>
      <c r="D266" s="26" t="s">
        <v>263</v>
      </c>
      <c r="E266" s="12" t="s">
        <v>690</v>
      </c>
      <c r="F266" s="13" t="s">
        <v>682</v>
      </c>
    </row>
    <row r="267" customFormat="false" ht="19.5" hidden="false" customHeight="true" outlineLevel="0" collapsed="false">
      <c r="A267" s="14" t="s">
        <v>27</v>
      </c>
      <c r="B267" s="14" t="s">
        <v>700</v>
      </c>
      <c r="C267" s="33" t="s">
        <v>693</v>
      </c>
      <c r="D267" s="23" t="s">
        <v>694</v>
      </c>
      <c r="E267" s="7" t="s">
        <v>701</v>
      </c>
      <c r="F267" s="9" t="s">
        <v>702</v>
      </c>
    </row>
    <row r="268" customFormat="false" ht="19.5" hidden="false" customHeight="true" outlineLevel="0" collapsed="false">
      <c r="A268" s="14" t="s">
        <v>27</v>
      </c>
      <c r="B268" s="14" t="s">
        <v>703</v>
      </c>
      <c r="C268" s="33" t="s">
        <v>693</v>
      </c>
      <c r="D268" s="26" t="s">
        <v>694</v>
      </c>
      <c r="E268" s="12" t="s">
        <v>704</v>
      </c>
      <c r="F268" s="13" t="s">
        <v>705</v>
      </c>
    </row>
    <row r="269" customFormat="false" ht="19.5" hidden="false" customHeight="true" outlineLevel="0" collapsed="false">
      <c r="A269" s="14" t="s">
        <v>27</v>
      </c>
      <c r="B269" s="14" t="s">
        <v>706</v>
      </c>
      <c r="C269" s="33" t="s">
        <v>693</v>
      </c>
      <c r="D269" s="23" t="s">
        <v>694</v>
      </c>
      <c r="E269" s="7" t="s">
        <v>707</v>
      </c>
      <c r="F269" s="9" t="s">
        <v>705</v>
      </c>
    </row>
    <row r="270" customFormat="false" ht="19.5" hidden="false" customHeight="true" outlineLevel="0" collapsed="false">
      <c r="A270" s="14" t="s">
        <v>27</v>
      </c>
      <c r="B270" s="14" t="s">
        <v>713</v>
      </c>
      <c r="C270" s="33" t="s">
        <v>693</v>
      </c>
      <c r="D270" s="26" t="s">
        <v>709</v>
      </c>
      <c r="E270" s="12" t="s">
        <v>714</v>
      </c>
      <c r="F270" s="13" t="s">
        <v>715</v>
      </c>
    </row>
    <row r="271" customFormat="false" ht="19.5" hidden="false" customHeight="true" outlineLevel="0" collapsed="false">
      <c r="A271" s="14" t="s">
        <v>27</v>
      </c>
      <c r="B271" s="14" t="s">
        <v>716</v>
      </c>
      <c r="C271" s="33" t="s">
        <v>693</v>
      </c>
      <c r="D271" s="23" t="s">
        <v>709</v>
      </c>
      <c r="E271" s="7" t="s">
        <v>717</v>
      </c>
      <c r="F271" s="9" t="s">
        <v>715</v>
      </c>
    </row>
    <row r="272" customFormat="false" ht="19.5" hidden="false" customHeight="true" outlineLevel="0" collapsed="false">
      <c r="A272" s="14" t="s">
        <v>27</v>
      </c>
      <c r="B272" s="14" t="s">
        <v>722</v>
      </c>
      <c r="C272" s="33" t="s">
        <v>693</v>
      </c>
      <c r="D272" s="26" t="s">
        <v>719</v>
      </c>
      <c r="E272" s="12" t="s">
        <v>723</v>
      </c>
      <c r="F272" s="13" t="s">
        <v>721</v>
      </c>
    </row>
    <row r="273" customFormat="false" ht="19.5" hidden="false" customHeight="true" outlineLevel="0" collapsed="false">
      <c r="A273" s="14" t="s">
        <v>27</v>
      </c>
      <c r="B273" s="14" t="s">
        <v>728</v>
      </c>
      <c r="C273" s="33" t="s">
        <v>693</v>
      </c>
      <c r="D273" s="23" t="s">
        <v>729</v>
      </c>
      <c r="E273" s="7" t="s">
        <v>730</v>
      </c>
      <c r="F273" s="9" t="s">
        <v>731</v>
      </c>
    </row>
    <row r="274" customFormat="false" ht="19.5" hidden="false" customHeight="true" outlineLevel="0" collapsed="false">
      <c r="A274" s="14" t="s">
        <v>27</v>
      </c>
      <c r="B274" s="14" t="s">
        <v>749</v>
      </c>
      <c r="C274" s="33" t="s">
        <v>693</v>
      </c>
      <c r="D274" s="26" t="s">
        <v>742</v>
      </c>
      <c r="E274" s="12" t="s">
        <v>750</v>
      </c>
      <c r="F274" s="13" t="s">
        <v>744</v>
      </c>
    </row>
    <row r="275" customFormat="false" ht="19.5" hidden="false" customHeight="true" outlineLevel="0" collapsed="false">
      <c r="A275" s="14" t="s">
        <v>27</v>
      </c>
      <c r="B275" s="14" t="s">
        <v>754</v>
      </c>
      <c r="C275" s="33" t="s">
        <v>693</v>
      </c>
      <c r="D275" s="23" t="s">
        <v>752</v>
      </c>
      <c r="E275" s="7" t="s">
        <v>755</v>
      </c>
      <c r="F275" s="9" t="s">
        <v>702</v>
      </c>
    </row>
    <row r="276" customFormat="false" ht="19.5" hidden="false" customHeight="true" outlineLevel="0" collapsed="false">
      <c r="A276" s="14" t="s">
        <v>27</v>
      </c>
      <c r="B276" s="14" t="s">
        <v>758</v>
      </c>
      <c r="C276" s="33" t="s">
        <v>693</v>
      </c>
      <c r="D276" s="26" t="s">
        <v>752</v>
      </c>
      <c r="E276" s="12" t="s">
        <v>759</v>
      </c>
      <c r="F276" s="13" t="s">
        <v>702</v>
      </c>
    </row>
    <row r="277" customFormat="false" ht="19.5" hidden="false" customHeight="true" outlineLevel="0" collapsed="false">
      <c r="A277" s="14" t="s">
        <v>27</v>
      </c>
      <c r="B277" s="14" t="s">
        <v>766</v>
      </c>
      <c r="C277" s="33" t="s">
        <v>693</v>
      </c>
      <c r="D277" s="23" t="s">
        <v>763</v>
      </c>
      <c r="E277" s="7" t="s">
        <v>767</v>
      </c>
      <c r="F277" s="9" t="s">
        <v>765</v>
      </c>
    </row>
    <row r="278" customFormat="false" ht="19.5" hidden="false" customHeight="true" outlineLevel="0" collapsed="false">
      <c r="A278" s="14" t="s">
        <v>27</v>
      </c>
      <c r="B278" s="14" t="s">
        <v>768</v>
      </c>
      <c r="C278" s="33" t="s">
        <v>693</v>
      </c>
      <c r="D278" s="26" t="s">
        <v>763</v>
      </c>
      <c r="E278" s="12" t="s">
        <v>769</v>
      </c>
      <c r="F278" s="13" t="s">
        <v>765</v>
      </c>
    </row>
    <row r="279" customFormat="false" ht="19.5" hidden="false" customHeight="true" outlineLevel="0" collapsed="false">
      <c r="A279" s="14" t="s">
        <v>27</v>
      </c>
      <c r="B279" s="14" t="s">
        <v>780</v>
      </c>
      <c r="C279" s="33" t="s">
        <v>693</v>
      </c>
      <c r="D279" s="23" t="s">
        <v>781</v>
      </c>
      <c r="E279" s="7" t="s">
        <v>782</v>
      </c>
      <c r="F279" s="9" t="s">
        <v>783</v>
      </c>
    </row>
    <row r="280" customFormat="false" ht="19.5" hidden="false" customHeight="true" outlineLevel="0" collapsed="false">
      <c r="A280" s="14" t="s">
        <v>27</v>
      </c>
      <c r="B280" s="14" t="s">
        <v>784</v>
      </c>
      <c r="C280" s="33" t="s">
        <v>693</v>
      </c>
      <c r="D280" s="26" t="s">
        <v>781</v>
      </c>
      <c r="E280" s="12" t="s">
        <v>785</v>
      </c>
      <c r="F280" s="13" t="s">
        <v>783</v>
      </c>
    </row>
    <row r="281" customFormat="false" ht="19.5" hidden="false" customHeight="true" outlineLevel="0" collapsed="false">
      <c r="A281" s="14" t="s">
        <v>27</v>
      </c>
      <c r="B281" s="14" t="s">
        <v>786</v>
      </c>
      <c r="C281" s="33" t="s">
        <v>693</v>
      </c>
      <c r="D281" s="23" t="s">
        <v>781</v>
      </c>
      <c r="E281" s="7" t="s">
        <v>787</v>
      </c>
      <c r="F281" s="9" t="s">
        <v>783</v>
      </c>
    </row>
    <row r="282" customFormat="false" ht="19.5" hidden="false" customHeight="true" outlineLevel="0" collapsed="false">
      <c r="A282" s="14" t="s">
        <v>27</v>
      </c>
      <c r="B282" s="14" t="s">
        <v>796</v>
      </c>
      <c r="C282" s="33" t="s">
        <v>693</v>
      </c>
      <c r="D282" s="26" t="s">
        <v>251</v>
      </c>
      <c r="E282" s="12" t="s">
        <v>797</v>
      </c>
      <c r="F282" s="13" t="s">
        <v>798</v>
      </c>
    </row>
    <row r="283" customFormat="false" ht="19.5" hidden="false" customHeight="true" outlineLevel="0" collapsed="false">
      <c r="A283" s="14" t="s">
        <v>27</v>
      </c>
      <c r="B283" s="14" t="s">
        <v>801</v>
      </c>
      <c r="C283" s="33" t="s">
        <v>693</v>
      </c>
      <c r="D283" s="23" t="s">
        <v>251</v>
      </c>
      <c r="E283" s="7" t="s">
        <v>802</v>
      </c>
      <c r="F283" s="9" t="s">
        <v>721</v>
      </c>
    </row>
    <row r="284" customFormat="false" ht="19.5" hidden="false" customHeight="true" outlineLevel="0" collapsed="false">
      <c r="A284" s="14" t="s">
        <v>27</v>
      </c>
      <c r="B284" s="14" t="s">
        <v>803</v>
      </c>
      <c r="C284" s="33" t="s">
        <v>693</v>
      </c>
      <c r="D284" s="26" t="s">
        <v>804</v>
      </c>
      <c r="E284" s="12" t="s">
        <v>805</v>
      </c>
      <c r="F284" s="13" t="s">
        <v>806</v>
      </c>
    </row>
    <row r="285" customFormat="false" ht="19.5" hidden="false" customHeight="true" outlineLevel="0" collapsed="false">
      <c r="A285" s="14" t="s">
        <v>27</v>
      </c>
      <c r="B285" s="14" t="s">
        <v>809</v>
      </c>
      <c r="C285" s="33" t="s">
        <v>693</v>
      </c>
      <c r="D285" s="23" t="s">
        <v>804</v>
      </c>
      <c r="E285" s="7" t="s">
        <v>810</v>
      </c>
      <c r="F285" s="9" t="s">
        <v>736</v>
      </c>
    </row>
    <row r="286" customFormat="false" ht="19.5" hidden="false" customHeight="true" outlineLevel="0" collapsed="false">
      <c r="A286" s="15" t="s">
        <v>53</v>
      </c>
      <c r="B286" s="15" t="s">
        <v>51</v>
      </c>
      <c r="C286" s="22" t="s">
        <v>16</v>
      </c>
      <c r="D286" s="26" t="s">
        <v>46</v>
      </c>
      <c r="E286" s="12" t="s">
        <v>52</v>
      </c>
      <c r="F286" s="13" t="s">
        <v>48</v>
      </c>
    </row>
    <row r="287" customFormat="false" ht="19.5" hidden="false" customHeight="true" outlineLevel="0" collapsed="false">
      <c r="A287" s="15" t="s">
        <v>53</v>
      </c>
      <c r="B287" s="15" t="s">
        <v>67</v>
      </c>
      <c r="C287" s="22" t="s">
        <v>16</v>
      </c>
      <c r="D287" s="23" t="s">
        <v>58</v>
      </c>
      <c r="E287" s="7" t="s">
        <v>68</v>
      </c>
      <c r="F287" s="9" t="s">
        <v>69</v>
      </c>
    </row>
    <row r="288" customFormat="false" ht="19.5" hidden="false" customHeight="true" outlineLevel="0" collapsed="false">
      <c r="A288" s="15" t="s">
        <v>53</v>
      </c>
      <c r="B288" s="15" t="s">
        <v>74</v>
      </c>
      <c r="C288" s="22" t="s">
        <v>16</v>
      </c>
      <c r="D288" s="26" t="s">
        <v>71</v>
      </c>
      <c r="E288" s="12" t="s">
        <v>75</v>
      </c>
      <c r="F288" s="13" t="s">
        <v>73</v>
      </c>
    </row>
    <row r="289" customFormat="false" ht="19.5" hidden="false" customHeight="true" outlineLevel="0" collapsed="false">
      <c r="A289" s="15" t="s">
        <v>53</v>
      </c>
      <c r="B289" s="15" t="s">
        <v>139</v>
      </c>
      <c r="C289" s="28" t="s">
        <v>86</v>
      </c>
      <c r="D289" s="23" t="s">
        <v>134</v>
      </c>
      <c r="E289" s="7" t="s">
        <v>140</v>
      </c>
      <c r="F289" s="9" t="s">
        <v>136</v>
      </c>
    </row>
    <row r="290" customFormat="false" ht="19.5" hidden="false" customHeight="true" outlineLevel="0" collapsed="false">
      <c r="A290" s="15" t="s">
        <v>53</v>
      </c>
      <c r="B290" s="15" t="s">
        <v>215</v>
      </c>
      <c r="C290" s="29" t="s">
        <v>174</v>
      </c>
      <c r="D290" s="26" t="s">
        <v>210</v>
      </c>
      <c r="E290" s="12" t="s">
        <v>216</v>
      </c>
      <c r="F290" s="13" t="s">
        <v>212</v>
      </c>
    </row>
    <row r="291" customFormat="false" ht="19.5" hidden="false" customHeight="true" outlineLevel="0" collapsed="false">
      <c r="A291" s="15" t="s">
        <v>53</v>
      </c>
      <c r="B291" s="15" t="s">
        <v>223</v>
      </c>
      <c r="C291" s="29" t="s">
        <v>174</v>
      </c>
      <c r="D291" s="23" t="s">
        <v>218</v>
      </c>
      <c r="E291" s="7" t="s">
        <v>224</v>
      </c>
      <c r="F291" s="9" t="s">
        <v>220</v>
      </c>
    </row>
    <row r="292" customFormat="false" ht="19.5" hidden="false" customHeight="true" outlineLevel="0" collapsed="false">
      <c r="A292" s="15" t="s">
        <v>53</v>
      </c>
      <c r="B292" s="15" t="s">
        <v>244</v>
      </c>
      <c r="C292" s="29" t="s">
        <v>174</v>
      </c>
      <c r="D292" s="26" t="s">
        <v>242</v>
      </c>
      <c r="E292" s="12" t="s">
        <v>245</v>
      </c>
      <c r="F292" s="13" t="s">
        <v>177</v>
      </c>
    </row>
    <row r="293" customFormat="false" ht="19.5" hidden="false" customHeight="true" outlineLevel="0" collapsed="false">
      <c r="A293" s="15" t="s">
        <v>53</v>
      </c>
      <c r="B293" s="15" t="s">
        <v>246</v>
      </c>
      <c r="C293" s="29" t="s">
        <v>174</v>
      </c>
      <c r="D293" s="23" t="s">
        <v>242</v>
      </c>
      <c r="E293" s="7" t="s">
        <v>247</v>
      </c>
      <c r="F293" s="9" t="s">
        <v>183</v>
      </c>
    </row>
    <row r="294" customFormat="false" ht="19.5" hidden="false" customHeight="true" outlineLevel="0" collapsed="false">
      <c r="A294" s="15" t="s">
        <v>53</v>
      </c>
      <c r="B294" s="15" t="s">
        <v>258</v>
      </c>
      <c r="C294" s="29" t="s">
        <v>174</v>
      </c>
      <c r="D294" s="26" t="s">
        <v>251</v>
      </c>
      <c r="E294" s="12" t="s">
        <v>259</v>
      </c>
      <c r="F294" s="13" t="s">
        <v>253</v>
      </c>
    </row>
    <row r="295" customFormat="false" ht="19.5" hidden="false" customHeight="true" outlineLevel="0" collapsed="false">
      <c r="A295" s="15" t="s">
        <v>53</v>
      </c>
      <c r="B295" s="15" t="s">
        <v>260</v>
      </c>
      <c r="C295" s="29" t="s">
        <v>174</v>
      </c>
      <c r="D295" s="23" t="s">
        <v>251</v>
      </c>
      <c r="E295" s="7" t="s">
        <v>261</v>
      </c>
      <c r="F295" s="9" t="s">
        <v>253</v>
      </c>
    </row>
    <row r="296" customFormat="false" ht="19.5" hidden="false" customHeight="true" outlineLevel="0" collapsed="false">
      <c r="A296" s="15" t="s">
        <v>53</v>
      </c>
      <c r="B296" s="15" t="s">
        <v>265</v>
      </c>
      <c r="C296" s="29" t="s">
        <v>174</v>
      </c>
      <c r="D296" s="26" t="s">
        <v>263</v>
      </c>
      <c r="E296" s="12" t="s">
        <v>266</v>
      </c>
      <c r="F296" s="13" t="s">
        <v>267</v>
      </c>
    </row>
    <row r="297" customFormat="false" ht="19.5" hidden="false" customHeight="true" outlineLevel="0" collapsed="false">
      <c r="A297" s="15" t="s">
        <v>53</v>
      </c>
      <c r="B297" s="15" t="s">
        <v>268</v>
      </c>
      <c r="C297" s="29" t="s">
        <v>174</v>
      </c>
      <c r="D297" s="23" t="s">
        <v>263</v>
      </c>
      <c r="E297" s="7" t="s">
        <v>269</v>
      </c>
      <c r="F297" s="9" t="s">
        <v>267</v>
      </c>
    </row>
    <row r="298" customFormat="false" ht="19.5" hidden="false" customHeight="true" outlineLevel="0" collapsed="false">
      <c r="A298" s="15" t="s">
        <v>53</v>
      </c>
      <c r="B298" s="15" t="s">
        <v>317</v>
      </c>
      <c r="C298" s="30" t="s">
        <v>276</v>
      </c>
      <c r="D298" s="26" t="s">
        <v>312</v>
      </c>
      <c r="E298" s="12" t="s">
        <v>318</v>
      </c>
      <c r="F298" s="13" t="s">
        <v>314</v>
      </c>
    </row>
    <row r="299" customFormat="false" ht="19.5" hidden="false" customHeight="true" outlineLevel="0" collapsed="false">
      <c r="A299" s="15" t="s">
        <v>53</v>
      </c>
      <c r="B299" s="15" t="s">
        <v>336</v>
      </c>
      <c r="C299" s="30" t="s">
        <v>276</v>
      </c>
      <c r="D299" s="23" t="s">
        <v>331</v>
      </c>
      <c r="E299" s="7" t="s">
        <v>337</v>
      </c>
      <c r="F299" s="9" t="s">
        <v>333</v>
      </c>
    </row>
    <row r="300" customFormat="false" ht="19.5" hidden="false" customHeight="true" outlineLevel="0" collapsed="false">
      <c r="A300" s="15" t="s">
        <v>53</v>
      </c>
      <c r="B300" s="15" t="s">
        <v>342</v>
      </c>
      <c r="C300" s="30" t="s">
        <v>276</v>
      </c>
      <c r="D300" s="26" t="s">
        <v>339</v>
      </c>
      <c r="E300" s="12" t="s">
        <v>343</v>
      </c>
      <c r="F300" s="13" t="s">
        <v>341</v>
      </c>
    </row>
    <row r="301" customFormat="false" ht="19.5" hidden="false" customHeight="true" outlineLevel="0" collapsed="false">
      <c r="A301" s="15" t="s">
        <v>53</v>
      </c>
      <c r="B301" s="15" t="s">
        <v>346</v>
      </c>
      <c r="C301" s="30" t="s">
        <v>276</v>
      </c>
      <c r="D301" s="23" t="s">
        <v>339</v>
      </c>
      <c r="E301" s="7" t="s">
        <v>347</v>
      </c>
      <c r="F301" s="9" t="s">
        <v>341</v>
      </c>
    </row>
    <row r="302" customFormat="false" ht="19.5" hidden="false" customHeight="true" outlineLevel="0" collapsed="false">
      <c r="A302" s="15" t="s">
        <v>53</v>
      </c>
      <c r="B302" s="15" t="s">
        <v>358</v>
      </c>
      <c r="C302" s="30" t="s">
        <v>276</v>
      </c>
      <c r="D302" s="26" t="s">
        <v>349</v>
      </c>
      <c r="E302" s="12" t="s">
        <v>359</v>
      </c>
      <c r="F302" s="13" t="s">
        <v>351</v>
      </c>
    </row>
    <row r="303" customFormat="false" ht="19.5" hidden="false" customHeight="true" outlineLevel="0" collapsed="false">
      <c r="A303" s="15" t="s">
        <v>53</v>
      </c>
      <c r="B303" s="15" t="s">
        <v>370</v>
      </c>
      <c r="C303" s="30" t="s">
        <v>276</v>
      </c>
      <c r="D303" s="23" t="s">
        <v>361</v>
      </c>
      <c r="E303" s="7" t="s">
        <v>371</v>
      </c>
      <c r="F303" s="9" t="s">
        <v>363</v>
      </c>
    </row>
    <row r="304" customFormat="false" ht="19.5" hidden="false" customHeight="true" outlineLevel="0" collapsed="false">
      <c r="A304" s="15" t="s">
        <v>53</v>
      </c>
      <c r="B304" s="15" t="s">
        <v>391</v>
      </c>
      <c r="C304" s="30" t="s">
        <v>276</v>
      </c>
      <c r="D304" s="26" t="s">
        <v>251</v>
      </c>
      <c r="E304" s="12" t="s">
        <v>392</v>
      </c>
      <c r="F304" s="13" t="s">
        <v>386</v>
      </c>
    </row>
    <row r="305" customFormat="false" ht="19.5" hidden="false" customHeight="true" outlineLevel="0" collapsed="false">
      <c r="A305" s="15" t="s">
        <v>53</v>
      </c>
      <c r="B305" s="15" t="s">
        <v>393</v>
      </c>
      <c r="C305" s="30" t="s">
        <v>276</v>
      </c>
      <c r="D305" s="23" t="s">
        <v>251</v>
      </c>
      <c r="E305" s="7" t="s">
        <v>394</v>
      </c>
      <c r="F305" s="9" t="s">
        <v>386</v>
      </c>
    </row>
    <row r="306" customFormat="false" ht="19.5" hidden="false" customHeight="true" outlineLevel="0" collapsed="false">
      <c r="A306" s="15" t="s">
        <v>53</v>
      </c>
      <c r="B306" s="15" t="s">
        <v>395</v>
      </c>
      <c r="C306" s="30" t="s">
        <v>276</v>
      </c>
      <c r="D306" s="26" t="s">
        <v>251</v>
      </c>
      <c r="E306" s="12" t="s">
        <v>396</v>
      </c>
      <c r="F306" s="13" t="s">
        <v>386</v>
      </c>
    </row>
    <row r="307" customFormat="false" ht="19.5" hidden="false" customHeight="true" outlineLevel="0" collapsed="false">
      <c r="A307" s="15" t="s">
        <v>53</v>
      </c>
      <c r="B307" s="15" t="s">
        <v>399</v>
      </c>
      <c r="C307" s="30" t="s">
        <v>276</v>
      </c>
      <c r="D307" s="23" t="s">
        <v>263</v>
      </c>
      <c r="E307" s="7" t="s">
        <v>266</v>
      </c>
      <c r="F307" s="9" t="s">
        <v>400</v>
      </c>
    </row>
    <row r="308" customFormat="false" ht="19.5" hidden="false" customHeight="true" outlineLevel="0" collapsed="false">
      <c r="A308" s="15" t="s">
        <v>53</v>
      </c>
      <c r="B308" s="15" t="s">
        <v>401</v>
      </c>
      <c r="C308" s="30" t="s">
        <v>276</v>
      </c>
      <c r="D308" s="26" t="s">
        <v>263</v>
      </c>
      <c r="E308" s="12" t="s">
        <v>269</v>
      </c>
      <c r="F308" s="13" t="s">
        <v>400</v>
      </c>
    </row>
    <row r="309" customFormat="false" ht="19.5" hidden="false" customHeight="true" outlineLevel="0" collapsed="false">
      <c r="A309" s="15" t="s">
        <v>53</v>
      </c>
      <c r="B309" s="15" t="s">
        <v>458</v>
      </c>
      <c r="C309" s="31" t="s">
        <v>404</v>
      </c>
      <c r="D309" s="23" t="s">
        <v>453</v>
      </c>
      <c r="E309" s="7" t="s">
        <v>459</v>
      </c>
      <c r="F309" s="9" t="s">
        <v>455</v>
      </c>
    </row>
    <row r="310" customFormat="false" ht="19.5" hidden="false" customHeight="true" outlineLevel="0" collapsed="false">
      <c r="A310" s="15" t="s">
        <v>53</v>
      </c>
      <c r="B310" s="15" t="s">
        <v>467</v>
      </c>
      <c r="C310" s="31" t="s">
        <v>404</v>
      </c>
      <c r="D310" s="26" t="s">
        <v>453</v>
      </c>
      <c r="E310" s="12" t="s">
        <v>468</v>
      </c>
      <c r="F310" s="13" t="s">
        <v>455</v>
      </c>
    </row>
    <row r="311" customFormat="false" ht="19.5" hidden="false" customHeight="true" outlineLevel="0" collapsed="false">
      <c r="A311" s="15" t="s">
        <v>53</v>
      </c>
      <c r="B311" s="15" t="s">
        <v>489</v>
      </c>
      <c r="C311" s="31" t="s">
        <v>404</v>
      </c>
      <c r="D311" s="23" t="s">
        <v>484</v>
      </c>
      <c r="E311" s="7" t="s">
        <v>490</v>
      </c>
      <c r="F311" s="9" t="s">
        <v>486</v>
      </c>
    </row>
    <row r="312" customFormat="false" ht="19.5" hidden="false" customHeight="true" outlineLevel="0" collapsed="false">
      <c r="A312" s="15" t="s">
        <v>53</v>
      </c>
      <c r="B312" s="15" t="s">
        <v>504</v>
      </c>
      <c r="C312" s="31" t="s">
        <v>404</v>
      </c>
      <c r="D312" s="26" t="s">
        <v>501</v>
      </c>
      <c r="E312" s="12" t="s">
        <v>505</v>
      </c>
      <c r="F312" s="13" t="s">
        <v>503</v>
      </c>
    </row>
    <row r="313" customFormat="false" ht="19.5" hidden="false" customHeight="true" outlineLevel="0" collapsed="false">
      <c r="A313" s="15" t="s">
        <v>53</v>
      </c>
      <c r="B313" s="15" t="s">
        <v>537</v>
      </c>
      <c r="C313" s="31" t="s">
        <v>404</v>
      </c>
      <c r="D313" s="23" t="s">
        <v>263</v>
      </c>
      <c r="E313" s="7" t="s">
        <v>266</v>
      </c>
      <c r="F313" s="9" t="s">
        <v>536</v>
      </c>
    </row>
    <row r="314" customFormat="false" ht="19.5" hidden="false" customHeight="true" outlineLevel="0" collapsed="false">
      <c r="A314" s="15" t="s">
        <v>53</v>
      </c>
      <c r="B314" s="15" t="s">
        <v>538</v>
      </c>
      <c r="C314" s="31" t="s">
        <v>404</v>
      </c>
      <c r="D314" s="26" t="s">
        <v>263</v>
      </c>
      <c r="E314" s="12" t="s">
        <v>269</v>
      </c>
      <c r="F314" s="13" t="s">
        <v>536</v>
      </c>
    </row>
    <row r="315" customFormat="false" ht="19.5" hidden="false" customHeight="true" outlineLevel="0" collapsed="false">
      <c r="A315" s="15" t="s">
        <v>53</v>
      </c>
      <c r="B315" s="15" t="s">
        <v>609</v>
      </c>
      <c r="C315" s="32" t="s">
        <v>545</v>
      </c>
      <c r="D315" s="23" t="s">
        <v>610</v>
      </c>
      <c r="E315" s="7" t="s">
        <v>611</v>
      </c>
      <c r="F315" s="9" t="s">
        <v>612</v>
      </c>
    </row>
    <row r="316" customFormat="false" ht="19.5" hidden="false" customHeight="true" outlineLevel="0" collapsed="false">
      <c r="A316" s="15" t="s">
        <v>53</v>
      </c>
      <c r="B316" s="15" t="s">
        <v>613</v>
      </c>
      <c r="C316" s="32" t="s">
        <v>545</v>
      </c>
      <c r="D316" s="26" t="s">
        <v>610</v>
      </c>
      <c r="E316" s="12" t="s">
        <v>614</v>
      </c>
      <c r="F316" s="13" t="s">
        <v>612</v>
      </c>
    </row>
    <row r="317" customFormat="false" ht="19.5" hidden="false" customHeight="true" outlineLevel="0" collapsed="false">
      <c r="A317" s="15" t="s">
        <v>53</v>
      </c>
      <c r="B317" s="15" t="s">
        <v>615</v>
      </c>
      <c r="C317" s="32" t="s">
        <v>545</v>
      </c>
      <c r="D317" s="23" t="s">
        <v>610</v>
      </c>
      <c r="E317" s="7" t="s">
        <v>616</v>
      </c>
      <c r="F317" s="9" t="s">
        <v>612</v>
      </c>
    </row>
    <row r="318" customFormat="false" ht="19.5" hidden="false" customHeight="true" outlineLevel="0" collapsed="false">
      <c r="A318" s="15" t="s">
        <v>53</v>
      </c>
      <c r="B318" s="15" t="s">
        <v>672</v>
      </c>
      <c r="C318" s="32" t="s">
        <v>545</v>
      </c>
      <c r="D318" s="26" t="s">
        <v>251</v>
      </c>
      <c r="E318" s="12" t="s">
        <v>673</v>
      </c>
      <c r="F318" s="13" t="s">
        <v>669</v>
      </c>
    </row>
    <row r="319" customFormat="false" ht="19.5" hidden="false" customHeight="true" outlineLevel="0" collapsed="false">
      <c r="A319" s="15" t="s">
        <v>53</v>
      </c>
      <c r="B319" s="15" t="s">
        <v>683</v>
      </c>
      <c r="C319" s="32" t="s">
        <v>545</v>
      </c>
      <c r="D319" s="23" t="s">
        <v>263</v>
      </c>
      <c r="E319" s="7" t="s">
        <v>266</v>
      </c>
      <c r="F319" s="9" t="s">
        <v>682</v>
      </c>
    </row>
    <row r="320" customFormat="false" ht="19.5" hidden="false" customHeight="true" outlineLevel="0" collapsed="false">
      <c r="A320" s="15" t="s">
        <v>53</v>
      </c>
      <c r="B320" s="15" t="s">
        <v>684</v>
      </c>
      <c r="C320" s="32" t="s">
        <v>545</v>
      </c>
      <c r="D320" s="26" t="s">
        <v>263</v>
      </c>
      <c r="E320" s="12" t="s">
        <v>269</v>
      </c>
      <c r="F320" s="13" t="s">
        <v>682</v>
      </c>
    </row>
    <row r="321" customFormat="false" ht="19.5" hidden="false" customHeight="true" outlineLevel="0" collapsed="false">
      <c r="A321" s="15" t="s">
        <v>53</v>
      </c>
      <c r="B321" s="15" t="s">
        <v>724</v>
      </c>
      <c r="C321" s="33" t="s">
        <v>693</v>
      </c>
      <c r="D321" s="23" t="s">
        <v>719</v>
      </c>
      <c r="E321" s="7" t="s">
        <v>725</v>
      </c>
      <c r="F321" s="9" t="s">
        <v>721</v>
      </c>
    </row>
    <row r="322" customFormat="false" ht="19.5" hidden="false" customHeight="true" outlineLevel="0" collapsed="false">
      <c r="A322" s="15" t="s">
        <v>53</v>
      </c>
      <c r="B322" s="15" t="s">
        <v>732</v>
      </c>
      <c r="C322" s="33" t="s">
        <v>693</v>
      </c>
      <c r="D322" s="26" t="s">
        <v>729</v>
      </c>
      <c r="E322" s="12" t="s">
        <v>733</v>
      </c>
      <c r="F322" s="13" t="s">
        <v>731</v>
      </c>
    </row>
    <row r="323" customFormat="false" ht="19.5" hidden="false" customHeight="true" outlineLevel="0" collapsed="false">
      <c r="A323" s="15" t="s">
        <v>53</v>
      </c>
      <c r="B323" s="15" t="s">
        <v>756</v>
      </c>
      <c r="C323" s="33" t="s">
        <v>693</v>
      </c>
      <c r="D323" s="23" t="s">
        <v>752</v>
      </c>
      <c r="E323" s="7" t="s">
        <v>757</v>
      </c>
      <c r="F323" s="9" t="s">
        <v>702</v>
      </c>
    </row>
    <row r="324" customFormat="false" ht="19.5" hidden="false" customHeight="true" outlineLevel="0" collapsed="false">
      <c r="A324" s="15" t="s">
        <v>53</v>
      </c>
      <c r="B324" s="15" t="s">
        <v>788</v>
      </c>
      <c r="C324" s="33" t="s">
        <v>693</v>
      </c>
      <c r="D324" s="26" t="s">
        <v>781</v>
      </c>
      <c r="E324" s="12" t="s">
        <v>789</v>
      </c>
      <c r="F324" s="13" t="s">
        <v>783</v>
      </c>
    </row>
    <row r="327" customFormat="false" ht="21.75" hidden="false" customHeight="true" outlineLevel="0" collapsed="false">
      <c r="A327" s="34" t="s">
        <v>842</v>
      </c>
      <c r="B327" s="34"/>
      <c r="C327" s="34"/>
      <c r="D327" s="34"/>
      <c r="E327" s="34"/>
      <c r="F327" s="34"/>
    </row>
    <row r="328" customFormat="false" ht="15" hidden="false" customHeight="false" outlineLevel="0" collapsed="false">
      <c r="A328" s="3" t="s">
        <v>6</v>
      </c>
      <c r="B328" s="3" t="s">
        <v>843</v>
      </c>
      <c r="C328" s="3" t="s">
        <v>844</v>
      </c>
    </row>
    <row r="329" customFormat="false" ht="15" hidden="false" customHeight="false" outlineLevel="0" collapsed="false">
      <c r="A329" s="102" t="s">
        <v>19</v>
      </c>
      <c r="B329" s="102" t="n">
        <v>168</v>
      </c>
      <c r="C329" s="103" t="n">
        <v>0.525</v>
      </c>
    </row>
    <row r="330" customFormat="false" ht="15" hidden="false" customHeight="false" outlineLevel="0" collapsed="false">
      <c r="A330" s="104" t="s">
        <v>27</v>
      </c>
      <c r="B330" s="104" t="n">
        <v>113</v>
      </c>
      <c r="C330" s="105" t="n">
        <v>0.353125</v>
      </c>
    </row>
    <row r="331" customFormat="false" ht="15" hidden="false" customHeight="false" outlineLevel="0" collapsed="false">
      <c r="A331" s="106" t="s">
        <v>53</v>
      </c>
      <c r="B331" s="106" t="n">
        <v>39</v>
      </c>
      <c r="C331" s="107" t="n">
        <v>0.121875</v>
      </c>
    </row>
  </sheetData>
  <mergeCells count="3">
    <mergeCell ref="A1:F1"/>
    <mergeCell ref="A2:F2"/>
    <mergeCell ref="A327:F3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24"/>
  </cols>
  <sheetData>
    <row r="1" customFormat="false" ht="36" hidden="false" customHeight="true" outlineLevel="0" collapsed="false">
      <c r="A1" s="1" t="s">
        <v>845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846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847</v>
      </c>
      <c r="B4" s="3" t="s">
        <v>3</v>
      </c>
      <c r="C4" s="3" t="s">
        <v>848</v>
      </c>
      <c r="D4" s="3" t="s">
        <v>849</v>
      </c>
      <c r="E4" s="3" t="s">
        <v>850</v>
      </c>
      <c r="F4" s="3" t="s">
        <v>851</v>
      </c>
    </row>
    <row r="5" customFormat="false" ht="18" hidden="false" customHeight="true" outlineLevel="0" collapsed="false">
      <c r="A5" s="4" t="s">
        <v>14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108" t="s">
        <v>20</v>
      </c>
      <c r="B6" s="22" t="s">
        <v>16</v>
      </c>
      <c r="C6" s="9" t="s">
        <v>852</v>
      </c>
      <c r="D6" s="109" t="s">
        <v>853</v>
      </c>
      <c r="E6" s="23" t="s">
        <v>854</v>
      </c>
      <c r="F6" s="110" t="s">
        <v>855</v>
      </c>
    </row>
    <row r="7" customFormat="false" ht="30" hidden="false" customHeight="true" outlineLevel="0" collapsed="false">
      <c r="A7" s="111" t="s">
        <v>28</v>
      </c>
      <c r="B7" s="22" t="s">
        <v>16</v>
      </c>
      <c r="C7" s="13" t="s">
        <v>852</v>
      </c>
      <c r="D7" s="112" t="s">
        <v>856</v>
      </c>
      <c r="E7" s="26" t="s">
        <v>857</v>
      </c>
      <c r="F7" s="113" t="s">
        <v>858</v>
      </c>
    </row>
    <row r="8" customFormat="false" ht="30" hidden="false" customHeight="true" outlineLevel="0" collapsed="false">
      <c r="A8" s="108" t="s">
        <v>34</v>
      </c>
      <c r="B8" s="22" t="s">
        <v>16</v>
      </c>
      <c r="C8" s="9" t="s">
        <v>32</v>
      </c>
      <c r="D8" s="109" t="s">
        <v>859</v>
      </c>
      <c r="E8" s="23" t="s">
        <v>860</v>
      </c>
      <c r="F8" s="110" t="s">
        <v>861</v>
      </c>
    </row>
    <row r="9" customFormat="false" ht="30" hidden="false" customHeight="true" outlineLevel="0" collapsed="false">
      <c r="A9" s="111" t="s">
        <v>39</v>
      </c>
      <c r="B9" s="22" t="s">
        <v>16</v>
      </c>
      <c r="C9" s="13" t="s">
        <v>32</v>
      </c>
      <c r="D9" s="112" t="s">
        <v>862</v>
      </c>
      <c r="E9" s="26" t="s">
        <v>863</v>
      </c>
      <c r="F9" s="113" t="s">
        <v>37</v>
      </c>
    </row>
    <row r="10" customFormat="false" ht="30" hidden="false" customHeight="true" outlineLevel="0" collapsed="false">
      <c r="A10" s="108" t="s">
        <v>44</v>
      </c>
      <c r="B10" s="22" t="s">
        <v>16</v>
      </c>
      <c r="C10" s="9" t="s">
        <v>864</v>
      </c>
      <c r="D10" s="109" t="s">
        <v>865</v>
      </c>
      <c r="E10" s="23" t="s">
        <v>866</v>
      </c>
      <c r="F10" s="110" t="s">
        <v>42</v>
      </c>
    </row>
    <row r="11" customFormat="false" ht="30" hidden="false" customHeight="true" outlineLevel="0" collapsed="false">
      <c r="A11" s="111" t="s">
        <v>48</v>
      </c>
      <c r="B11" s="22" t="s">
        <v>16</v>
      </c>
      <c r="C11" s="13" t="s">
        <v>867</v>
      </c>
      <c r="D11" s="112" t="s">
        <v>868</v>
      </c>
      <c r="E11" s="26" t="s">
        <v>869</v>
      </c>
      <c r="F11" s="113" t="s">
        <v>870</v>
      </c>
    </row>
    <row r="12" customFormat="false" ht="30" hidden="false" customHeight="true" outlineLevel="0" collapsed="false">
      <c r="A12" s="108" t="s">
        <v>60</v>
      </c>
      <c r="B12" s="22" t="s">
        <v>16</v>
      </c>
      <c r="C12" s="9" t="s">
        <v>871</v>
      </c>
      <c r="D12" s="109" t="s">
        <v>872</v>
      </c>
      <c r="E12" s="23" t="s">
        <v>873</v>
      </c>
      <c r="F12" s="110" t="s">
        <v>874</v>
      </c>
    </row>
    <row r="13" customFormat="false" ht="30" hidden="false" customHeight="true" outlineLevel="0" collapsed="false">
      <c r="A13" s="111" t="s">
        <v>63</v>
      </c>
      <c r="B13" s="22" t="s">
        <v>16</v>
      </c>
      <c r="C13" s="13" t="s">
        <v>871</v>
      </c>
      <c r="D13" s="112" t="s">
        <v>875</v>
      </c>
      <c r="E13" s="26" t="s">
        <v>876</v>
      </c>
      <c r="F13" s="113" t="s">
        <v>61</v>
      </c>
    </row>
    <row r="14" customFormat="false" ht="30" hidden="false" customHeight="true" outlineLevel="0" collapsed="false">
      <c r="A14" s="108" t="s">
        <v>73</v>
      </c>
      <c r="B14" s="22" t="s">
        <v>16</v>
      </c>
      <c r="C14" s="9" t="s">
        <v>877</v>
      </c>
      <c r="D14" s="109" t="s">
        <v>878</v>
      </c>
      <c r="E14" s="23" t="s">
        <v>879</v>
      </c>
      <c r="F14" s="110" t="s">
        <v>880</v>
      </c>
    </row>
    <row r="15" customFormat="false" ht="30" hidden="false" customHeight="true" outlineLevel="0" collapsed="false">
      <c r="A15" s="111" t="s">
        <v>83</v>
      </c>
      <c r="B15" s="22" t="s">
        <v>16</v>
      </c>
      <c r="C15" s="13" t="s">
        <v>81</v>
      </c>
      <c r="D15" s="112" t="s">
        <v>881</v>
      </c>
      <c r="E15" s="26" t="s">
        <v>882</v>
      </c>
      <c r="F15" s="113" t="s">
        <v>883</v>
      </c>
    </row>
    <row r="16" customFormat="false" ht="30" hidden="false" customHeight="true" outlineLevel="0" collapsed="false">
      <c r="A16" s="108" t="s">
        <v>79</v>
      </c>
      <c r="B16" s="22" t="s">
        <v>16</v>
      </c>
      <c r="C16" s="9" t="s">
        <v>77</v>
      </c>
      <c r="D16" s="109" t="s">
        <v>884</v>
      </c>
      <c r="E16" s="23" t="s">
        <v>885</v>
      </c>
      <c r="F16" s="110" t="s">
        <v>76</v>
      </c>
    </row>
    <row r="17" customFormat="false" ht="18" hidden="false" customHeight="true" outlineLevel="0" collapsed="false">
      <c r="A17" s="4" t="s">
        <v>84</v>
      </c>
      <c r="B17" s="4"/>
      <c r="C17" s="4"/>
      <c r="D17" s="4"/>
      <c r="E17" s="4"/>
      <c r="F17" s="4"/>
    </row>
    <row r="18" customFormat="false" ht="30" hidden="false" customHeight="true" outlineLevel="0" collapsed="false">
      <c r="A18" s="108" t="s">
        <v>89</v>
      </c>
      <c r="B18" s="28" t="s">
        <v>86</v>
      </c>
      <c r="C18" s="9" t="s">
        <v>886</v>
      </c>
      <c r="D18" s="109" t="s">
        <v>887</v>
      </c>
      <c r="E18" s="23" t="s">
        <v>888</v>
      </c>
      <c r="F18" s="110" t="s">
        <v>889</v>
      </c>
    </row>
    <row r="19" customFormat="false" ht="30" hidden="false" customHeight="true" outlineLevel="0" collapsed="false">
      <c r="A19" s="111" t="s">
        <v>98</v>
      </c>
      <c r="B19" s="28" t="s">
        <v>86</v>
      </c>
      <c r="C19" s="13" t="s">
        <v>890</v>
      </c>
      <c r="D19" s="112" t="s">
        <v>891</v>
      </c>
      <c r="E19" s="26" t="s">
        <v>892</v>
      </c>
      <c r="F19" s="113" t="s">
        <v>96</v>
      </c>
    </row>
    <row r="20" customFormat="false" ht="30" hidden="false" customHeight="true" outlineLevel="0" collapsed="false">
      <c r="A20" s="108" t="s">
        <v>102</v>
      </c>
      <c r="B20" s="28" t="s">
        <v>86</v>
      </c>
      <c r="C20" s="9" t="s">
        <v>893</v>
      </c>
      <c r="D20" s="109" t="s">
        <v>894</v>
      </c>
      <c r="E20" s="23" t="s">
        <v>895</v>
      </c>
      <c r="F20" s="110" t="s">
        <v>896</v>
      </c>
    </row>
    <row r="21" customFormat="false" ht="30" hidden="false" customHeight="true" outlineLevel="0" collapsed="false">
      <c r="A21" s="111" t="s">
        <v>110</v>
      </c>
      <c r="B21" s="28" t="s">
        <v>86</v>
      </c>
      <c r="C21" s="13" t="s">
        <v>897</v>
      </c>
      <c r="D21" s="112" t="s">
        <v>898</v>
      </c>
      <c r="E21" s="26" t="s">
        <v>899</v>
      </c>
      <c r="F21" s="113" t="s">
        <v>900</v>
      </c>
    </row>
    <row r="22" customFormat="false" ht="30" hidden="false" customHeight="true" outlineLevel="0" collapsed="false">
      <c r="A22" s="108" t="s">
        <v>117</v>
      </c>
      <c r="B22" s="28" t="s">
        <v>86</v>
      </c>
      <c r="C22" s="9" t="s">
        <v>897</v>
      </c>
      <c r="D22" s="109" t="s">
        <v>901</v>
      </c>
      <c r="E22" s="23" t="s">
        <v>902</v>
      </c>
      <c r="F22" s="110" t="s">
        <v>115</v>
      </c>
    </row>
    <row r="23" customFormat="false" ht="30" hidden="false" customHeight="true" outlineLevel="0" collapsed="false">
      <c r="A23" s="111" t="s">
        <v>126</v>
      </c>
      <c r="B23" s="28" t="s">
        <v>86</v>
      </c>
      <c r="C23" s="13" t="s">
        <v>903</v>
      </c>
      <c r="D23" s="112" t="s">
        <v>904</v>
      </c>
      <c r="E23" s="26" t="s">
        <v>905</v>
      </c>
      <c r="F23" s="113" t="s">
        <v>906</v>
      </c>
    </row>
    <row r="24" customFormat="false" ht="30" hidden="false" customHeight="true" outlineLevel="0" collapsed="false">
      <c r="A24" s="108" t="s">
        <v>69</v>
      </c>
      <c r="B24" s="28" t="s">
        <v>86</v>
      </c>
      <c r="C24" s="9" t="s">
        <v>907</v>
      </c>
      <c r="D24" s="109" t="s">
        <v>908</v>
      </c>
      <c r="E24" s="23" t="s">
        <v>909</v>
      </c>
      <c r="F24" s="110" t="s">
        <v>910</v>
      </c>
    </row>
    <row r="25" customFormat="false" ht="30" hidden="false" customHeight="true" outlineLevel="0" collapsed="false">
      <c r="A25" s="111" t="s">
        <v>122</v>
      </c>
      <c r="B25" s="28" t="s">
        <v>86</v>
      </c>
      <c r="C25" s="13" t="s">
        <v>911</v>
      </c>
      <c r="D25" s="112" t="s">
        <v>912</v>
      </c>
      <c r="E25" s="26" t="s">
        <v>913</v>
      </c>
      <c r="F25" s="113" t="s">
        <v>914</v>
      </c>
    </row>
    <row r="26" customFormat="false" ht="30" hidden="false" customHeight="true" outlineLevel="0" collapsed="false">
      <c r="A26" s="108" t="s">
        <v>136</v>
      </c>
      <c r="B26" s="28" t="s">
        <v>86</v>
      </c>
      <c r="C26" s="9" t="s">
        <v>8</v>
      </c>
      <c r="D26" s="109" t="s">
        <v>915</v>
      </c>
      <c r="E26" s="23" t="s">
        <v>916</v>
      </c>
      <c r="F26" s="110" t="s">
        <v>917</v>
      </c>
    </row>
    <row r="27" customFormat="false" ht="30" hidden="false" customHeight="true" outlineLevel="0" collapsed="false">
      <c r="A27" s="111" t="s">
        <v>144</v>
      </c>
      <c r="B27" s="28" t="s">
        <v>86</v>
      </c>
      <c r="C27" s="13" t="s">
        <v>918</v>
      </c>
      <c r="D27" s="112" t="s">
        <v>919</v>
      </c>
      <c r="E27" s="26" t="s">
        <v>920</v>
      </c>
      <c r="F27" s="113" t="s">
        <v>921</v>
      </c>
    </row>
    <row r="28" customFormat="false" ht="30" hidden="false" customHeight="true" outlineLevel="0" collapsed="false">
      <c r="A28" s="108" t="s">
        <v>149</v>
      </c>
      <c r="B28" s="28" t="s">
        <v>86</v>
      </c>
      <c r="C28" s="9" t="s">
        <v>918</v>
      </c>
      <c r="D28" s="109" t="s">
        <v>922</v>
      </c>
      <c r="E28" s="23" t="s">
        <v>923</v>
      </c>
      <c r="F28" s="110" t="s">
        <v>147</v>
      </c>
    </row>
    <row r="29" customFormat="false" ht="30" hidden="false" customHeight="true" outlineLevel="0" collapsed="false">
      <c r="A29" s="111" t="s">
        <v>158</v>
      </c>
      <c r="B29" s="28" t="s">
        <v>86</v>
      </c>
      <c r="C29" s="13" t="s">
        <v>924</v>
      </c>
      <c r="D29" s="112" t="s">
        <v>925</v>
      </c>
      <c r="E29" s="26" t="s">
        <v>926</v>
      </c>
      <c r="F29" s="113" t="s">
        <v>927</v>
      </c>
    </row>
    <row r="30" customFormat="false" ht="30" hidden="false" customHeight="true" outlineLevel="0" collapsed="false">
      <c r="A30" s="108" t="s">
        <v>167</v>
      </c>
      <c r="B30" s="28" t="s">
        <v>86</v>
      </c>
      <c r="C30" s="9" t="s">
        <v>928</v>
      </c>
      <c r="D30" s="109" t="s">
        <v>929</v>
      </c>
      <c r="E30" s="23" t="s">
        <v>930</v>
      </c>
      <c r="F30" s="110" t="s">
        <v>164</v>
      </c>
    </row>
    <row r="31" customFormat="false" ht="30" hidden="false" customHeight="true" outlineLevel="0" collapsed="false">
      <c r="A31" s="111" t="s">
        <v>171</v>
      </c>
      <c r="B31" s="28" t="s">
        <v>86</v>
      </c>
      <c r="C31" s="13" t="s">
        <v>77</v>
      </c>
      <c r="D31" s="112" t="s">
        <v>931</v>
      </c>
      <c r="E31" s="26" t="s">
        <v>932</v>
      </c>
      <c r="F31" s="113" t="s">
        <v>933</v>
      </c>
    </row>
    <row r="32" customFormat="false" ht="18" hidden="false" customHeight="true" outlineLevel="0" collapsed="false">
      <c r="A32" s="4" t="s">
        <v>172</v>
      </c>
      <c r="B32" s="4"/>
      <c r="C32" s="4"/>
      <c r="D32" s="4"/>
      <c r="E32" s="4"/>
      <c r="F32" s="4"/>
    </row>
    <row r="33" customFormat="false" ht="30" hidden="false" customHeight="true" outlineLevel="0" collapsed="false">
      <c r="A33" s="108" t="s">
        <v>177</v>
      </c>
      <c r="B33" s="29" t="s">
        <v>174</v>
      </c>
      <c r="C33" s="9" t="s">
        <v>852</v>
      </c>
      <c r="D33" s="109" t="s">
        <v>934</v>
      </c>
      <c r="E33" s="23" t="s">
        <v>935</v>
      </c>
      <c r="F33" s="110" t="s">
        <v>936</v>
      </c>
    </row>
    <row r="34" customFormat="false" ht="30" hidden="false" customHeight="true" outlineLevel="0" collapsed="false">
      <c r="A34" s="111" t="s">
        <v>183</v>
      </c>
      <c r="B34" s="29" t="s">
        <v>174</v>
      </c>
      <c r="C34" s="13" t="s">
        <v>852</v>
      </c>
      <c r="D34" s="112" t="s">
        <v>937</v>
      </c>
      <c r="E34" s="26" t="s">
        <v>938</v>
      </c>
      <c r="F34" s="113" t="s">
        <v>939</v>
      </c>
    </row>
    <row r="35" customFormat="false" ht="30" hidden="false" customHeight="true" outlineLevel="0" collapsed="false">
      <c r="A35" s="108" t="s">
        <v>189</v>
      </c>
      <c r="B35" s="29" t="s">
        <v>174</v>
      </c>
      <c r="C35" s="9" t="s">
        <v>940</v>
      </c>
      <c r="D35" s="109" t="s">
        <v>941</v>
      </c>
      <c r="E35" s="23" t="s">
        <v>942</v>
      </c>
      <c r="F35" s="110" t="s">
        <v>943</v>
      </c>
    </row>
    <row r="36" customFormat="false" ht="30" hidden="false" customHeight="true" outlineLevel="0" collapsed="false">
      <c r="A36" s="111" t="s">
        <v>201</v>
      </c>
      <c r="B36" s="29" t="s">
        <v>174</v>
      </c>
      <c r="C36" s="13" t="s">
        <v>944</v>
      </c>
      <c r="D36" s="112" t="s">
        <v>945</v>
      </c>
      <c r="E36" s="26" t="s">
        <v>946</v>
      </c>
      <c r="F36" s="113" t="s">
        <v>947</v>
      </c>
    </row>
    <row r="37" customFormat="false" ht="30" hidden="false" customHeight="true" outlineLevel="0" collapsed="false">
      <c r="A37" s="108" t="s">
        <v>206</v>
      </c>
      <c r="B37" s="29" t="s">
        <v>174</v>
      </c>
      <c r="C37" s="9" t="s">
        <v>944</v>
      </c>
      <c r="D37" s="109" t="s">
        <v>948</v>
      </c>
      <c r="E37" s="23" t="s">
        <v>949</v>
      </c>
      <c r="F37" s="110" t="s">
        <v>204</v>
      </c>
    </row>
    <row r="38" customFormat="false" ht="30" hidden="false" customHeight="true" outlineLevel="0" collapsed="false">
      <c r="A38" s="111" t="s">
        <v>212</v>
      </c>
      <c r="B38" s="29" t="s">
        <v>174</v>
      </c>
      <c r="C38" s="13" t="s">
        <v>950</v>
      </c>
      <c r="D38" s="112" t="s">
        <v>951</v>
      </c>
      <c r="E38" s="26" t="s">
        <v>952</v>
      </c>
      <c r="F38" s="113" t="s">
        <v>953</v>
      </c>
    </row>
    <row r="39" customFormat="false" ht="30" hidden="false" customHeight="true" outlineLevel="0" collapsed="false">
      <c r="A39" s="108" t="s">
        <v>220</v>
      </c>
      <c r="B39" s="29" t="s">
        <v>174</v>
      </c>
      <c r="C39" s="9" t="s">
        <v>218</v>
      </c>
      <c r="D39" s="109" t="s">
        <v>954</v>
      </c>
      <c r="E39" s="23" t="s">
        <v>955</v>
      </c>
      <c r="F39" s="110" t="s">
        <v>956</v>
      </c>
    </row>
    <row r="40" customFormat="false" ht="30" hidden="false" customHeight="true" outlineLevel="0" collapsed="false">
      <c r="A40" s="111" t="s">
        <v>233</v>
      </c>
      <c r="B40" s="29" t="s">
        <v>174</v>
      </c>
      <c r="C40" s="13" t="s">
        <v>218</v>
      </c>
      <c r="D40" s="112" t="s">
        <v>957</v>
      </c>
      <c r="E40" s="26" t="s">
        <v>958</v>
      </c>
      <c r="F40" s="113" t="s">
        <v>959</v>
      </c>
    </row>
    <row r="41" customFormat="false" ht="30" hidden="false" customHeight="true" outlineLevel="0" collapsed="false">
      <c r="A41" s="108" t="s">
        <v>240</v>
      </c>
      <c r="B41" s="29" t="s">
        <v>174</v>
      </c>
      <c r="C41" s="9" t="s">
        <v>218</v>
      </c>
      <c r="D41" s="109" t="s">
        <v>960</v>
      </c>
      <c r="E41" s="23" t="s">
        <v>961</v>
      </c>
      <c r="F41" s="110" t="s">
        <v>238</v>
      </c>
    </row>
    <row r="42" customFormat="false" ht="30" hidden="false" customHeight="true" outlineLevel="0" collapsed="false">
      <c r="A42" s="111" t="s">
        <v>253</v>
      </c>
      <c r="B42" s="29" t="s">
        <v>174</v>
      </c>
      <c r="C42" s="13" t="s">
        <v>962</v>
      </c>
      <c r="D42" s="112" t="s">
        <v>963</v>
      </c>
      <c r="E42" s="26" t="s">
        <v>964</v>
      </c>
      <c r="F42" s="113" t="s">
        <v>965</v>
      </c>
    </row>
    <row r="43" customFormat="false" ht="30" hidden="false" customHeight="true" outlineLevel="0" collapsed="false">
      <c r="A43" s="108" t="s">
        <v>267</v>
      </c>
      <c r="B43" s="29" t="s">
        <v>174</v>
      </c>
      <c r="C43" s="9" t="s">
        <v>263</v>
      </c>
      <c r="D43" s="109" t="s">
        <v>966</v>
      </c>
      <c r="E43" s="23" t="s">
        <v>967</v>
      </c>
      <c r="F43" s="110" t="s">
        <v>968</v>
      </c>
    </row>
    <row r="44" customFormat="false" ht="18" hidden="false" customHeight="true" outlineLevel="0" collapsed="false">
      <c r="A44" s="4" t="s">
        <v>274</v>
      </c>
      <c r="B44" s="4"/>
      <c r="C44" s="4"/>
      <c r="D44" s="4"/>
      <c r="E44" s="4"/>
      <c r="F44" s="4"/>
    </row>
    <row r="45" customFormat="false" ht="30" hidden="false" customHeight="true" outlineLevel="0" collapsed="false">
      <c r="A45" s="108" t="s">
        <v>279</v>
      </c>
      <c r="B45" s="30" t="s">
        <v>276</v>
      </c>
      <c r="C45" s="9" t="s">
        <v>852</v>
      </c>
      <c r="D45" s="109" t="s">
        <v>969</v>
      </c>
      <c r="E45" s="23" t="s">
        <v>888</v>
      </c>
      <c r="F45" s="110" t="s">
        <v>970</v>
      </c>
    </row>
    <row r="46" customFormat="false" ht="30" hidden="false" customHeight="true" outlineLevel="0" collapsed="false">
      <c r="A46" s="111" t="s">
        <v>971</v>
      </c>
      <c r="B46" s="30" t="s">
        <v>276</v>
      </c>
      <c r="C46" s="13" t="s">
        <v>852</v>
      </c>
      <c r="D46" s="112" t="s">
        <v>972</v>
      </c>
      <c r="E46" s="26" t="s">
        <v>973</v>
      </c>
      <c r="F46" s="113" t="s">
        <v>280</v>
      </c>
    </row>
    <row r="47" customFormat="false" ht="30" hidden="false" customHeight="true" outlineLevel="0" collapsed="false">
      <c r="A47" s="108" t="s">
        <v>285</v>
      </c>
      <c r="B47" s="30" t="s">
        <v>276</v>
      </c>
      <c r="C47" s="9" t="s">
        <v>8</v>
      </c>
      <c r="D47" s="109" t="s">
        <v>974</v>
      </c>
      <c r="E47" s="23" t="s">
        <v>975</v>
      </c>
      <c r="F47" s="110" t="s">
        <v>976</v>
      </c>
    </row>
    <row r="48" customFormat="false" ht="30" hidden="false" customHeight="true" outlineLevel="0" collapsed="false">
      <c r="A48" s="111" t="s">
        <v>295</v>
      </c>
      <c r="B48" s="30" t="s">
        <v>276</v>
      </c>
      <c r="C48" s="13" t="s">
        <v>890</v>
      </c>
      <c r="D48" s="112" t="s">
        <v>977</v>
      </c>
      <c r="E48" s="26" t="s">
        <v>978</v>
      </c>
      <c r="F48" s="113" t="s">
        <v>979</v>
      </c>
    </row>
    <row r="49" customFormat="false" ht="30" hidden="false" customHeight="true" outlineLevel="0" collapsed="false">
      <c r="A49" s="108" t="s">
        <v>303</v>
      </c>
      <c r="B49" s="30" t="s">
        <v>276</v>
      </c>
      <c r="C49" s="9" t="s">
        <v>980</v>
      </c>
      <c r="D49" s="109" t="s">
        <v>981</v>
      </c>
      <c r="E49" s="23" t="s">
        <v>982</v>
      </c>
      <c r="F49" s="110" t="s">
        <v>983</v>
      </c>
    </row>
    <row r="50" customFormat="false" ht="30" hidden="false" customHeight="true" outlineLevel="0" collapsed="false">
      <c r="A50" s="111" t="s">
        <v>310</v>
      </c>
      <c r="B50" s="30" t="s">
        <v>276</v>
      </c>
      <c r="C50" s="13" t="s">
        <v>984</v>
      </c>
      <c r="D50" s="112" t="s">
        <v>985</v>
      </c>
      <c r="E50" s="26" t="s">
        <v>986</v>
      </c>
      <c r="F50" s="113" t="s">
        <v>308</v>
      </c>
    </row>
    <row r="51" customFormat="false" ht="30" hidden="false" customHeight="true" outlineLevel="0" collapsed="false">
      <c r="A51" s="108" t="s">
        <v>314</v>
      </c>
      <c r="B51" s="30" t="s">
        <v>276</v>
      </c>
      <c r="C51" s="9" t="s">
        <v>987</v>
      </c>
      <c r="D51" s="109" t="s">
        <v>988</v>
      </c>
      <c r="E51" s="23" t="s">
        <v>989</v>
      </c>
      <c r="F51" s="110" t="s">
        <v>990</v>
      </c>
    </row>
    <row r="52" customFormat="false" ht="30" hidden="false" customHeight="true" outlineLevel="0" collapsed="false">
      <c r="A52" s="111" t="s">
        <v>333</v>
      </c>
      <c r="B52" s="30" t="s">
        <v>276</v>
      </c>
      <c r="C52" s="13" t="s">
        <v>991</v>
      </c>
      <c r="D52" s="112" t="s">
        <v>992</v>
      </c>
      <c r="E52" s="26" t="s">
        <v>993</v>
      </c>
      <c r="F52" s="113" t="s">
        <v>994</v>
      </c>
    </row>
    <row r="53" customFormat="false" ht="30" hidden="false" customHeight="true" outlineLevel="0" collapsed="false">
      <c r="A53" s="108" t="s">
        <v>341</v>
      </c>
      <c r="B53" s="30" t="s">
        <v>276</v>
      </c>
      <c r="C53" s="9" t="s">
        <v>995</v>
      </c>
      <c r="D53" s="109" t="s">
        <v>996</v>
      </c>
      <c r="E53" s="23" t="s">
        <v>997</v>
      </c>
      <c r="F53" s="110" t="s">
        <v>998</v>
      </c>
    </row>
    <row r="54" customFormat="false" ht="30" hidden="false" customHeight="true" outlineLevel="0" collapsed="false">
      <c r="A54" s="111" t="s">
        <v>351</v>
      </c>
      <c r="B54" s="30" t="s">
        <v>276</v>
      </c>
      <c r="C54" s="13" t="s">
        <v>999</v>
      </c>
      <c r="D54" s="112" t="s">
        <v>1000</v>
      </c>
      <c r="E54" s="26" t="s">
        <v>1001</v>
      </c>
      <c r="F54" s="113" t="s">
        <v>1002</v>
      </c>
    </row>
    <row r="55" customFormat="false" ht="30" hidden="false" customHeight="true" outlineLevel="0" collapsed="false">
      <c r="A55" s="108" t="s">
        <v>363</v>
      </c>
      <c r="B55" s="30" t="s">
        <v>276</v>
      </c>
      <c r="C55" s="9" t="s">
        <v>1003</v>
      </c>
      <c r="D55" s="109" t="s">
        <v>1004</v>
      </c>
      <c r="E55" s="23" t="s">
        <v>1005</v>
      </c>
      <c r="F55" s="110" t="s">
        <v>1006</v>
      </c>
    </row>
    <row r="56" customFormat="false" ht="30" hidden="false" customHeight="true" outlineLevel="0" collapsed="false">
      <c r="A56" s="111" t="s">
        <v>375</v>
      </c>
      <c r="B56" s="30" t="s">
        <v>276</v>
      </c>
      <c r="C56" s="13" t="s">
        <v>1007</v>
      </c>
      <c r="D56" s="112" t="s">
        <v>1008</v>
      </c>
      <c r="E56" s="26" t="s">
        <v>1009</v>
      </c>
      <c r="F56" s="113" t="s">
        <v>1010</v>
      </c>
    </row>
    <row r="57" customFormat="false" ht="30" hidden="false" customHeight="true" outlineLevel="0" collapsed="false">
      <c r="A57" s="108" t="s">
        <v>386</v>
      </c>
      <c r="B57" s="30" t="s">
        <v>276</v>
      </c>
      <c r="C57" s="9" t="s">
        <v>962</v>
      </c>
      <c r="D57" s="109" t="s">
        <v>1011</v>
      </c>
      <c r="E57" s="23" t="s">
        <v>1012</v>
      </c>
      <c r="F57" s="110" t="s">
        <v>1013</v>
      </c>
    </row>
    <row r="58" customFormat="false" ht="30" hidden="false" customHeight="true" outlineLevel="0" collapsed="false">
      <c r="A58" s="111" t="s">
        <v>400</v>
      </c>
      <c r="B58" s="30" t="s">
        <v>276</v>
      </c>
      <c r="C58" s="13" t="s">
        <v>263</v>
      </c>
      <c r="D58" s="112" t="s">
        <v>1014</v>
      </c>
      <c r="E58" s="26" t="s">
        <v>1015</v>
      </c>
      <c r="F58" s="113" t="s">
        <v>1016</v>
      </c>
    </row>
    <row r="59" customFormat="false" ht="18" hidden="false" customHeight="true" outlineLevel="0" collapsed="false">
      <c r="A59" s="4" t="s">
        <v>402</v>
      </c>
      <c r="B59" s="4"/>
      <c r="C59" s="4"/>
      <c r="D59" s="4"/>
      <c r="E59" s="4"/>
      <c r="F59" s="4"/>
    </row>
    <row r="60" customFormat="false" ht="30" hidden="false" customHeight="true" outlineLevel="0" collapsed="false">
      <c r="A60" s="108" t="s">
        <v>407</v>
      </c>
      <c r="B60" s="31" t="s">
        <v>404</v>
      </c>
      <c r="C60" s="9" t="s">
        <v>852</v>
      </c>
      <c r="D60" s="109" t="s">
        <v>1017</v>
      </c>
      <c r="E60" s="23" t="s">
        <v>1018</v>
      </c>
      <c r="F60" s="110" t="s">
        <v>1019</v>
      </c>
    </row>
    <row r="61" customFormat="false" ht="30" hidden="false" customHeight="true" outlineLevel="0" collapsed="false">
      <c r="A61" s="111" t="s">
        <v>1020</v>
      </c>
      <c r="B61" s="31" t="s">
        <v>404</v>
      </c>
      <c r="C61" s="13" t="s">
        <v>852</v>
      </c>
      <c r="D61" s="112" t="s">
        <v>1021</v>
      </c>
      <c r="E61" s="26" t="s">
        <v>1022</v>
      </c>
      <c r="F61" s="113" t="s">
        <v>1023</v>
      </c>
    </row>
    <row r="62" customFormat="false" ht="30" hidden="false" customHeight="true" outlineLevel="0" collapsed="false">
      <c r="A62" s="108" t="s">
        <v>413</v>
      </c>
      <c r="B62" s="31" t="s">
        <v>404</v>
      </c>
      <c r="C62" s="9" t="s">
        <v>890</v>
      </c>
      <c r="D62" s="109" t="s">
        <v>1024</v>
      </c>
      <c r="E62" s="23" t="s">
        <v>1025</v>
      </c>
      <c r="F62" s="110" t="s">
        <v>1026</v>
      </c>
    </row>
    <row r="63" customFormat="false" ht="30" hidden="false" customHeight="true" outlineLevel="0" collapsed="false">
      <c r="A63" s="111" t="s">
        <v>419</v>
      </c>
      <c r="B63" s="31" t="s">
        <v>404</v>
      </c>
      <c r="C63" s="13" t="s">
        <v>980</v>
      </c>
      <c r="D63" s="112" t="s">
        <v>1027</v>
      </c>
      <c r="E63" s="26" t="s">
        <v>1028</v>
      </c>
      <c r="F63" s="113" t="s">
        <v>1029</v>
      </c>
    </row>
    <row r="64" customFormat="false" ht="30" hidden="false" customHeight="true" outlineLevel="0" collapsed="false">
      <c r="A64" s="108" t="s">
        <v>427</v>
      </c>
      <c r="B64" s="31" t="s">
        <v>404</v>
      </c>
      <c r="C64" s="9" t="s">
        <v>991</v>
      </c>
      <c r="D64" s="109" t="s">
        <v>1030</v>
      </c>
      <c r="E64" s="23" t="s">
        <v>1031</v>
      </c>
      <c r="F64" s="110" t="s">
        <v>1032</v>
      </c>
    </row>
    <row r="65" customFormat="false" ht="30" hidden="false" customHeight="true" outlineLevel="0" collapsed="false">
      <c r="A65" s="111" t="s">
        <v>437</v>
      </c>
      <c r="B65" s="31" t="s">
        <v>404</v>
      </c>
      <c r="C65" s="13" t="s">
        <v>1033</v>
      </c>
      <c r="D65" s="112" t="s">
        <v>1034</v>
      </c>
      <c r="E65" s="26" t="s">
        <v>1035</v>
      </c>
      <c r="F65" s="113" t="s">
        <v>1036</v>
      </c>
    </row>
    <row r="66" customFormat="false" ht="30" hidden="false" customHeight="true" outlineLevel="0" collapsed="false">
      <c r="A66" s="108" t="s">
        <v>445</v>
      </c>
      <c r="B66" s="31" t="s">
        <v>404</v>
      </c>
      <c r="C66" s="9" t="s">
        <v>443</v>
      </c>
      <c r="D66" s="109" t="s">
        <v>1037</v>
      </c>
      <c r="E66" s="23" t="s">
        <v>1038</v>
      </c>
      <c r="F66" s="110" t="s">
        <v>1039</v>
      </c>
    </row>
    <row r="67" customFormat="false" ht="30" hidden="false" customHeight="true" outlineLevel="0" collapsed="false">
      <c r="A67" s="111" t="s">
        <v>455</v>
      </c>
      <c r="B67" s="31" t="s">
        <v>404</v>
      </c>
      <c r="C67" s="13" t="s">
        <v>453</v>
      </c>
      <c r="D67" s="112" t="s">
        <v>1040</v>
      </c>
      <c r="E67" s="26" t="s">
        <v>1041</v>
      </c>
      <c r="F67" s="113" t="s">
        <v>1042</v>
      </c>
    </row>
    <row r="68" customFormat="false" ht="30" hidden="false" customHeight="true" outlineLevel="0" collapsed="false">
      <c r="A68" s="108" t="s">
        <v>464</v>
      </c>
      <c r="B68" s="31" t="s">
        <v>404</v>
      </c>
      <c r="C68" s="9" t="s">
        <v>1043</v>
      </c>
      <c r="D68" s="109" t="s">
        <v>1044</v>
      </c>
      <c r="E68" s="23" t="s">
        <v>1045</v>
      </c>
      <c r="F68" s="110" t="s">
        <v>1046</v>
      </c>
    </row>
    <row r="69" customFormat="false" ht="30" hidden="false" customHeight="true" outlineLevel="0" collapsed="false">
      <c r="A69" s="111" t="s">
        <v>477</v>
      </c>
      <c r="B69" s="31" t="s">
        <v>404</v>
      </c>
      <c r="C69" s="13" t="s">
        <v>1047</v>
      </c>
      <c r="D69" s="112" t="s">
        <v>1048</v>
      </c>
      <c r="E69" s="26" t="s">
        <v>1049</v>
      </c>
      <c r="F69" s="113" t="s">
        <v>1050</v>
      </c>
    </row>
    <row r="70" customFormat="false" ht="30" hidden="false" customHeight="true" outlineLevel="0" collapsed="false">
      <c r="A70" s="108" t="s">
        <v>482</v>
      </c>
      <c r="B70" s="31" t="s">
        <v>404</v>
      </c>
      <c r="C70" s="9" t="s">
        <v>1051</v>
      </c>
      <c r="D70" s="109" t="s">
        <v>1052</v>
      </c>
      <c r="E70" s="23" t="s">
        <v>1053</v>
      </c>
      <c r="F70" s="110" t="s">
        <v>1054</v>
      </c>
    </row>
    <row r="71" customFormat="false" ht="30" hidden="false" customHeight="true" outlineLevel="0" collapsed="false">
      <c r="A71" s="111" t="s">
        <v>486</v>
      </c>
      <c r="B71" s="31" t="s">
        <v>404</v>
      </c>
      <c r="C71" s="13" t="s">
        <v>484</v>
      </c>
      <c r="D71" s="112" t="s">
        <v>1055</v>
      </c>
      <c r="E71" s="26" t="s">
        <v>1056</v>
      </c>
      <c r="F71" s="113" t="s">
        <v>1057</v>
      </c>
    </row>
    <row r="72" customFormat="false" ht="30" hidden="false" customHeight="true" outlineLevel="0" collapsed="false">
      <c r="A72" s="108" t="s">
        <v>503</v>
      </c>
      <c r="B72" s="31" t="s">
        <v>404</v>
      </c>
      <c r="C72" s="9" t="s">
        <v>1058</v>
      </c>
      <c r="D72" s="109" t="s">
        <v>1059</v>
      </c>
      <c r="E72" s="23" t="s">
        <v>1060</v>
      </c>
      <c r="F72" s="110" t="s">
        <v>1061</v>
      </c>
    </row>
    <row r="73" customFormat="false" ht="30" hidden="false" customHeight="true" outlineLevel="0" collapsed="false">
      <c r="A73" s="111" t="s">
        <v>514</v>
      </c>
      <c r="B73" s="31" t="s">
        <v>404</v>
      </c>
      <c r="C73" s="13" t="s">
        <v>1062</v>
      </c>
      <c r="D73" s="112" t="s">
        <v>1063</v>
      </c>
      <c r="E73" s="26" t="s">
        <v>1064</v>
      </c>
      <c r="F73" s="113" t="s">
        <v>512</v>
      </c>
    </row>
    <row r="74" customFormat="false" ht="30" hidden="false" customHeight="true" outlineLevel="0" collapsed="false">
      <c r="A74" s="108" t="s">
        <v>525</v>
      </c>
      <c r="B74" s="31" t="s">
        <v>404</v>
      </c>
      <c r="C74" s="9" t="s">
        <v>962</v>
      </c>
      <c r="D74" s="109" t="s">
        <v>1065</v>
      </c>
      <c r="E74" s="23" t="s">
        <v>1066</v>
      </c>
      <c r="F74" s="110" t="s">
        <v>1067</v>
      </c>
    </row>
    <row r="75" customFormat="false" ht="30" hidden="false" customHeight="true" outlineLevel="0" collapsed="false">
      <c r="A75" s="111" t="s">
        <v>536</v>
      </c>
      <c r="B75" s="31" t="s">
        <v>404</v>
      </c>
      <c r="C75" s="13" t="s">
        <v>263</v>
      </c>
      <c r="D75" s="112" t="s">
        <v>1068</v>
      </c>
      <c r="E75" s="26" t="s">
        <v>1069</v>
      </c>
      <c r="F75" s="113" t="s">
        <v>1070</v>
      </c>
    </row>
    <row r="76" customFormat="false" ht="18" hidden="false" customHeight="true" outlineLevel="0" collapsed="false">
      <c r="A76" s="4" t="s">
        <v>543</v>
      </c>
      <c r="B76" s="4"/>
      <c r="C76" s="4"/>
      <c r="D76" s="4"/>
      <c r="E76" s="4"/>
      <c r="F76" s="4"/>
    </row>
    <row r="77" customFormat="false" ht="30" hidden="false" customHeight="true" outlineLevel="0" collapsed="false">
      <c r="A77" s="108" t="s">
        <v>548</v>
      </c>
      <c r="B77" s="32" t="s">
        <v>545</v>
      </c>
      <c r="C77" s="9" t="s">
        <v>852</v>
      </c>
      <c r="D77" s="109" t="s">
        <v>1071</v>
      </c>
      <c r="E77" s="23" t="s">
        <v>1072</v>
      </c>
      <c r="F77" s="110" t="s">
        <v>1073</v>
      </c>
    </row>
    <row r="78" customFormat="false" ht="30" hidden="false" customHeight="true" outlineLevel="0" collapsed="false">
      <c r="A78" s="111" t="s">
        <v>1074</v>
      </c>
      <c r="B78" s="32" t="s">
        <v>545</v>
      </c>
      <c r="C78" s="13" t="s">
        <v>852</v>
      </c>
      <c r="D78" s="112" t="s">
        <v>1075</v>
      </c>
      <c r="E78" s="26" t="s">
        <v>1076</v>
      </c>
      <c r="F78" s="113" t="s">
        <v>549</v>
      </c>
    </row>
    <row r="79" customFormat="false" ht="30" hidden="false" customHeight="true" outlineLevel="0" collapsed="false">
      <c r="A79" s="108" t="s">
        <v>554</v>
      </c>
      <c r="B79" s="32" t="s">
        <v>545</v>
      </c>
      <c r="C79" s="9" t="s">
        <v>890</v>
      </c>
      <c r="D79" s="109" t="s">
        <v>1077</v>
      </c>
      <c r="E79" s="23" t="s">
        <v>1078</v>
      </c>
      <c r="F79" s="110" t="s">
        <v>1079</v>
      </c>
    </row>
    <row r="80" customFormat="false" ht="30" hidden="false" customHeight="true" outlineLevel="0" collapsed="false">
      <c r="A80" s="111" t="s">
        <v>560</v>
      </c>
      <c r="B80" s="32" t="s">
        <v>545</v>
      </c>
      <c r="C80" s="13" t="s">
        <v>980</v>
      </c>
      <c r="D80" s="112" t="s">
        <v>1080</v>
      </c>
      <c r="E80" s="26" t="s">
        <v>1081</v>
      </c>
      <c r="F80" s="113" t="s">
        <v>1082</v>
      </c>
    </row>
    <row r="81" customFormat="false" ht="30" hidden="false" customHeight="true" outlineLevel="0" collapsed="false">
      <c r="A81" s="108" t="s">
        <v>566</v>
      </c>
      <c r="B81" s="32" t="s">
        <v>545</v>
      </c>
      <c r="C81" s="9" t="s">
        <v>1083</v>
      </c>
      <c r="D81" s="109" t="s">
        <v>1084</v>
      </c>
      <c r="E81" s="23" t="s">
        <v>1085</v>
      </c>
      <c r="F81" s="110" t="s">
        <v>1086</v>
      </c>
    </row>
    <row r="82" customFormat="false" ht="30" hidden="false" customHeight="true" outlineLevel="0" collapsed="false">
      <c r="A82" s="111" t="s">
        <v>573</v>
      </c>
      <c r="B82" s="32" t="s">
        <v>545</v>
      </c>
      <c r="C82" s="13" t="s">
        <v>635</v>
      </c>
      <c r="D82" s="112" t="s">
        <v>1087</v>
      </c>
      <c r="E82" s="26" t="s">
        <v>1088</v>
      </c>
      <c r="F82" s="113" t="s">
        <v>1089</v>
      </c>
    </row>
    <row r="83" customFormat="false" ht="30" hidden="false" customHeight="true" outlineLevel="0" collapsed="false">
      <c r="A83" s="108" t="s">
        <v>575</v>
      </c>
      <c r="B83" s="32" t="s">
        <v>545</v>
      </c>
      <c r="C83" s="9" t="s">
        <v>991</v>
      </c>
      <c r="D83" s="109" t="s">
        <v>1090</v>
      </c>
      <c r="E83" s="23" t="s">
        <v>1091</v>
      </c>
      <c r="F83" s="110" t="s">
        <v>1092</v>
      </c>
    </row>
    <row r="84" customFormat="false" ht="30" hidden="false" customHeight="true" outlineLevel="0" collapsed="false">
      <c r="A84" s="111" t="s">
        <v>582</v>
      </c>
      <c r="B84" s="32" t="s">
        <v>545</v>
      </c>
      <c r="C84" s="13" t="s">
        <v>580</v>
      </c>
      <c r="D84" s="112" t="s">
        <v>1093</v>
      </c>
      <c r="E84" s="26" t="s">
        <v>1094</v>
      </c>
      <c r="F84" s="113" t="s">
        <v>1095</v>
      </c>
    </row>
    <row r="85" customFormat="false" ht="30" hidden="false" customHeight="true" outlineLevel="0" collapsed="false">
      <c r="A85" s="108" t="s">
        <v>594</v>
      </c>
      <c r="B85" s="32" t="s">
        <v>545</v>
      </c>
      <c r="C85" s="9" t="s">
        <v>1096</v>
      </c>
      <c r="D85" s="109" t="s">
        <v>1097</v>
      </c>
      <c r="E85" s="23" t="s">
        <v>1098</v>
      </c>
      <c r="F85" s="110" t="s">
        <v>1099</v>
      </c>
    </row>
    <row r="86" customFormat="false" ht="30" hidden="false" customHeight="true" outlineLevel="0" collapsed="false">
      <c r="A86" s="111" t="s">
        <v>598</v>
      </c>
      <c r="B86" s="32" t="s">
        <v>545</v>
      </c>
      <c r="C86" s="13" t="s">
        <v>1100</v>
      </c>
      <c r="D86" s="112" t="s">
        <v>1101</v>
      </c>
      <c r="E86" s="26" t="s">
        <v>1102</v>
      </c>
      <c r="F86" s="113" t="s">
        <v>1103</v>
      </c>
    </row>
    <row r="87" customFormat="false" ht="30" hidden="false" customHeight="true" outlineLevel="0" collapsed="false">
      <c r="A87" s="108" t="s">
        <v>612</v>
      </c>
      <c r="B87" s="32" t="s">
        <v>545</v>
      </c>
      <c r="C87" s="9" t="s">
        <v>610</v>
      </c>
      <c r="D87" s="109" t="s">
        <v>1104</v>
      </c>
      <c r="E87" s="23" t="s">
        <v>1105</v>
      </c>
      <c r="F87" s="110" t="s">
        <v>1106</v>
      </c>
    </row>
    <row r="88" customFormat="false" ht="30" hidden="false" customHeight="true" outlineLevel="0" collapsed="false">
      <c r="A88" s="111" t="s">
        <v>620</v>
      </c>
      <c r="B88" s="32" t="s">
        <v>545</v>
      </c>
      <c r="C88" s="13" t="s">
        <v>618</v>
      </c>
      <c r="D88" s="112" t="s">
        <v>1107</v>
      </c>
      <c r="E88" s="26" t="s">
        <v>1108</v>
      </c>
      <c r="F88" s="113" t="s">
        <v>1109</v>
      </c>
    </row>
    <row r="89" customFormat="false" ht="30" hidden="false" customHeight="true" outlineLevel="0" collapsed="false">
      <c r="A89" s="108" t="s">
        <v>629</v>
      </c>
      <c r="B89" s="32" t="s">
        <v>545</v>
      </c>
      <c r="C89" s="9" t="s">
        <v>627</v>
      </c>
      <c r="D89" s="109" t="s">
        <v>1110</v>
      </c>
      <c r="E89" s="23" t="s">
        <v>1111</v>
      </c>
      <c r="F89" s="110" t="s">
        <v>1112</v>
      </c>
    </row>
    <row r="90" customFormat="false" ht="30" hidden="false" customHeight="true" outlineLevel="0" collapsed="false">
      <c r="A90" s="111" t="s">
        <v>648</v>
      </c>
      <c r="B90" s="32" t="s">
        <v>545</v>
      </c>
      <c r="C90" s="13" t="s">
        <v>646</v>
      </c>
      <c r="D90" s="112" t="s">
        <v>1113</v>
      </c>
      <c r="E90" s="26" t="s">
        <v>1114</v>
      </c>
      <c r="F90" s="113" t="s">
        <v>1115</v>
      </c>
    </row>
    <row r="91" customFormat="false" ht="30" hidden="false" customHeight="true" outlineLevel="0" collapsed="false">
      <c r="A91" s="108" t="s">
        <v>669</v>
      </c>
      <c r="B91" s="32" t="s">
        <v>545</v>
      </c>
      <c r="C91" s="9" t="s">
        <v>962</v>
      </c>
      <c r="D91" s="109" t="s">
        <v>1116</v>
      </c>
      <c r="E91" s="23" t="s">
        <v>1117</v>
      </c>
      <c r="F91" s="110" t="s">
        <v>1118</v>
      </c>
    </row>
    <row r="92" customFormat="false" ht="30" hidden="false" customHeight="true" outlineLevel="0" collapsed="false">
      <c r="A92" s="111" t="s">
        <v>682</v>
      </c>
      <c r="B92" s="32" t="s">
        <v>545</v>
      </c>
      <c r="C92" s="13" t="s">
        <v>263</v>
      </c>
      <c r="D92" s="112" t="s">
        <v>1119</v>
      </c>
      <c r="E92" s="26" t="s">
        <v>1120</v>
      </c>
      <c r="F92" s="113" t="s">
        <v>1121</v>
      </c>
    </row>
    <row r="93" customFormat="false" ht="18" hidden="false" customHeight="true" outlineLevel="0" collapsed="false">
      <c r="A93" s="4" t="s">
        <v>691</v>
      </c>
      <c r="B93" s="4"/>
      <c r="C93" s="4"/>
      <c r="D93" s="4"/>
      <c r="E93" s="4"/>
      <c r="F93" s="4"/>
    </row>
    <row r="94" customFormat="false" ht="30" hidden="false" customHeight="true" outlineLevel="0" collapsed="false">
      <c r="A94" s="108" t="s">
        <v>696</v>
      </c>
      <c r="B94" s="33" t="s">
        <v>693</v>
      </c>
      <c r="C94" s="9" t="s">
        <v>852</v>
      </c>
      <c r="D94" s="109" t="s">
        <v>1122</v>
      </c>
      <c r="E94" s="23" t="s">
        <v>1123</v>
      </c>
      <c r="F94" s="110" t="s">
        <v>1124</v>
      </c>
    </row>
    <row r="95" customFormat="false" ht="30" hidden="false" customHeight="true" outlineLevel="0" collapsed="false">
      <c r="A95" s="111" t="s">
        <v>1125</v>
      </c>
      <c r="B95" s="33" t="s">
        <v>693</v>
      </c>
      <c r="C95" s="13" t="s">
        <v>852</v>
      </c>
      <c r="D95" s="112" t="s">
        <v>1126</v>
      </c>
      <c r="E95" s="26" t="s">
        <v>1127</v>
      </c>
      <c r="F95" s="113" t="s">
        <v>697</v>
      </c>
    </row>
    <row r="96" customFormat="false" ht="30" hidden="false" customHeight="true" outlineLevel="0" collapsed="false">
      <c r="A96" s="108" t="s">
        <v>705</v>
      </c>
      <c r="B96" s="33" t="s">
        <v>693</v>
      </c>
      <c r="C96" s="9" t="s">
        <v>1128</v>
      </c>
      <c r="D96" s="109" t="s">
        <v>1129</v>
      </c>
      <c r="E96" s="23" t="s">
        <v>1130</v>
      </c>
      <c r="F96" s="110" t="s">
        <v>1131</v>
      </c>
    </row>
    <row r="97" customFormat="false" ht="30" hidden="false" customHeight="true" outlineLevel="0" collapsed="false">
      <c r="A97" s="111" t="s">
        <v>715</v>
      </c>
      <c r="B97" s="33" t="s">
        <v>693</v>
      </c>
      <c r="C97" s="13" t="s">
        <v>1132</v>
      </c>
      <c r="D97" s="112" t="s">
        <v>1133</v>
      </c>
      <c r="E97" s="26" t="s">
        <v>1134</v>
      </c>
      <c r="F97" s="113" t="s">
        <v>1135</v>
      </c>
    </row>
    <row r="98" customFormat="false" ht="30" hidden="false" customHeight="true" outlineLevel="0" collapsed="false">
      <c r="A98" s="108" t="s">
        <v>721</v>
      </c>
      <c r="B98" s="33" t="s">
        <v>693</v>
      </c>
      <c r="C98" s="9" t="s">
        <v>1136</v>
      </c>
      <c r="D98" s="109" t="s">
        <v>1137</v>
      </c>
      <c r="E98" s="23" t="s">
        <v>1138</v>
      </c>
      <c r="F98" s="110" t="s">
        <v>1139</v>
      </c>
    </row>
    <row r="99" customFormat="false" ht="30" hidden="false" customHeight="true" outlineLevel="0" collapsed="false">
      <c r="A99" s="111" t="s">
        <v>731</v>
      </c>
      <c r="B99" s="33" t="s">
        <v>693</v>
      </c>
      <c r="C99" s="13" t="s">
        <v>6</v>
      </c>
      <c r="D99" s="112" t="s">
        <v>1140</v>
      </c>
      <c r="E99" s="26" t="s">
        <v>1141</v>
      </c>
      <c r="F99" s="113" t="s">
        <v>1142</v>
      </c>
    </row>
    <row r="100" customFormat="false" ht="30" hidden="false" customHeight="true" outlineLevel="0" collapsed="false">
      <c r="A100" s="108" t="s">
        <v>736</v>
      </c>
      <c r="B100" s="33" t="s">
        <v>693</v>
      </c>
      <c r="C100" s="9" t="s">
        <v>1143</v>
      </c>
      <c r="D100" s="109" t="s">
        <v>1144</v>
      </c>
      <c r="E100" s="23" t="s">
        <v>1145</v>
      </c>
      <c r="F100" s="110" t="s">
        <v>1146</v>
      </c>
    </row>
    <row r="101" customFormat="false" ht="30" hidden="false" customHeight="true" outlineLevel="0" collapsed="false">
      <c r="A101" s="111" t="s">
        <v>702</v>
      </c>
      <c r="B101" s="33" t="s">
        <v>693</v>
      </c>
      <c r="C101" s="13" t="s">
        <v>1147</v>
      </c>
      <c r="D101" s="112" t="s">
        <v>1148</v>
      </c>
      <c r="E101" s="26" t="s">
        <v>1149</v>
      </c>
      <c r="F101" s="113" t="s">
        <v>1150</v>
      </c>
    </row>
    <row r="102" customFormat="false" ht="30" hidden="false" customHeight="true" outlineLevel="0" collapsed="false">
      <c r="A102" s="108" t="s">
        <v>744</v>
      </c>
      <c r="B102" s="33" t="s">
        <v>693</v>
      </c>
      <c r="C102" s="9" t="s">
        <v>742</v>
      </c>
      <c r="D102" s="109" t="s">
        <v>1151</v>
      </c>
      <c r="E102" s="23" t="s">
        <v>1152</v>
      </c>
      <c r="F102" s="110" t="s">
        <v>1153</v>
      </c>
    </row>
    <row r="103" customFormat="false" ht="30" hidden="false" customHeight="true" outlineLevel="0" collapsed="false">
      <c r="A103" s="111" t="s">
        <v>765</v>
      </c>
      <c r="B103" s="33" t="s">
        <v>693</v>
      </c>
      <c r="C103" s="13" t="s">
        <v>1154</v>
      </c>
      <c r="D103" s="112" t="s">
        <v>1155</v>
      </c>
      <c r="E103" s="26" t="s">
        <v>1156</v>
      </c>
      <c r="F103" s="113" t="s">
        <v>1157</v>
      </c>
    </row>
    <row r="104" customFormat="false" ht="30" hidden="false" customHeight="true" outlineLevel="0" collapsed="false">
      <c r="A104" s="108" t="s">
        <v>775</v>
      </c>
      <c r="B104" s="33" t="s">
        <v>693</v>
      </c>
      <c r="C104" s="9" t="s">
        <v>773</v>
      </c>
      <c r="D104" s="109" t="s">
        <v>1158</v>
      </c>
      <c r="E104" s="23" t="s">
        <v>1159</v>
      </c>
      <c r="F104" s="110" t="s">
        <v>1160</v>
      </c>
    </row>
    <row r="105" customFormat="false" ht="30" hidden="false" customHeight="true" outlineLevel="0" collapsed="false">
      <c r="A105" s="111" t="s">
        <v>783</v>
      </c>
      <c r="B105" s="33" t="s">
        <v>693</v>
      </c>
      <c r="C105" s="13" t="s">
        <v>781</v>
      </c>
      <c r="D105" s="112" t="s">
        <v>1161</v>
      </c>
      <c r="E105" s="26" t="s">
        <v>1162</v>
      </c>
      <c r="F105" s="113" t="s">
        <v>1163</v>
      </c>
    </row>
    <row r="106" customFormat="false" ht="30" hidden="false" customHeight="true" outlineLevel="0" collapsed="false">
      <c r="A106" s="108" t="s">
        <v>794</v>
      </c>
      <c r="B106" s="33" t="s">
        <v>693</v>
      </c>
      <c r="C106" s="9" t="s">
        <v>242</v>
      </c>
      <c r="D106" s="109" t="s">
        <v>1164</v>
      </c>
      <c r="E106" s="23" t="s">
        <v>1165</v>
      </c>
      <c r="F106" s="110" t="s">
        <v>1166</v>
      </c>
    </row>
    <row r="107" customFormat="false" ht="30" hidden="false" customHeight="true" outlineLevel="0" collapsed="false">
      <c r="A107" s="111" t="s">
        <v>798</v>
      </c>
      <c r="B107" s="33" t="s">
        <v>693</v>
      </c>
      <c r="C107" s="13" t="s">
        <v>962</v>
      </c>
      <c r="D107" s="112" t="s">
        <v>1167</v>
      </c>
      <c r="E107" s="26" t="s">
        <v>1168</v>
      </c>
      <c r="F107" s="113" t="s">
        <v>1169</v>
      </c>
    </row>
    <row r="108" customFormat="false" ht="30" hidden="false" customHeight="true" outlineLevel="0" collapsed="false">
      <c r="A108" s="108" t="s">
        <v>806</v>
      </c>
      <c r="B108" s="33" t="s">
        <v>693</v>
      </c>
      <c r="C108" s="9" t="s">
        <v>804</v>
      </c>
      <c r="D108" s="109" t="s">
        <v>1170</v>
      </c>
      <c r="E108" s="23" t="s">
        <v>1171</v>
      </c>
      <c r="F108" s="110" t="s">
        <v>1172</v>
      </c>
    </row>
    <row r="109" customFormat="false" ht="30" hidden="false" customHeight="true" outlineLevel="0" collapsed="false">
      <c r="A109" s="111" t="s">
        <v>814</v>
      </c>
      <c r="B109" s="33" t="s">
        <v>693</v>
      </c>
      <c r="C109" s="13" t="s">
        <v>77</v>
      </c>
      <c r="D109" s="112" t="s">
        <v>1173</v>
      </c>
      <c r="E109" s="26" t="s">
        <v>1174</v>
      </c>
      <c r="F109" s="113" t="s">
        <v>1175</v>
      </c>
    </row>
  </sheetData>
  <mergeCells count="9">
    <mergeCell ref="A1:F1"/>
    <mergeCell ref="A2:F2"/>
    <mergeCell ref="A5:F5"/>
    <mergeCell ref="A17:F17"/>
    <mergeCell ref="A32:F32"/>
    <mergeCell ref="A44:F44"/>
    <mergeCell ref="A59:F59"/>
    <mergeCell ref="A76:F76"/>
    <mergeCell ref="A93:F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2026-02-27T09:18:37Z</dcterms:created>
  <dc:creator>openpyxl</dc:creator>
  <dc:description/>
  <dc:language>en-US</dc:language>
  <cp:lastModifiedBy/>
  <dcterms:modified xsi:type="dcterms:W3CDTF">2026-02-27T09:18:40Z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