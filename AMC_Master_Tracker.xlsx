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Test Case Register" sheetId="1" r:id="rId1"/>
    <sheet name="Run Tracker" sheetId="2" r:id="rId2"/>
    <sheet name="Run Summary" sheetId="3" r:id="rId3"/>
    <sheet name="Priority Analysis" sheetId="4" r:id="rId4"/>
    <sheet name="Business Rules" sheetId="5" r:id="rId5"/>
    <sheet name="Data-Driven Results" sheetId="6" r:id="rId6"/>
    <sheet name="DDT Attendance" sheetId="7" r:id="rId7"/>
    <sheet name="DDT Leave Application" sheetId="8" r:id="rId8"/>
    <sheet name="DDT Vendor" sheetId="9" r:id="rId9"/>
    <sheet name="DDT Service Call" sheetId="10" r:id="rId10"/>
    <sheet name="DDT AMC Contract" sheetId="11" r:id="rId1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5">
    <numFmt numFmtId="56" formatCode="&quot;上午/下午 &quot;hh&quot;時&quot;mm&quot;分&quot;ss&quot;秒 &quot;"/>
    <numFmt numFmtId="164" formatCode="General"/>
    <numFmt numFmtId="165" formatCode="General"/>
    <numFmt numFmtId="166" formatCode="0%"/>
    <numFmt numFmtId="167" formatCode="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331"/>
  <sheetViews>
    <sheetView workbookViewId="0" rightToLeft="0"/>
  </sheetViews>
  <sheetData>
    <row r="1">
      <c r="A1" s="1" t="str">
        <v>AMC Core — Master Business Scenarios Test Case Register</v>
      </c>
    </row>
    <row r="2">
      <c r="A2" s="1" t="str">
        <v>DocTypes: AMC Customers | AMC Contract | Vendor | Attendance | Expense Claim | Leave Application | Service Call  |  Total: 320 test cases  |  27 Feb 2026</v>
      </c>
    </row>
    <row r="4">
      <c r="A4" s="1" t="str">
        <v>Test ID</v>
      </c>
      <c r="B4" s="1" t="str">
        <v>DocType</v>
      </c>
      <c r="C4" s="1" t="str">
        <v>Module</v>
      </c>
      <c r="D4" s="1" t="str">
        <v>Test Case Title</v>
      </c>
      <c r="E4" s="1" t="str">
        <v>Priority</v>
      </c>
      <c r="F4" s="1" t="str">
        <v>Business Rule</v>
      </c>
      <c r="G4" s="1" t="str">
        <v>Status</v>
      </c>
      <c r="H4" s="1" t="str">
        <v>Executed By</v>
      </c>
      <c r="I4" s="1" t="str">
        <v>Execution Date</v>
      </c>
      <c r="J4" s="1" t="str">
        <v>Actual Result</v>
      </c>
      <c r="K4" s="1" t="str">
        <v>Defect ID</v>
      </c>
      <c r="L4" s="1" t="str">
        <v>Notes</v>
      </c>
    </row>
    <row r="5">
      <c r="A5" s="1" t="str">
        <v>▌ AMC Customers</v>
      </c>
    </row>
    <row r="6">
      <c r="A6" s="1" t="str">
        <v>CUST-001</v>
      </c>
      <c r="B6" s="1" t="str">
        <v>AMC Customers</v>
      </c>
      <c r="C6" s="1" t="str">
        <v>Customer Creation &amp; Basic Details</v>
      </c>
      <c r="D6" s="1" t="str">
        <v>Create customer with Customer Name only (minimum required)</v>
      </c>
      <c r="E6" s="1" t="str">
        <v>Critical</v>
      </c>
      <c r="F6" s="1" t="str">
        <v>BR-CUST-01</v>
      </c>
      <c r="G6" s="1" t="str">
        <v>Not Run</v>
      </c>
    </row>
    <row r="7">
      <c r="A7" s="1" t="str">
        <v>CUST-002</v>
      </c>
      <c r="B7" s="1" t="str">
        <v>AMC Customers</v>
      </c>
      <c r="C7" s="1" t="str">
        <v>Customer Creation &amp; Basic Details</v>
      </c>
      <c r="D7" s="1" t="str">
        <v>Create Company customer with all basic fields (Name, Type, GST, PAN)</v>
      </c>
      <c r="E7" s="1" t="str">
        <v>Critical</v>
      </c>
      <c r="F7" s="1" t="str">
        <v>BR-CUST-01, BR-CUST-02</v>
      </c>
      <c r="G7" s="1" t="str">
        <v>Not Run</v>
      </c>
    </row>
    <row r="8">
      <c r="A8" s="1" t="str">
        <v>CUST-003</v>
      </c>
      <c r="B8" s="1" t="str">
        <v>AMC Customers</v>
      </c>
      <c r="C8" s="1" t="str">
        <v>Customer Creation &amp; Basic Details</v>
      </c>
      <c r="D8" s="1" t="str">
        <v>Create Individual customer type</v>
      </c>
      <c r="E8" s="1" t="str">
        <v>High</v>
      </c>
      <c r="F8" s="1" t="str">
        <v>BR-CUST-02</v>
      </c>
      <c r="G8" s="1" t="str">
        <v>Not Run</v>
      </c>
    </row>
    <row r="9">
      <c r="A9" s="1" t="str">
        <v>CUST-004</v>
      </c>
      <c r="B9" s="1" t="str">
        <v>AMC Customers</v>
      </c>
      <c r="C9" s="1" t="str">
        <v>Customer Creation &amp; Basic Details</v>
      </c>
      <c r="D9" s="1" t="str">
        <v>Create Partnership customer type</v>
      </c>
      <c r="E9" s="1" t="str">
        <v>High</v>
      </c>
      <c r="F9" s="1" t="str">
        <v>BR-CUST-02</v>
      </c>
      <c r="G9" s="1" t="str">
        <v>Not Run</v>
      </c>
    </row>
    <row r="10">
      <c r="A10" s="1" t="str">
        <v>CUST-005</v>
      </c>
      <c r="B10" s="1" t="str">
        <v>AMC Customers</v>
      </c>
      <c r="C10" s="1" t="str">
        <v>GST Validation</v>
      </c>
      <c r="D10" s="1" t="str">
        <v>Valid 15-character GSTIN is accepted</v>
      </c>
      <c r="E10" s="1" t="str">
        <v>Critical</v>
      </c>
      <c r="F10" s="1" t="str">
        <v>BR-CUST-03</v>
      </c>
      <c r="G10" s="1" t="str">
        <v>Not Run</v>
      </c>
    </row>
    <row r="11">
      <c r="A11" s="1" t="str">
        <v>CUST-006</v>
      </c>
      <c r="B11" s="1" t="str">
        <v>AMC Customers</v>
      </c>
      <c r="C11" s="1" t="str">
        <v>GST Validation</v>
      </c>
      <c r="D11" s="1" t="str">
        <v>Invalid GST format is rejected with specific error message</v>
      </c>
      <c r="E11" s="1" t="str">
        <v>Critical</v>
      </c>
      <c r="F11" s="1" t="str">
        <v>BR-CUST-03</v>
      </c>
      <c r="G11" s="1" t="str">
        <v>Not Run</v>
      </c>
    </row>
    <row r="12">
      <c r="A12" s="1" t="str">
        <v>CUST-007</v>
      </c>
      <c r="B12" s="1" t="str">
        <v>AMC Customers</v>
      </c>
      <c r="C12" s="1" t="str">
        <v>GST Validation</v>
      </c>
      <c r="D12" s="1" t="str">
        <v>Duplicate GSTIN across two customers is blocked</v>
      </c>
      <c r="E12" s="1" t="str">
        <v>Critical</v>
      </c>
      <c r="F12" s="1" t="str">
        <v>BR-CUST-04</v>
      </c>
      <c r="G12" s="1" t="str">
        <v>Not Run</v>
      </c>
    </row>
    <row r="13">
      <c r="A13" s="1" t="str">
        <v>CUST-008</v>
      </c>
      <c r="B13" s="1" t="str">
        <v>AMC Customers</v>
      </c>
      <c r="C13" s="1" t="str">
        <v>GST Validation</v>
      </c>
      <c r="D13" s="1" t="str">
        <v>GST field can be left blank (optional for Individual)</v>
      </c>
      <c r="E13" s="1" t="str">
        <v>High</v>
      </c>
      <c r="F13" s="1" t="str">
        <v>BR-CUST-03</v>
      </c>
      <c r="G13" s="1" t="str">
        <v>Not Run</v>
      </c>
    </row>
    <row r="14">
      <c r="A14" s="1" t="str">
        <v>CUST-009</v>
      </c>
      <c r="B14" s="1" t="str">
        <v>AMC Customers</v>
      </c>
      <c r="C14" s="1" t="str">
        <v>GST Validation</v>
      </c>
      <c r="D14" s="1" t="str">
        <v>Duplicate PAN across two customers is blocked</v>
      </c>
      <c r="E14" s="1" t="str">
        <v>High</v>
      </c>
      <c r="F14" s="1" t="str">
        <v>BR-CUST-05</v>
      </c>
      <c r="G14" s="1" t="str">
        <v>Not Run</v>
      </c>
    </row>
    <row r="15">
      <c r="A15" s="1" t="str">
        <v>CUST-010</v>
      </c>
      <c r="B15" s="1" t="str">
        <v>AMC Customers</v>
      </c>
      <c r="C15" s="1" t="str">
        <v>Branch Locations</v>
      </c>
      <c r="D15" s="1" t="str">
        <v>Add single branch location to customer</v>
      </c>
      <c r="E15" s="1" t="str">
        <v>Critical</v>
      </c>
      <c r="F15" s="1" t="str">
        <v>BR-CUST-06</v>
      </c>
      <c r="G15" s="1" t="str">
        <v>Not Run</v>
      </c>
    </row>
    <row r="16">
      <c r="A16" s="1" t="str">
        <v>CUST-011</v>
      </c>
      <c r="B16" s="1" t="str">
        <v>AMC Customers</v>
      </c>
      <c r="C16" s="1" t="str">
        <v>Branch Locations</v>
      </c>
      <c r="D16" s="1" t="str">
        <v>Add multiple branch locations to same customer</v>
      </c>
      <c r="E16" s="1" t="str">
        <v>High</v>
      </c>
      <c r="F16" s="1" t="str">
        <v>BR-CUST-06</v>
      </c>
      <c r="G16" s="1" t="str">
        <v>Not Run</v>
      </c>
    </row>
    <row r="17">
      <c r="A17" s="1" t="str">
        <v>CUST-012</v>
      </c>
      <c r="B17" s="1" t="str">
        <v>AMC Customers</v>
      </c>
      <c r="C17" s="1" t="str">
        <v>Branch Locations</v>
      </c>
      <c r="D17" s="1" t="str">
        <v>Delete a branch location row</v>
      </c>
      <c r="E17" s="1" t="str">
        <v>Medium</v>
      </c>
      <c r="F17" s="1" t="str">
        <v>BR-CUST-06</v>
      </c>
      <c r="G17" s="1" t="str">
        <v>Not Run</v>
      </c>
    </row>
    <row r="18">
      <c r="A18" s="1" t="str">
        <v>CUST-013</v>
      </c>
      <c r="B18" s="1" t="str">
        <v>AMC Customers</v>
      </c>
      <c r="C18" s="1" t="str">
        <v>Branch Locations</v>
      </c>
      <c r="D18" s="1" t="str">
        <v>Branch on AMC Contract is filtered by selected customer</v>
      </c>
      <c r="E18" s="1" t="str">
        <v>High</v>
      </c>
      <c r="F18" s="1" t="str">
        <v>BR-CUST-06, BR-CON-06</v>
      </c>
      <c r="G18" s="1" t="str">
        <v>Not Run</v>
      </c>
    </row>
    <row r="19">
      <c r="A19" s="1" t="str">
        <v>CUST-014</v>
      </c>
      <c r="B19" s="1" t="str">
        <v>AMC Customers</v>
      </c>
      <c r="C19" s="1" t="str">
        <v>Contact Details</v>
      </c>
      <c r="D19" s="1" t="str">
        <v>Add primary contact to customer</v>
      </c>
      <c r="E19" s="1" t="str">
        <v>Critical</v>
      </c>
      <c r="F19" s="1" t="str">
        <v>BR-CUST-07</v>
      </c>
      <c r="G19" s="1" t="str">
        <v>Not Run</v>
      </c>
    </row>
    <row r="20">
      <c r="A20" s="1" t="str">
        <v>CUST-015</v>
      </c>
      <c r="B20" s="1" t="str">
        <v>AMC Customers</v>
      </c>
      <c r="C20" s="1" t="str">
        <v>Contact Details</v>
      </c>
      <c r="D20" s="1" t="str">
        <v>Only one contact marked as Is Primary per customer</v>
      </c>
      <c r="E20" s="1" t="str">
        <v>High</v>
      </c>
      <c r="F20" s="1" t="str">
        <v>BR-CUST-08</v>
      </c>
      <c r="G20" s="1" t="str">
        <v>Not Run</v>
      </c>
    </row>
    <row r="21">
      <c r="A21" s="1" t="str">
        <v>CUST-016</v>
      </c>
      <c r="B21" s="1" t="str">
        <v>AMC Customers</v>
      </c>
      <c r="C21" s="1" t="str">
        <v>Contact Details</v>
      </c>
      <c r="D21" s="1" t="str">
        <v>Contact Person on AMC Contract filtered by selected Branch</v>
      </c>
      <c r="E21" s="1" t="str">
        <v>High</v>
      </c>
      <c r="F21" s="1" t="str">
        <v>BR-CUST-07, BR-CON-07</v>
      </c>
      <c r="G21" s="1" t="str">
        <v>Not Run</v>
      </c>
    </row>
    <row r="22">
      <c r="A22" s="1" t="str">
        <v>CUST-017</v>
      </c>
      <c r="B22" s="1" t="str">
        <v>AMC Customers</v>
      </c>
      <c r="C22" s="1" t="str">
        <v>Contact Details</v>
      </c>
      <c r="D22" s="1" t="str">
        <v>Mobile auto-fetched when Contact Person selected on Contract</v>
      </c>
      <c r="E22" s="1" t="str">
        <v>Medium</v>
      </c>
      <c r="F22" s="1" t="str">
        <v>BR-CON-07</v>
      </c>
      <c r="G22" s="1" t="str">
        <v>Not Run</v>
      </c>
    </row>
    <row r="23">
      <c r="A23" s="1" t="str">
        <v>CUST-018</v>
      </c>
      <c r="B23" s="1" t="str">
        <v>AMC Customers</v>
      </c>
      <c r="C23" s="1" t="str">
        <v>Connections Tab</v>
      </c>
      <c r="D23" s="1" t="str">
        <v>Connections tab shows linked AMC Contracts for customer</v>
      </c>
      <c r="E23" s="1" t="str">
        <v>High</v>
      </c>
      <c r="F23" s="1" t="str">
        <v>BR-CUST-09</v>
      </c>
      <c r="G23" s="1" t="str">
        <v>Not Run</v>
      </c>
    </row>
    <row r="24">
      <c r="A24" s="1" t="str">
        <v>CUST-019</v>
      </c>
      <c r="B24" s="1" t="str">
        <v>AMC Customers</v>
      </c>
      <c r="C24" s="1" t="str">
        <v>Connections Tab</v>
      </c>
      <c r="D24" s="1" t="str">
        <v>Connections tab shows linked Service Calls for customer</v>
      </c>
      <c r="E24" s="1" t="str">
        <v>Medium</v>
      </c>
      <c r="F24" s="1" t="str">
        <v>BR-CUST-09</v>
      </c>
      <c r="G24" s="1" t="str">
        <v>Not Run</v>
      </c>
    </row>
    <row r="25">
      <c r="A25" s="1" t="str">
        <v>CUST-020</v>
      </c>
      <c r="B25" s="1" t="str">
        <v>AMC Customers</v>
      </c>
      <c r="C25" s="1" t="str">
        <v>Permissions</v>
      </c>
      <c r="D25" s="1" t="str">
        <v>Technician role can only READ AMC Customers</v>
      </c>
      <c r="E25" s="1" t="str">
        <v>Critical</v>
      </c>
      <c r="F25" s="1" t="str">
        <v>BR-CUST-11</v>
      </c>
      <c r="G25" s="1" t="str">
        <v>Not Run</v>
      </c>
    </row>
    <row r="26">
      <c r="A26" s="1" t="str">
        <v>CUST-021</v>
      </c>
      <c r="B26" s="1" t="str">
        <v>AMC Customers</v>
      </c>
      <c r="C26" s="1" t="str">
        <v>Data Integrity</v>
      </c>
      <c r="D26" s="1" t="str">
        <v>Deleting customer with active contracts is blocked</v>
      </c>
      <c r="E26" s="1" t="str">
        <v>High</v>
      </c>
      <c r="F26" s="1" t="str">
        <v>BR-CUST-10</v>
      </c>
      <c r="G26" s="1" t="str">
        <v>Not Run</v>
      </c>
    </row>
    <row r="27">
      <c r="A27" s="1" t="str">
        <v>▌ AMC Contract</v>
      </c>
    </row>
    <row r="28">
      <c r="A28" s="1" t="str">
        <v>CON-001</v>
      </c>
      <c r="B28" s="1" t="str">
        <v>AMC Contract</v>
      </c>
      <c r="C28" s="1" t="str">
        <v>Contract Creation</v>
      </c>
      <c r="D28" s="1" t="str">
        <v>Create AMC Contract with all mandatory fields</v>
      </c>
      <c r="E28" s="1" t="str">
        <v>Critical</v>
      </c>
      <c r="F28" s="1" t="str">
        <v>BR-CON-01</v>
      </c>
      <c r="G28" s="1" t="str">
        <v>Not Run</v>
      </c>
    </row>
    <row r="29">
      <c r="A29" s="1" t="str">
        <v>CON-002</v>
      </c>
      <c r="B29" s="1" t="str">
        <v>AMC Contract</v>
      </c>
      <c r="C29" s="1" t="str">
        <v>Contract Creation</v>
      </c>
      <c r="D29" s="1" t="str">
        <v>Start Date is mandatory — save fails without it</v>
      </c>
      <c r="E29" s="1" t="str">
        <v>Critical</v>
      </c>
      <c r="F29" s="1" t="str">
        <v>BR-CON-01</v>
      </c>
      <c r="G29" s="1" t="str">
        <v>Not Run</v>
      </c>
    </row>
    <row r="30">
      <c r="A30" s="1" t="str">
        <v>CON-003</v>
      </c>
      <c r="B30" s="1" t="str">
        <v>AMC Contract</v>
      </c>
      <c r="C30" s="1" t="str">
        <v>Contract Creation</v>
      </c>
      <c r="D30" s="1" t="str">
        <v>End Date is mandatory — save fails without it</v>
      </c>
      <c r="E30" s="1" t="str">
        <v>Critical</v>
      </c>
      <c r="F30" s="1" t="str">
        <v>BR-CON-01</v>
      </c>
      <c r="G30" s="1" t="str">
        <v>Not Run</v>
      </c>
    </row>
    <row r="31">
      <c r="A31" s="1" t="str">
        <v>CON-004</v>
      </c>
      <c r="B31" s="1" t="str">
        <v>AMC Contract</v>
      </c>
      <c r="C31" s="1" t="str">
        <v>Contract Creation</v>
      </c>
      <c r="D31" s="1" t="str">
        <v>No of Services is mandatory — save fails without it</v>
      </c>
      <c r="E31" s="1" t="str">
        <v>Critical</v>
      </c>
      <c r="F31" s="1" t="str">
        <v>BR-CON-01</v>
      </c>
      <c r="G31" s="1" t="str">
        <v>Not Run</v>
      </c>
    </row>
    <row r="32">
      <c r="A32" s="1" t="str">
        <v>CON-005</v>
      </c>
      <c r="B32" s="1" t="str">
        <v>AMC Contract</v>
      </c>
      <c r="C32" s="1" t="str">
        <v>Contract Creation</v>
      </c>
      <c r="D32" s="1" t="str">
        <v>Auto-naming follows AMC-.YY.MM.-.#### series</v>
      </c>
      <c r="E32" s="1" t="str">
        <v>High</v>
      </c>
      <c r="F32" s="1" t="str">
        <v>BR-CON-02</v>
      </c>
      <c r="G32" s="1" t="str">
        <v>Not Run</v>
      </c>
    </row>
    <row r="33">
      <c r="A33" s="1" t="str">
        <v>CON-006</v>
      </c>
      <c r="B33" s="1" t="str">
        <v>AMC Contract</v>
      </c>
      <c r="C33" s="1" t="str">
        <v>Contract Date Logic</v>
      </c>
      <c r="D33" s="1" t="str">
        <v>End Date before Start Date is rejected</v>
      </c>
      <c r="E33" s="1" t="str">
        <v>Critical</v>
      </c>
      <c r="F33" s="1" t="str">
        <v>BR-CON-03</v>
      </c>
      <c r="G33" s="1" t="str">
        <v>Not Run</v>
      </c>
    </row>
    <row r="34">
      <c r="A34" s="1" t="str">
        <v>CON-007</v>
      </c>
      <c r="B34" s="1" t="str">
        <v>AMC Contract</v>
      </c>
      <c r="C34" s="1" t="str">
        <v>Contract Date Logic</v>
      </c>
      <c r="D34" s="1" t="str">
        <v>Same Start and End Date is valid (single-day contract)</v>
      </c>
      <c r="E34" s="1" t="str">
        <v>High</v>
      </c>
      <c r="F34" s="1" t="str">
        <v>BR-CON-03</v>
      </c>
      <c r="G34" s="1" t="str">
        <v>Not Run</v>
      </c>
    </row>
    <row r="35">
      <c r="A35" s="1" t="str">
        <v>CON-008</v>
      </c>
      <c r="B35" s="1" t="str">
        <v>AMC Contract</v>
      </c>
      <c r="C35" s="1" t="str">
        <v>Contract Date Logic</v>
      </c>
      <c r="D35" s="1" t="str">
        <v>Multi-year contract is valid (e.g., 2 years)</v>
      </c>
      <c r="E35" s="1" t="str">
        <v>High</v>
      </c>
      <c r="F35" s="1" t="str">
        <v>BR-CON-03</v>
      </c>
      <c r="G35" s="1" t="str">
        <v>Not Run</v>
      </c>
    </row>
    <row r="36">
      <c r="A36" s="1" t="str">
        <v>CON-009</v>
      </c>
      <c r="B36" s="1" t="str">
        <v>AMC Contract</v>
      </c>
      <c r="C36" s="1" t="str">
        <v>Service Count &amp; Schedule</v>
      </c>
      <c r="D36" s="1" t="str">
        <v>4 services Jan-Dec creates exactly 4 Maintenance Schedule rows</v>
      </c>
      <c r="E36" s="1" t="str">
        <v>Critical</v>
      </c>
      <c r="F36" s="1" t="str">
        <v>BR-CON-04</v>
      </c>
      <c r="G36" s="1" t="str">
        <v>Not Run</v>
      </c>
    </row>
    <row r="37">
      <c r="A37" s="1" t="str">
        <v>CON-010</v>
      </c>
      <c r="B37" s="1" t="str">
        <v>AMC Contract</v>
      </c>
      <c r="C37" s="1" t="str">
        <v>Service Count &amp; Schedule</v>
      </c>
      <c r="D37" s="1" t="str">
        <v>12 services creates 12 monthly Maintenance Schedule rows</v>
      </c>
      <c r="E37" s="1" t="str">
        <v>Critical</v>
      </c>
      <c r="F37" s="1" t="str">
        <v>BR-CON-04</v>
      </c>
      <c r="G37" s="1" t="str">
        <v>Not Run</v>
      </c>
    </row>
    <row r="38">
      <c r="A38" s="1" t="str">
        <v>CON-011</v>
      </c>
      <c r="B38" s="1" t="str">
        <v>AMC Contract</v>
      </c>
      <c r="C38" s="1" t="str">
        <v>Service Count &amp; Schedule</v>
      </c>
      <c r="D38" s="1" t="str">
        <v>1 service creates exactly 1 Maintenance Schedule row</v>
      </c>
      <c r="E38" s="1" t="str">
        <v>Critical</v>
      </c>
      <c r="F38" s="1" t="str">
        <v>BR-CON-04</v>
      </c>
      <c r="G38" s="1" t="str">
        <v>Not Run</v>
      </c>
    </row>
    <row r="39">
      <c r="A39" s="1" t="str">
        <v>CON-012</v>
      </c>
      <c r="B39" s="1" t="str">
        <v>AMC Contract</v>
      </c>
      <c r="C39" s="1" t="str">
        <v>Service Count &amp; Schedule</v>
      </c>
      <c r="D39" s="1" t="str">
        <v>All schedule dates fall within contract Start-End range</v>
      </c>
      <c r="E39" s="1" t="str">
        <v>Critical</v>
      </c>
      <c r="F39" s="1" t="str">
        <v>BR-CON-05</v>
      </c>
      <c r="G39" s="1" t="str">
        <v>Not Run</v>
      </c>
    </row>
    <row r="40">
      <c r="A40" s="1" t="str">
        <v>CON-013</v>
      </c>
      <c r="B40" s="1" t="str">
        <v>AMC Contract</v>
      </c>
      <c r="C40" s="1" t="str">
        <v>Service Count &amp; Schedule</v>
      </c>
      <c r="D40" s="1" t="str">
        <v>Changing No of Services from 4 to 6 regenerates 6 rows</v>
      </c>
      <c r="E40" s="1" t="str">
        <v>High</v>
      </c>
      <c r="F40" s="1" t="str">
        <v>BR-CON-04</v>
      </c>
      <c r="G40" s="1" t="str">
        <v>Not Run</v>
      </c>
    </row>
    <row r="41">
      <c r="A41" s="1" t="str">
        <v>CON-014</v>
      </c>
      <c r="B41" s="1" t="str">
        <v>AMC Contract</v>
      </c>
      <c r="C41" s="1" t="str">
        <v>Service Count &amp; Schedule</v>
      </c>
      <c r="D41" s="1" t="str">
        <v>Maintenance Schedule Equipment column filled per row</v>
      </c>
      <c r="E41" s="1" t="str">
        <v>High</v>
      </c>
      <c r="F41" s="1" t="str">
        <v>BR-CON-08</v>
      </c>
      <c r="G41" s="1" t="str">
        <v>Not Run</v>
      </c>
    </row>
    <row r="42">
      <c r="A42" s="1" t="str">
        <v>CON-015</v>
      </c>
      <c r="B42" s="1" t="str">
        <v>AMC Contract</v>
      </c>
      <c r="C42" s="1" t="str">
        <v>Customer &amp; Branch Linkage</v>
      </c>
      <c r="D42" s="1" t="str">
        <v>Contract cannot reference non-existent AMC Customer</v>
      </c>
      <c r="E42" s="1" t="str">
        <v>Critical</v>
      </c>
      <c r="F42" s="1" t="str">
        <v>BR-CON-06</v>
      </c>
      <c r="G42" s="1" t="str">
        <v>Not Run</v>
      </c>
    </row>
    <row r="43">
      <c r="A43" s="1" t="str">
        <v>CON-016</v>
      </c>
      <c r="B43" s="1" t="str">
        <v>AMC Contract</v>
      </c>
      <c r="C43" s="1" t="str">
        <v>Customer &amp; Branch Linkage</v>
      </c>
      <c r="D43" s="1" t="str">
        <v>Branch dropdown is empty until Customer is selected</v>
      </c>
      <c r="E43" s="1" t="str">
        <v>High</v>
      </c>
      <c r="F43" s="1" t="str">
        <v>BR-CON-06</v>
      </c>
      <c r="G43" s="1" t="str">
        <v>Not Run</v>
      </c>
    </row>
    <row r="44">
      <c r="A44" s="1" t="str">
        <v>CON-017</v>
      </c>
      <c r="B44" s="1" t="str">
        <v>AMC Contract</v>
      </c>
      <c r="C44" s="1" t="str">
        <v>Customer &amp; Branch Linkage</v>
      </c>
      <c r="D44" s="1" t="str">
        <v>Changing Customer clears Branch and Contact Person</v>
      </c>
      <c r="E44" s="1" t="str">
        <v>High</v>
      </c>
      <c r="F44" s="1" t="str">
        <v>BR-CON-06</v>
      </c>
      <c r="G44" s="1" t="str">
        <v>Not Run</v>
      </c>
    </row>
    <row r="45">
      <c r="A45" s="1" t="str">
        <v>CON-018</v>
      </c>
      <c r="B45" s="1" t="str">
        <v>AMC Contract</v>
      </c>
      <c r="C45" s="1" t="str">
        <v>Customer &amp; Branch Linkage</v>
      </c>
      <c r="D45" s="1" t="str">
        <v>Contact Person dropdown filtered by selected Branch</v>
      </c>
      <c r="E45" s="1" t="str">
        <v>High</v>
      </c>
      <c r="F45" s="1" t="str">
        <v>BR-CON-07</v>
      </c>
      <c r="G45" s="1" t="str">
        <v>Not Run</v>
      </c>
    </row>
    <row r="46">
      <c r="A46" s="1" t="str">
        <v>CON-019</v>
      </c>
      <c r="B46" s="1" t="str">
        <v>AMC Contract</v>
      </c>
      <c r="C46" s="1" t="str">
        <v>Contract Status</v>
      </c>
      <c r="D46" s="1" t="str">
        <v>Status field accepts Active value</v>
      </c>
      <c r="E46" s="1" t="str">
        <v>High</v>
      </c>
      <c r="F46" s="1" t="str">
        <v>BR-CON-09</v>
      </c>
      <c r="G46" s="1" t="str">
        <v>Not Run</v>
      </c>
    </row>
    <row r="47">
      <c r="A47" s="1" t="str">
        <v>CON-020</v>
      </c>
      <c r="B47" s="1" t="str">
        <v>AMC Contract</v>
      </c>
      <c r="C47" s="1" t="str">
        <v>Contract Status</v>
      </c>
      <c r="D47" s="1" t="str">
        <v>Status field accepts Inactive value</v>
      </c>
      <c r="E47" s="1" t="str">
        <v>High</v>
      </c>
      <c r="F47" s="1" t="str">
        <v>BR-CON-09</v>
      </c>
      <c r="G47" s="1" t="str">
        <v>Not Run</v>
      </c>
    </row>
    <row r="48">
      <c r="A48" s="1" t="str">
        <v>CON-021</v>
      </c>
      <c r="B48" s="1" t="str">
        <v>AMC Contract</v>
      </c>
      <c r="C48" s="1" t="str">
        <v>Contract Status</v>
      </c>
      <c r="D48" s="1" t="str">
        <v>Status is blank by default on new contract</v>
      </c>
      <c r="E48" s="1" t="str">
        <v>Medium</v>
      </c>
      <c r="F48" s="1" t="str">
        <v>BR-CON-09</v>
      </c>
      <c r="G48" s="1" t="str">
        <v>Not Run</v>
      </c>
    </row>
    <row r="49">
      <c r="A49" s="1" t="str">
        <v>CON-022</v>
      </c>
      <c r="B49" s="1" t="str">
        <v>AMC Contract</v>
      </c>
      <c r="C49" s="1" t="str">
        <v>Submit &amp; Amend Workflow</v>
      </c>
      <c r="D49" s="1" t="str">
        <v>Draft contract can be submitted</v>
      </c>
      <c r="E49" s="1" t="str">
        <v>Critical</v>
      </c>
      <c r="F49" s="1" t="str">
        <v>BR-CON-10</v>
      </c>
      <c r="G49" s="1" t="str">
        <v>Not Run</v>
      </c>
    </row>
    <row r="50">
      <c r="A50" s="1" t="str">
        <v>CON-023</v>
      </c>
      <c r="B50" s="1" t="str">
        <v>AMC Contract</v>
      </c>
      <c r="C50" s="1" t="str">
        <v>Submit &amp; Amend Workflow</v>
      </c>
      <c r="D50" s="1" t="str">
        <v>Submitted contract fields are read-only</v>
      </c>
      <c r="E50" s="1" t="str">
        <v>Critical</v>
      </c>
      <c r="F50" s="1" t="str">
        <v>BR-CON-10</v>
      </c>
      <c r="G50" s="1" t="str">
        <v>Not Run</v>
      </c>
    </row>
    <row r="51">
      <c r="A51" s="1" t="str">
        <v>CON-024</v>
      </c>
      <c r="B51" s="1" t="str">
        <v>AMC Contract</v>
      </c>
      <c r="C51" s="1" t="str">
        <v>Submit &amp; Amend Workflow</v>
      </c>
      <c r="D51" s="1" t="str">
        <v>Submitted contract can be amended to create new draft</v>
      </c>
      <c r="E51" s="1" t="str">
        <v>Critical</v>
      </c>
      <c r="F51" s="1" t="str">
        <v>BR-CON-11</v>
      </c>
      <c r="G51" s="1" t="str">
        <v>Not Run</v>
      </c>
    </row>
    <row r="52">
      <c r="A52" s="1" t="str">
        <v>CON-025</v>
      </c>
      <c r="B52" s="1" t="str">
        <v>AMC Contract</v>
      </c>
      <c r="C52" s="1" t="str">
        <v>Submit &amp; Amend Workflow</v>
      </c>
      <c r="D52" s="1" t="str">
        <v>Submitted contract can be cancelled</v>
      </c>
      <c r="E52" s="1" t="str">
        <v>High</v>
      </c>
      <c r="F52" s="1" t="str">
        <v>BR-CON-10</v>
      </c>
      <c r="G52" s="1" t="str">
        <v>Not Run</v>
      </c>
    </row>
    <row r="53">
      <c r="A53" s="1" t="str">
        <v>CON-026</v>
      </c>
      <c r="B53" s="1" t="str">
        <v>AMC Contract</v>
      </c>
      <c r="C53" s="1" t="str">
        <v>Company Branch</v>
      </c>
      <c r="D53" s="1" t="str">
        <v>Company Branch saved independently of Customer Branch</v>
      </c>
      <c r="E53" s="1" t="str">
        <v>High</v>
      </c>
      <c r="F53" s="1" t="str">
        <v>BR-CON-08</v>
      </c>
      <c r="G53" s="1" t="str">
        <v>Not Run</v>
      </c>
    </row>
    <row r="54">
      <c r="A54" s="1" t="str">
        <v>CON-027</v>
      </c>
      <c r="B54" s="1" t="str">
        <v>AMC Contract</v>
      </c>
      <c r="C54" s="1" t="str">
        <v>Service Calls Tab</v>
      </c>
      <c r="D54" s="1" t="str">
        <v>Service Calls tab shows generated calls after submission</v>
      </c>
      <c r="E54" s="1" t="str">
        <v>Critical</v>
      </c>
      <c r="F54" s="1" t="str">
        <v>BR-CON-12</v>
      </c>
      <c r="G54" s="1" t="str">
        <v>Not Run</v>
      </c>
    </row>
    <row r="55">
      <c r="A55" s="1" t="str">
        <v>CON-028</v>
      </c>
      <c r="B55" s="1" t="str">
        <v>AMC Contract</v>
      </c>
      <c r="C55" s="1" t="str">
        <v>Service Calls Tab</v>
      </c>
      <c r="D55" s="1" t="str">
        <v>Service Calls tab is empty for unsaved draft contract</v>
      </c>
      <c r="E55" s="1" t="str">
        <v>High</v>
      </c>
      <c r="F55" s="1" t="str">
        <v>BR-CON-12</v>
      </c>
      <c r="G55" s="1" t="str">
        <v>Not Run</v>
      </c>
    </row>
    <row r="56">
      <c r="A56" s="1" t="str">
        <v>CON-029</v>
      </c>
      <c r="B56" s="1" t="str">
        <v>AMC Contract</v>
      </c>
      <c r="C56" s="1" t="str">
        <v>Service Calls Tab</v>
      </c>
      <c r="D56" s="1" t="str">
        <v>Service Call count equals No of Services on contract</v>
      </c>
      <c r="E56" s="1" t="str">
        <v>Critical</v>
      </c>
      <c r="F56" s="1" t="str">
        <v>BR-CON-04, BR-CON-12</v>
      </c>
      <c r="G56" s="1" t="str">
        <v>Not Run</v>
      </c>
    </row>
    <row r="57">
      <c r="A57" s="1" t="str">
        <v>CON-030</v>
      </c>
      <c r="B57" s="1" t="str">
        <v>AMC Contract</v>
      </c>
      <c r="C57" s="1" t="str">
        <v>Cross-DocType Integration</v>
      </c>
      <c r="D57" s="1" t="str">
        <v>One customer can have contracts for multiple branches</v>
      </c>
      <c r="E57" s="1" t="str">
        <v>Critical</v>
      </c>
      <c r="F57" s="1" t="str">
        <v>BR-CON-13</v>
      </c>
      <c r="G57" s="1" t="str">
        <v>Not Run</v>
      </c>
    </row>
    <row r="58">
      <c r="A58" s="1" t="str">
        <v>CON-031</v>
      </c>
      <c r="B58" s="1" t="str">
        <v>AMC Contract</v>
      </c>
      <c r="C58" s="1" t="str">
        <v>Cross-DocType Integration</v>
      </c>
      <c r="D58" s="1" t="str">
        <v>Deleting customer with active contracts is blocked</v>
      </c>
      <c r="E58" s="1" t="str">
        <v>High</v>
      </c>
      <c r="F58" s="1" t="str">
        <v>BR-CUST-10</v>
      </c>
      <c r="G58" s="1" t="str">
        <v>Not Run</v>
      </c>
    </row>
    <row r="59">
      <c r="A59" s="1" t="str">
        <v>CON-032</v>
      </c>
      <c r="B59" s="1" t="str">
        <v>AMC Contract</v>
      </c>
      <c r="C59" s="1" t="str">
        <v>Cross-DocType Integration</v>
      </c>
      <c r="D59" s="1" t="str">
        <v>Technician cannot cancel or delete AMC Contract</v>
      </c>
      <c r="E59" s="1" t="str">
        <v>Critical</v>
      </c>
      <c r="F59" s="1" t="str">
        <v>BR-CON-14</v>
      </c>
      <c r="G59" s="1" t="str">
        <v>Not Run</v>
      </c>
    </row>
    <row r="60">
      <c r="A60" s="1" t="str">
        <v>▌ Vendor</v>
      </c>
    </row>
    <row r="61">
      <c r="A61" s="1" t="str">
        <v>VEN-001</v>
      </c>
      <c r="B61" s="1" t="str">
        <v>Vendor</v>
      </c>
      <c r="C61" s="1" t="str">
        <v>Vendor Creation &amp; Basic Details</v>
      </c>
      <c r="D61" s="1" t="str">
        <v>Create Vendor with Vendor Name only (mandatory field)</v>
      </c>
      <c r="E61" s="1" t="str">
        <v>Critical</v>
      </c>
      <c r="F61" s="1" t="str">
        <v>BR-VEN-01</v>
      </c>
      <c r="G61" s="1" t="str">
        <v>Not Run</v>
      </c>
    </row>
    <row r="62">
      <c r="A62" s="1" t="str">
        <v>VEN-002</v>
      </c>
      <c r="B62" s="1" t="str">
        <v>Vendor</v>
      </c>
      <c r="C62" s="1" t="str">
        <v>Vendor Creation &amp; Basic Details</v>
      </c>
      <c r="D62" s="1" t="str">
        <v>Create Vendor with all basic fields (Name, Type, PAN)</v>
      </c>
      <c r="E62" s="1" t="str">
        <v>Critical</v>
      </c>
      <c r="F62" s="1" t="str">
        <v>BR-VEN-01, BR-VEN-02</v>
      </c>
      <c r="G62" s="1" t="str">
        <v>Not Run</v>
      </c>
    </row>
    <row r="63">
      <c r="A63" s="1" t="str">
        <v>VEN-003</v>
      </c>
      <c r="B63" s="1" t="str">
        <v>Vendor</v>
      </c>
      <c r="C63" s="1" t="str">
        <v>Vendor Creation &amp; Basic Details</v>
      </c>
      <c r="D63" s="1" t="str">
        <v>Create Vendor with Type as Company</v>
      </c>
      <c r="E63" s="1" t="str">
        <v>High</v>
      </c>
      <c r="F63" s="1" t="str">
        <v>BR-VEN-02</v>
      </c>
      <c r="G63" s="1" t="str">
        <v>Not Run</v>
      </c>
    </row>
    <row r="64">
      <c r="A64" s="1" t="str">
        <v>VEN-004</v>
      </c>
      <c r="B64" s="1" t="str">
        <v>Vendor</v>
      </c>
      <c r="C64" s="1" t="str">
        <v>Vendor Creation &amp; Basic Details</v>
      </c>
      <c r="D64" s="1" t="str">
        <v>Create Vendor with Type as Individual</v>
      </c>
      <c r="E64" s="1" t="str">
        <v>High</v>
      </c>
      <c r="F64" s="1" t="str">
        <v>BR-VEN-02</v>
      </c>
      <c r="G64" s="1" t="str">
        <v>Not Run</v>
      </c>
    </row>
    <row r="65">
      <c r="A65" s="1" t="str">
        <v>VEN-005</v>
      </c>
      <c r="B65" s="1" t="str">
        <v>Vendor</v>
      </c>
      <c r="C65" s="1" t="str">
        <v>Primary Contact Details</v>
      </c>
      <c r="D65" s="1" t="str">
        <v>Add Primary Contact Person</v>
      </c>
      <c r="E65" s="1" t="str">
        <v>Critical</v>
      </c>
      <c r="F65" s="1" t="str">
        <v>BR-VEN-03</v>
      </c>
      <c r="G65" s="1" t="str">
        <v>Not Run</v>
      </c>
    </row>
    <row r="66">
      <c r="A66" s="1" t="str">
        <v>VEN-006</v>
      </c>
      <c r="B66" s="1" t="str">
        <v>Vendor</v>
      </c>
      <c r="C66" s="1" t="str">
        <v>Primary Contact Details</v>
      </c>
      <c r="D66" s="1" t="str">
        <v>Valid phone number format in Mobile No field</v>
      </c>
      <c r="E66" s="1" t="str">
        <v>High</v>
      </c>
      <c r="F66" s="1" t="str">
        <v>BR-VEN-03</v>
      </c>
      <c r="G66" s="1" t="str">
        <v>Not Run</v>
      </c>
    </row>
    <row r="67">
      <c r="A67" s="1" t="str">
        <v>VEN-007</v>
      </c>
      <c r="B67" s="1" t="str">
        <v>Vendor</v>
      </c>
      <c r="C67" s="1" t="str">
        <v>Primary Contact Details</v>
      </c>
      <c r="D67" s="1" t="str">
        <v>Invalid phone number format is rejected</v>
      </c>
      <c r="E67" s="1" t="str">
        <v>Critical</v>
      </c>
      <c r="F67" s="1" t="str">
        <v>BR-VEN-03</v>
      </c>
      <c r="G67" s="1" t="str">
        <v>Not Run</v>
      </c>
    </row>
    <row r="68">
      <c r="A68" s="1" t="str">
        <v>VEN-008</v>
      </c>
      <c r="B68" s="1" t="str">
        <v>Vendor</v>
      </c>
      <c r="C68" s="1" t="str">
        <v>Primary Contact Details</v>
      </c>
      <c r="D68" s="1" t="str">
        <v>Valid email format is accepted</v>
      </c>
      <c r="E68" s="1" t="str">
        <v>High</v>
      </c>
      <c r="F68" s="1" t="str">
        <v>BR-VEN-03</v>
      </c>
      <c r="G68" s="1" t="str">
        <v>Not Run</v>
      </c>
    </row>
    <row r="69">
      <c r="A69" s="1" t="str">
        <v>VEN-009</v>
      </c>
      <c r="B69" s="1" t="str">
        <v>Vendor</v>
      </c>
      <c r="C69" s="1" t="str">
        <v>Primary Contact Details</v>
      </c>
      <c r="D69" s="1" t="str">
        <v>Invalid email format is rejected with error message</v>
      </c>
      <c r="E69" s="1" t="str">
        <v>Critical</v>
      </c>
      <c r="F69" s="1" t="str">
        <v>BR-VEN-03</v>
      </c>
      <c r="G69" s="1" t="str">
        <v>Not Run</v>
      </c>
    </row>
    <row r="70">
      <c r="A70" s="1" t="str">
        <v>VEN-010</v>
      </c>
      <c r="B70" s="1" t="str">
        <v>Vendor</v>
      </c>
      <c r="C70" s="1" t="str">
        <v>Tax Identification</v>
      </c>
      <c r="D70" s="1" t="str">
        <v>Valid PAN number format is accepted</v>
      </c>
      <c r="E70" s="1" t="str">
        <v>Critical</v>
      </c>
      <c r="F70" s="1" t="str">
        <v>BR-VEN-04</v>
      </c>
      <c r="G70" s="1" t="str">
        <v>Not Run</v>
      </c>
    </row>
    <row r="71">
      <c r="A71" s="1" t="str">
        <v>VEN-011</v>
      </c>
      <c r="B71" s="1" t="str">
        <v>Vendor</v>
      </c>
      <c r="C71" s="1" t="str">
        <v>Tax Identification</v>
      </c>
      <c r="D71" s="1" t="str">
        <v>Invalid PAN format is rejected</v>
      </c>
      <c r="E71" s="1" t="str">
        <v>Critical</v>
      </c>
      <c r="F71" s="1" t="str">
        <v>BR-VEN-04</v>
      </c>
      <c r="G71" s="1" t="str">
        <v>Not Run</v>
      </c>
    </row>
    <row r="72">
      <c r="A72" s="1" t="str">
        <v>VEN-012</v>
      </c>
      <c r="B72" s="1" t="str">
        <v>Vendor</v>
      </c>
      <c r="C72" s="1" t="str">
        <v>Tax Identification</v>
      </c>
      <c r="D72" s="1" t="str">
        <v>Duplicate PAN across two vendors is blocked</v>
      </c>
      <c r="E72" s="1" t="str">
        <v>Critical</v>
      </c>
      <c r="F72" s="1" t="str">
        <v>BR-VEN-05</v>
      </c>
      <c r="G72" s="1" t="str">
        <v>Not Run</v>
      </c>
    </row>
    <row r="73">
      <c r="A73" s="1" t="str">
        <v>VEN-013</v>
      </c>
      <c r="B73" s="1" t="str">
        <v>Vendor</v>
      </c>
      <c r="C73" s="1" t="str">
        <v>Tax Identification</v>
      </c>
      <c r="D73" s="1" t="str">
        <v>PAN field can be left blank (optional)</v>
      </c>
      <c r="E73" s="1" t="str">
        <v>High</v>
      </c>
      <c r="F73" s="1" t="str">
        <v>BR-VEN-04</v>
      </c>
      <c r="G73" s="1" t="str">
        <v>Not Run</v>
      </c>
    </row>
    <row r="74">
      <c r="A74" s="1" t="str">
        <v>VEN-014</v>
      </c>
      <c r="B74" s="1" t="str">
        <v>Vendor</v>
      </c>
      <c r="C74" s="1" t="str">
        <v>Registered Address</v>
      </c>
      <c r="D74" s="1" t="str">
        <v>Add Registered Address to Vendor</v>
      </c>
      <c r="E74" s="1" t="str">
        <v>High</v>
      </c>
      <c r="F74" s="1" t="str">
        <v>BR-VEN-06</v>
      </c>
      <c r="G74" s="1" t="str">
        <v>Not Run</v>
      </c>
    </row>
    <row r="75">
      <c r="A75" s="1" t="str">
        <v>VEN-015</v>
      </c>
      <c r="B75" s="1" t="str">
        <v>Vendor</v>
      </c>
      <c r="C75" s="1" t="str">
        <v>Registered Address</v>
      </c>
      <c r="D75" s="1" t="str">
        <v>Registered Address text is saved correctly</v>
      </c>
      <c r="E75" s="1" t="str">
        <v>High</v>
      </c>
      <c r="F75" s="1" t="str">
        <v>BR-VEN-06</v>
      </c>
      <c r="G75" s="1" t="str">
        <v>Not Run</v>
      </c>
    </row>
    <row r="76">
      <c r="A76" s="1" t="str">
        <v>VEN-016</v>
      </c>
      <c r="B76" s="1" t="str">
        <v>Vendor</v>
      </c>
      <c r="C76" s="1" t="str">
        <v>Registered Address</v>
      </c>
      <c r="D76" s="1" t="str">
        <v>Registered Address with special characters is accepted</v>
      </c>
      <c r="E76" s="1" t="str">
        <v>Medium</v>
      </c>
      <c r="F76" s="1" t="str">
        <v>BR-VEN-06</v>
      </c>
      <c r="G76" s="1" t="str">
        <v>Not Run</v>
      </c>
    </row>
    <row r="77">
      <c r="A77" s="1" t="str">
        <v>VEN-017</v>
      </c>
      <c r="B77" s="1" t="str">
        <v>Vendor</v>
      </c>
      <c r="C77" s="1" t="str">
        <v>Address Table</v>
      </c>
      <c r="D77" s="1" t="str">
        <v>Add single address row to Vendor</v>
      </c>
      <c r="E77" s="1" t="str">
        <v>Critical</v>
      </c>
      <c r="F77" s="1" t="str">
        <v>BR-VEN-07</v>
      </c>
      <c r="G77" s="1" t="str">
        <v>Not Run</v>
      </c>
    </row>
    <row r="78">
      <c r="A78" s="1" t="str">
        <v>VEN-018</v>
      </c>
      <c r="B78" s="1" t="str">
        <v>Vendor</v>
      </c>
      <c r="C78" s="1" t="str">
        <v>Address Table</v>
      </c>
      <c r="D78" s="1" t="str">
        <v>Add multiple address rows to same Vendor</v>
      </c>
      <c r="E78" s="1" t="str">
        <v>High</v>
      </c>
      <c r="F78" s="1" t="str">
        <v>BR-VEN-07</v>
      </c>
      <c r="G78" s="1" t="str">
        <v>Not Run</v>
      </c>
    </row>
    <row r="79">
      <c r="A79" s="1" t="str">
        <v>VEN-019</v>
      </c>
      <c r="B79" s="1" t="str">
        <v>Vendor</v>
      </c>
      <c r="C79" s="1" t="str">
        <v>Address Table</v>
      </c>
      <c r="D79" s="1" t="str">
        <v>Delete address row from table</v>
      </c>
      <c r="E79" s="1" t="str">
        <v>Medium</v>
      </c>
      <c r="F79" s="1" t="str">
        <v>BR-VEN-07</v>
      </c>
      <c r="G79" s="1" t="str">
        <v>Not Run</v>
      </c>
    </row>
    <row r="80">
      <c r="A80" s="1" t="str">
        <v>VEN-020</v>
      </c>
      <c r="B80" s="1" t="str">
        <v>Vendor</v>
      </c>
      <c r="C80" s="1" t="str">
        <v>Address Table</v>
      </c>
      <c r="D80" s="1" t="str">
        <v>Address row Name field is populated correctly</v>
      </c>
      <c r="E80" s="1" t="str">
        <v>High</v>
      </c>
      <c r="F80" s="1" t="str">
        <v>BR-VEN-07</v>
      </c>
      <c r="G80" s="1" t="str">
        <v>Not Run</v>
      </c>
    </row>
    <row r="81">
      <c r="A81" s="1" t="str">
        <v>VEN-021</v>
      </c>
      <c r="B81" s="1" t="str">
        <v>Vendor</v>
      </c>
      <c r="C81" s="1" t="str">
        <v>Address Table</v>
      </c>
      <c r="D81" s="1" t="str">
        <v>Address row City field is populated correctly</v>
      </c>
      <c r="E81" s="1" t="str">
        <v>High</v>
      </c>
      <c r="F81" s="1" t="str">
        <v>BR-VEN-07</v>
      </c>
      <c r="G81" s="1" t="str">
        <v>Not Run</v>
      </c>
    </row>
    <row r="82">
      <c r="A82" s="1" t="str">
        <v>VEN-022</v>
      </c>
      <c r="B82" s="1" t="str">
        <v>Vendor</v>
      </c>
      <c r="C82" s="1" t="str">
        <v>Address Table</v>
      </c>
      <c r="D82" s="1" t="str">
        <v>Address row State field is populated correctly</v>
      </c>
      <c r="E82" s="1" t="str">
        <v>High</v>
      </c>
      <c r="F82" s="1" t="str">
        <v>BR-VEN-07</v>
      </c>
      <c r="G82" s="1" t="str">
        <v>Not Run</v>
      </c>
    </row>
    <row r="83">
      <c r="A83" s="1" t="str">
        <v>VEN-023</v>
      </c>
      <c r="B83" s="1" t="str">
        <v>Vendor</v>
      </c>
      <c r="C83" s="1" t="str">
        <v>Address Table</v>
      </c>
      <c r="D83" s="1" t="str">
        <v>Address row GST No is validated and accepted</v>
      </c>
      <c r="E83" s="1" t="str">
        <v>Critical</v>
      </c>
      <c r="F83" s="1" t="str">
        <v>BR-VEN-08</v>
      </c>
      <c r="G83" s="1" t="str">
        <v>Not Run</v>
      </c>
    </row>
    <row r="84">
      <c r="A84" s="1" t="str">
        <v>VEN-024</v>
      </c>
      <c r="B84" s="1" t="str">
        <v>Vendor</v>
      </c>
      <c r="C84" s="1" t="str">
        <v>Address Table</v>
      </c>
      <c r="D84" s="1" t="str">
        <v>Invalid GST No in address row is rejected</v>
      </c>
      <c r="E84" s="1" t="str">
        <v>Critical</v>
      </c>
      <c r="F84" s="1" t="str">
        <v>BR-VEN-08</v>
      </c>
      <c r="G84" s="1" t="str">
        <v>Not Run</v>
      </c>
    </row>
    <row r="85">
      <c r="A85" s="1" t="str">
        <v>VEN-025</v>
      </c>
      <c r="B85" s="1" t="str">
        <v>Vendor</v>
      </c>
      <c r="C85" s="1" t="str">
        <v>Address Table</v>
      </c>
      <c r="D85" s="1" t="str">
        <v>Address row Mobile No field validation</v>
      </c>
      <c r="E85" s="1" t="str">
        <v>High</v>
      </c>
      <c r="F85" s="1" t="str">
        <v>BR-VEN-07</v>
      </c>
      <c r="G85" s="1" t="str">
        <v>Not Run</v>
      </c>
    </row>
    <row r="86">
      <c r="A86" s="1" t="str">
        <v>VEN-026</v>
      </c>
      <c r="B86" s="1" t="str">
        <v>Vendor</v>
      </c>
      <c r="C86" s="1" t="str">
        <v>Address Table</v>
      </c>
      <c r="D86" s="1" t="str">
        <v>Duplicate GST No across address rows is blocked</v>
      </c>
      <c r="E86" s="1" t="str">
        <v>Critical</v>
      </c>
      <c r="F86" s="1" t="str">
        <v>BR-VEN-09</v>
      </c>
      <c r="G86" s="1" t="str">
        <v>Not Run</v>
      </c>
    </row>
    <row r="87">
      <c r="A87" s="1" t="str">
        <v>VEN-027</v>
      </c>
      <c r="B87" s="1" t="str">
        <v>Vendor</v>
      </c>
      <c r="C87" s="1" t="str">
        <v>Data Validation</v>
      </c>
      <c r="D87" s="1" t="str">
        <v>Vendor cannot be saved without Vendor Name</v>
      </c>
      <c r="E87" s="1" t="str">
        <v>Critical</v>
      </c>
      <c r="F87" s="1" t="str">
        <v>BR-VEN-01</v>
      </c>
      <c r="G87" s="1" t="str">
        <v>Not Run</v>
      </c>
    </row>
    <row r="88">
      <c r="A88" s="1" t="str">
        <v>VEN-028</v>
      </c>
      <c r="B88" s="1" t="str">
        <v>Vendor</v>
      </c>
      <c r="C88" s="1" t="str">
        <v>Data Validation</v>
      </c>
      <c r="D88" s="1" t="str">
        <v>Vendor Name with special characters is accepted</v>
      </c>
      <c r="E88" s="1" t="str">
        <v>Medium</v>
      </c>
      <c r="F88" s="1" t="str">
        <v>BR-VEN-01</v>
      </c>
      <c r="G88" s="1" t="str">
        <v>Not Run</v>
      </c>
    </row>
    <row r="89">
      <c r="A89" s="1" t="str">
        <v>VEN-029</v>
      </c>
      <c r="B89" s="1" t="str">
        <v>Vendor</v>
      </c>
      <c r="C89" s="1" t="str">
        <v>Data Validation</v>
      </c>
      <c r="D89" s="1" t="str">
        <v>Type field dropdown shows all available options</v>
      </c>
      <c r="E89" s="1" t="str">
        <v>Medium</v>
      </c>
      <c r="F89" s="1" t="str">
        <v>BR-VEN-02</v>
      </c>
      <c r="G89" s="1" t="str">
        <v>Not Run</v>
      </c>
    </row>
    <row r="90">
      <c r="A90" s="1" t="str">
        <v>VEN-030</v>
      </c>
      <c r="B90" s="1" t="str">
        <v>Vendor</v>
      </c>
      <c r="C90" s="1" t="str">
        <v>Data Validation</v>
      </c>
      <c r="D90" s="1" t="str">
        <v>Empty Type field defaults to Company</v>
      </c>
      <c r="E90" s="1" t="str">
        <v>High</v>
      </c>
      <c r="F90" s="1" t="str">
        <v>BR-VEN-02</v>
      </c>
      <c r="G90" s="1" t="str">
        <v>Not Run</v>
      </c>
    </row>
    <row r="91">
      <c r="A91" s="1" t="str">
        <v>VEN-031</v>
      </c>
      <c r="B91" s="1" t="str">
        <v>Vendor</v>
      </c>
      <c r="C91" s="1" t="str">
        <v>Editing &amp; Updates</v>
      </c>
      <c r="D91" s="1" t="str">
        <v>Edit existing Vendor Name</v>
      </c>
      <c r="E91" s="1" t="str">
        <v>High</v>
      </c>
      <c r="F91" s="1" t="str">
        <v>BR-VEN-10</v>
      </c>
      <c r="G91" s="1" t="str">
        <v>Not Run</v>
      </c>
    </row>
    <row r="92">
      <c r="A92" s="1" t="str">
        <v>VEN-032</v>
      </c>
      <c r="B92" s="1" t="str">
        <v>Vendor</v>
      </c>
      <c r="C92" s="1" t="str">
        <v>Editing &amp; Updates</v>
      </c>
      <c r="D92" s="1" t="str">
        <v>Edit Primary Contact Person details</v>
      </c>
      <c r="E92" s="1" t="str">
        <v>High</v>
      </c>
      <c r="F92" s="1" t="str">
        <v>BR-VEN-10</v>
      </c>
      <c r="G92" s="1" t="str">
        <v>Not Run</v>
      </c>
    </row>
    <row r="93">
      <c r="A93" s="1" t="str">
        <v>VEN-033</v>
      </c>
      <c r="B93" s="1" t="str">
        <v>Vendor</v>
      </c>
      <c r="C93" s="1" t="str">
        <v>Editing &amp; Updates</v>
      </c>
      <c r="D93" s="1" t="str">
        <v>Edit PAN number</v>
      </c>
      <c r="E93" s="1" t="str">
        <v>High</v>
      </c>
      <c r="F93" s="1" t="str">
        <v>BR-VEN-10</v>
      </c>
      <c r="G93" s="1" t="str">
        <v>Not Run</v>
      </c>
    </row>
    <row r="94">
      <c r="A94" s="1" t="str">
        <v>VEN-034</v>
      </c>
      <c r="B94" s="1" t="str">
        <v>Vendor</v>
      </c>
      <c r="C94" s="1" t="str">
        <v>Editing &amp; Updates</v>
      </c>
      <c r="D94" s="1" t="str">
        <v>Edit Registered Address</v>
      </c>
      <c r="E94" s="1" t="str">
        <v>Medium</v>
      </c>
      <c r="F94" s="1" t="str">
        <v>BR-VEN-10</v>
      </c>
      <c r="G94" s="1" t="str">
        <v>Not Run</v>
      </c>
    </row>
    <row r="95">
      <c r="A95" s="1" t="str">
        <v>VEN-035</v>
      </c>
      <c r="B95" s="1" t="str">
        <v>Vendor</v>
      </c>
      <c r="C95" s="1" t="str">
        <v>Editing &amp; Updates</v>
      </c>
      <c r="D95" s="1" t="str">
        <v>Edit address table rows</v>
      </c>
      <c r="E95" s="1" t="str">
        <v>Medium</v>
      </c>
      <c r="F95" s="1" t="str">
        <v>BR-VEN-10</v>
      </c>
      <c r="G95" s="1" t="str">
        <v>Not Run</v>
      </c>
    </row>
    <row r="96">
      <c r="A96" s="1" t="str">
        <v>VEN-036</v>
      </c>
      <c r="B96" s="1" t="str">
        <v>Vendor</v>
      </c>
      <c r="C96" s="1" t="str">
        <v>Form Actions</v>
      </c>
      <c r="D96" s="1" t="str">
        <v>Save Vendor successfully</v>
      </c>
      <c r="E96" s="1" t="str">
        <v>Critical</v>
      </c>
      <c r="F96" s="1" t="str">
        <v>BR-VEN-01</v>
      </c>
      <c r="G96" s="1" t="str">
        <v>Not Run</v>
      </c>
    </row>
    <row r="97">
      <c r="A97" s="1" t="str">
        <v>VEN-037</v>
      </c>
      <c r="B97" s="1" t="str">
        <v>Vendor</v>
      </c>
      <c r="C97" s="1" t="str">
        <v>Form Actions</v>
      </c>
      <c r="D97" s="1" t="str">
        <v>Form shows "Not Saved" status before save</v>
      </c>
      <c r="E97" s="1" t="str">
        <v>Medium</v>
      </c>
      <c r="F97" s="1" t="str">
        <v>BR-VEN-11</v>
      </c>
      <c r="G97" s="1" t="str">
        <v>Not Run</v>
      </c>
    </row>
    <row r="98">
      <c r="A98" s="1" t="str">
        <v>VEN-038</v>
      </c>
      <c r="B98" s="1" t="str">
        <v>Vendor</v>
      </c>
      <c r="C98" s="1" t="str">
        <v>Form Actions</v>
      </c>
      <c r="D98" s="1" t="str">
        <v>Form shows "Saved" status after successful save</v>
      </c>
      <c r="E98" s="1" t="str">
        <v>Medium</v>
      </c>
      <c r="F98" s="1" t="str">
        <v>BR-VEN-11</v>
      </c>
      <c r="G98" s="1" t="str">
        <v>Not Run</v>
      </c>
    </row>
    <row r="99">
      <c r="A99" s="1" t="str">
        <v>VEN-039</v>
      </c>
      <c r="B99" s="1" t="str">
        <v>Vendor</v>
      </c>
      <c r="C99" s="1" t="str">
        <v>Form Actions</v>
      </c>
      <c r="D99" s="1" t="str">
        <v>Duplicate existing Vendor</v>
      </c>
      <c r="E99" s="1" t="str">
        <v>High</v>
      </c>
      <c r="F99" s="1" t="str">
        <v>BR-VEN-11</v>
      </c>
      <c r="G99" s="1" t="str">
        <v>Not Run</v>
      </c>
    </row>
    <row r="100">
      <c r="A100" s="1" t="str">
        <v>VEN-040</v>
      </c>
      <c r="B100" s="1" t="str">
        <v>Vendor</v>
      </c>
      <c r="C100" s="1" t="str">
        <v>Form Actions</v>
      </c>
      <c r="D100" s="1" t="str">
        <v>Delete Vendor (if permitted)</v>
      </c>
      <c r="E100" s="1" t="str">
        <v>High</v>
      </c>
      <c r="F100" s="1" t="str">
        <v>BR-VEN-11</v>
      </c>
      <c r="G100" s="1" t="str">
        <v>Not Run</v>
      </c>
    </row>
    <row r="101">
      <c r="A101" s="1" t="str">
        <v>▌ Attendance</v>
      </c>
    </row>
    <row r="102">
      <c r="A102" s="1" t="str">
        <v>ATT-001</v>
      </c>
      <c r="B102" s="1" t="str">
        <v>Attendance</v>
      </c>
      <c r="C102" s="1" t="str">
        <v>Attendance Creation &amp; Basic Details</v>
      </c>
      <c r="D102" s="1" t="str">
        <v>Create Attendance with mandatory fields only (Employee, Status, Attendance Date)</v>
      </c>
      <c r="E102" s="1" t="str">
        <v>Critical</v>
      </c>
      <c r="F102" s="1" t="str">
        <v>BR-ATT-01</v>
      </c>
      <c r="G102" s="1" t="str">
        <v>Not Run</v>
      </c>
    </row>
    <row r="103">
      <c r="A103" s="1" t="str">
        <v>ATT-002</v>
      </c>
      <c r="B103" s="1" t="str">
        <v>Attendance</v>
      </c>
      <c r="C103" s="1" t="str">
        <v>Attendance Creation &amp; Basic Details</v>
      </c>
      <c r="D103" s="1" t="str">
        <v>Create Attendance with all basic fields (Employee, Status, Date, Company, Shift)</v>
      </c>
      <c r="E103" s="1" t="str">
        <v>Critical</v>
      </c>
      <c r="F103" s="1" t="str">
        <v>BR-ATT-01, BR-ATT-02</v>
      </c>
      <c r="G103" s="1" t="str">
        <v>Not Run</v>
      </c>
    </row>
    <row r="104">
      <c r="A104" s="1" t="str">
        <v>ATT-003</v>
      </c>
      <c r="B104" s="1" t="str">
        <v>Attendance</v>
      </c>
      <c r="C104" s="1" t="str">
        <v>Attendance Creation &amp; Basic Details</v>
      </c>
      <c r="D104" s="1" t="str">
        <v>Create Attendance with Status as Present</v>
      </c>
      <c r="E104" s="1" t="str">
        <v>Critical</v>
      </c>
      <c r="F104" s="1" t="str">
        <v>BR-ATT-03</v>
      </c>
      <c r="G104" s="1" t="str">
        <v>Not Run</v>
      </c>
    </row>
    <row r="105">
      <c r="A105" s="1" t="str">
        <v>ATT-004</v>
      </c>
      <c r="B105" s="1" t="str">
        <v>Attendance</v>
      </c>
      <c r="C105" s="1" t="str">
        <v>Attendance Creation &amp; Basic Details</v>
      </c>
      <c r="D105" s="1" t="str">
        <v>Create Attendance with Status as Absent</v>
      </c>
      <c r="E105" s="1" t="str">
        <v>Critical</v>
      </c>
      <c r="F105" s="1" t="str">
        <v>BR-ATT-03</v>
      </c>
      <c r="G105" s="1" t="str">
        <v>Not Run</v>
      </c>
    </row>
    <row r="106">
      <c r="A106" s="1" t="str">
        <v>ATT-005</v>
      </c>
      <c r="B106" s="1" t="str">
        <v>Attendance</v>
      </c>
      <c r="C106" s="1" t="str">
        <v>Attendance Creation &amp; Basic Details</v>
      </c>
      <c r="D106" s="1" t="str">
        <v>Create Attendance with Status as Leave</v>
      </c>
      <c r="E106" s="1" t="str">
        <v>High</v>
      </c>
      <c r="F106" s="1" t="str">
        <v>BR-ATT-03</v>
      </c>
      <c r="G106" s="1" t="str">
        <v>Not Run</v>
      </c>
    </row>
    <row r="107">
      <c r="A107" s="1" t="str">
        <v>ATT-006</v>
      </c>
      <c r="B107" s="1" t="str">
        <v>Attendance</v>
      </c>
      <c r="C107" s="1" t="str">
        <v>Attendance Creation &amp; Basic Details</v>
      </c>
      <c r="D107" s="1" t="str">
        <v>Create Attendance with Status as Half Day</v>
      </c>
      <c r="E107" s="1" t="str">
        <v>High</v>
      </c>
      <c r="F107" s="1" t="str">
        <v>BR-ATT-03</v>
      </c>
      <c r="G107" s="1" t="str">
        <v>Not Run</v>
      </c>
    </row>
    <row r="108">
      <c r="A108" s="1" t="str">
        <v>ATT-007</v>
      </c>
      <c r="B108" s="1" t="str">
        <v>Attendance</v>
      </c>
      <c r="C108" s="1" t="str">
        <v>Series &amp; Auto-generation</v>
      </c>
      <c r="D108" s="1" t="str">
        <v>Series field is auto-generated in format HR-ATT-.YYYY.-</v>
      </c>
      <c r="E108" s="1" t="str">
        <v>Critical</v>
      </c>
      <c r="F108" s="1" t="str">
        <v>BR-ATT-04</v>
      </c>
      <c r="G108" s="1" t="str">
        <v>Not Run</v>
      </c>
    </row>
    <row r="109">
      <c r="A109" s="1" t="str">
        <v>ATT-008</v>
      </c>
      <c r="B109" s="1" t="str">
        <v>Attendance</v>
      </c>
      <c r="C109" s="1" t="str">
        <v>Series &amp; Auto-generation</v>
      </c>
      <c r="D109" s="1" t="str">
        <v>Series field cannot be manually edited</v>
      </c>
      <c r="E109" s="1" t="str">
        <v>High</v>
      </c>
      <c r="F109" s="1" t="str">
        <v>BR-ATT-04</v>
      </c>
      <c r="G109" s="1" t="str">
        <v>Not Run</v>
      </c>
    </row>
    <row r="110">
      <c r="A110" s="1" t="str">
        <v>ATT-009</v>
      </c>
      <c r="B110" s="1" t="str">
        <v>Attendance</v>
      </c>
      <c r="C110" s="1" t="str">
        <v>Series &amp; Auto-generation</v>
      </c>
      <c r="D110" s="1" t="str">
        <v>Unique Series is generated for each attendance record</v>
      </c>
      <c r="E110" s="1" t="str">
        <v>Critical</v>
      </c>
      <c r="F110" s="1" t="str">
        <v>BR-ATT-04</v>
      </c>
      <c r="G110" s="1" t="str">
        <v>Not Run</v>
      </c>
    </row>
    <row r="111">
      <c r="A111" s="1" t="str">
        <v>ATT-010</v>
      </c>
      <c r="B111" s="1" t="str">
        <v>Attendance</v>
      </c>
      <c r="C111" s="1" t="str">
        <v>Employee Selection</v>
      </c>
      <c r="D111" s="1" t="str">
        <v>Valid employee can be selected from dropdown</v>
      </c>
      <c r="E111" s="1" t="str">
        <v>Critical</v>
      </c>
      <c r="F111" s="1" t="str">
        <v>BR-ATT-05</v>
      </c>
      <c r="G111" s="1" t="str">
        <v>Not Run</v>
      </c>
    </row>
    <row r="112">
      <c r="A112" s="1" t="str">
        <v>ATT-011</v>
      </c>
      <c r="B112" s="1" t="str">
        <v>Attendance</v>
      </c>
      <c r="C112" s="1" t="str">
        <v>Employee Selection</v>
      </c>
      <c r="D112" s="1" t="str">
        <v>Invalid/non-existent employee is rejected</v>
      </c>
      <c r="E112" s="1" t="str">
        <v>Critical</v>
      </c>
      <c r="F112" s="1" t="str">
        <v>BR-ATT-05</v>
      </c>
      <c r="G112" s="1" t="str">
        <v>Not Run</v>
      </c>
    </row>
    <row r="113">
      <c r="A113" s="1" t="str">
        <v>ATT-012</v>
      </c>
      <c r="B113" s="1" t="str">
        <v>Attendance</v>
      </c>
      <c r="C113" s="1" t="str">
        <v>Employee Selection</v>
      </c>
      <c r="D113" s="1" t="str">
        <v>Employee field is mandatory and cannot be left blank</v>
      </c>
      <c r="E113" s="1" t="str">
        <v>Critical</v>
      </c>
      <c r="F113" s="1" t="str">
        <v>BR-ATT-05</v>
      </c>
      <c r="G113" s="1" t="str">
        <v>Not Run</v>
      </c>
    </row>
    <row r="114">
      <c r="A114" s="1" t="str">
        <v>ATT-013</v>
      </c>
      <c r="B114" s="1" t="str">
        <v>Attendance</v>
      </c>
      <c r="C114" s="1" t="str">
        <v>Employee Selection</v>
      </c>
      <c r="D114" s="1" t="str">
        <v>Duplicate attendance for same employee on same date is blocked</v>
      </c>
      <c r="E114" s="1" t="str">
        <v>Critical</v>
      </c>
      <c r="F114" s="1" t="str">
        <v>BR-ATT-06</v>
      </c>
      <c r="G114" s="1" t="str">
        <v>Not Run</v>
      </c>
    </row>
    <row r="115">
      <c r="A115" s="1" t="str">
        <v>ATT-014</v>
      </c>
      <c r="B115" s="1" t="str">
        <v>Attendance</v>
      </c>
      <c r="C115" s="1" t="str">
        <v>Attendance Date</v>
      </c>
      <c r="D115" s="1" t="str">
        <v>Valid attendance date is accepted</v>
      </c>
      <c r="E115" s="1" t="str">
        <v>Critical</v>
      </c>
      <c r="F115" s="1" t="str">
        <v>BR-ATT-07</v>
      </c>
      <c r="G115" s="1" t="str">
        <v>Not Run</v>
      </c>
    </row>
    <row r="116">
      <c r="A116" s="1" t="str">
        <v>ATT-015</v>
      </c>
      <c r="B116" s="1" t="str">
        <v>Attendance</v>
      </c>
      <c r="C116" s="1" t="str">
        <v>Attendance Date</v>
      </c>
      <c r="D116" s="1" t="str">
        <v>Attendance Date cannot be left blank (mandatory)</v>
      </c>
      <c r="E116" s="1" t="str">
        <v>Critical</v>
      </c>
      <c r="F116" s="1" t="str">
        <v>BR-ATT-07</v>
      </c>
      <c r="G116" s="1" t="str">
        <v>Not Run</v>
      </c>
    </row>
    <row r="117">
      <c r="A117" s="1" t="str">
        <v>ATT-016</v>
      </c>
      <c r="B117" s="1" t="str">
        <v>Attendance</v>
      </c>
      <c r="C117" s="1" t="str">
        <v>Attendance Date</v>
      </c>
      <c r="D117" s="1" t="str">
        <v>Future attendance date is accepted</v>
      </c>
      <c r="E117" s="1" t="str">
        <v>Medium</v>
      </c>
      <c r="F117" s="1" t="str">
        <v>BR-ATT-07</v>
      </c>
      <c r="G117" s="1" t="str">
        <v>Not Run</v>
      </c>
    </row>
    <row r="118">
      <c r="A118" s="1" t="str">
        <v>ATT-017</v>
      </c>
      <c r="B118" s="1" t="str">
        <v>Attendance</v>
      </c>
      <c r="C118" s="1" t="str">
        <v>Attendance Date</v>
      </c>
      <c r="D118" s="1" t="str">
        <v>Past attendance date is accepted</v>
      </c>
      <c r="E118" s="1" t="str">
        <v>High</v>
      </c>
      <c r="F118" s="1" t="str">
        <v>BR-ATT-07</v>
      </c>
      <c r="G118" s="1" t="str">
        <v>Not Run</v>
      </c>
    </row>
    <row r="119">
      <c r="A119" s="1" t="str">
        <v>ATT-018</v>
      </c>
      <c r="B119" s="1" t="str">
        <v>Attendance</v>
      </c>
      <c r="C119" s="1" t="str">
        <v>Attendance Date</v>
      </c>
      <c r="D119" s="1" t="str">
        <v>Invalid date format is rejected</v>
      </c>
      <c r="E119" s="1" t="str">
        <v>Critical</v>
      </c>
      <c r="F119" s="1" t="str">
        <v>BR-ATT-07</v>
      </c>
      <c r="G119" s="1" t="str">
        <v>Not Run</v>
      </c>
    </row>
    <row r="120">
      <c r="A120" s="1" t="str">
        <v>ATT-019</v>
      </c>
      <c r="B120" s="1" t="str">
        <v>Attendance</v>
      </c>
      <c r="C120" s="1" t="str">
        <v>Status Management</v>
      </c>
      <c r="D120" s="1" t="str">
        <v>Status dropdown shows all available options (Present, Absent, Leave, Half Day)</v>
      </c>
      <c r="E120" s="1" t="str">
        <v>High</v>
      </c>
      <c r="F120" s="1" t="str">
        <v>BR-ATT-03</v>
      </c>
      <c r="G120" s="1" t="str">
        <v>Not Run</v>
      </c>
    </row>
    <row r="121">
      <c r="A121" s="1" t="str">
        <v>ATT-020</v>
      </c>
      <c r="B121" s="1" t="str">
        <v>Attendance</v>
      </c>
      <c r="C121" s="1" t="str">
        <v>Status Management</v>
      </c>
      <c r="D121" s="1" t="str">
        <v>Status cannot be left blank (mandatory)</v>
      </c>
      <c r="E121" s="1" t="str">
        <v>Critical</v>
      </c>
      <c r="F121" s="1" t="str">
        <v>BR-ATT-03</v>
      </c>
      <c r="G121" s="1" t="str">
        <v>Not Run</v>
      </c>
    </row>
    <row r="122">
      <c r="A122" s="1" t="str">
        <v>ATT-021</v>
      </c>
      <c r="B122" s="1" t="str">
        <v>Attendance</v>
      </c>
      <c r="C122" s="1" t="str">
        <v>Status Management</v>
      </c>
      <c r="D122" s="1" t="str">
        <v>Status can be changed after creation</v>
      </c>
      <c r="E122" s="1" t="str">
        <v>High</v>
      </c>
      <c r="F122" s="1" t="str">
        <v>BR-ATT-03</v>
      </c>
      <c r="G122" s="1" t="str">
        <v>Not Run</v>
      </c>
    </row>
    <row r="123">
      <c r="A123" s="1" t="str">
        <v>ATT-022</v>
      </c>
      <c r="B123" s="1" t="str">
        <v>Attendance</v>
      </c>
      <c r="C123" s="1" t="str">
        <v>Company Assignment</v>
      </c>
      <c r="D123" s="1" t="str">
        <v>Valid company is selected and displayed</v>
      </c>
      <c r="E123" s="1" t="str">
        <v>High</v>
      </c>
      <c r="F123" s="1" t="str">
        <v>BR-ATT-08</v>
      </c>
      <c r="G123" s="1" t="str">
        <v>Not Run</v>
      </c>
    </row>
    <row r="124">
      <c r="A124" s="1" t="str">
        <v>ATT-023</v>
      </c>
      <c r="B124" s="1" t="str">
        <v>Attendance</v>
      </c>
      <c r="C124" s="1" t="str">
        <v>Company Assignment</v>
      </c>
      <c r="D124" s="1" t="str">
        <v>Company field is auto-populated based on employee</v>
      </c>
      <c r="E124" s="1" t="str">
        <v>High</v>
      </c>
      <c r="F124" s="1" t="str">
        <v>BR-ATT-08</v>
      </c>
      <c r="G124" s="1" t="str">
        <v>Not Run</v>
      </c>
    </row>
    <row r="125">
      <c r="A125" s="1" t="str">
        <v>ATT-024</v>
      </c>
      <c r="B125" s="1" t="str">
        <v>Attendance</v>
      </c>
      <c r="C125" s="1" t="str">
        <v>Company Assignment</v>
      </c>
      <c r="D125" s="1" t="str">
        <v>Company field can be manually changed</v>
      </c>
      <c r="E125" s="1" t="str">
        <v>Medium</v>
      </c>
      <c r="F125" s="1" t="str">
        <v>BR-ATT-08</v>
      </c>
      <c r="G125" s="1" t="str">
        <v>Not Run</v>
      </c>
    </row>
    <row r="126">
      <c r="A126" s="1" t="str">
        <v>ATT-025</v>
      </c>
      <c r="B126" s="1" t="str">
        <v>Attendance</v>
      </c>
      <c r="C126" s="1" t="str">
        <v>Shift Details</v>
      </c>
      <c r="D126" s="1" t="str">
        <v>Valid shift can be selected from dropdown</v>
      </c>
      <c r="E126" s="1" t="str">
        <v>High</v>
      </c>
      <c r="F126" s="1" t="str">
        <v>BR-ATT-09</v>
      </c>
      <c r="G126" s="1" t="str">
        <v>Not Run</v>
      </c>
    </row>
    <row r="127">
      <c r="A127" s="1" t="str">
        <v>ATT-026</v>
      </c>
      <c r="B127" s="1" t="str">
        <v>Attendance</v>
      </c>
      <c r="C127" s="1" t="str">
        <v>Shift Details</v>
      </c>
      <c r="D127" s="1" t="str">
        <v>Shift field is optional and can be left blank</v>
      </c>
      <c r="E127" s="1" t="str">
        <v>Medium</v>
      </c>
      <c r="F127" s="1" t="str">
        <v>BR-ATT-09</v>
      </c>
      <c r="G127" s="1" t="str">
        <v>Not Run</v>
      </c>
    </row>
    <row r="128">
      <c r="A128" s="1" t="str">
        <v>ATT-027</v>
      </c>
      <c r="B128" s="1" t="str">
        <v>Attendance</v>
      </c>
      <c r="C128" s="1" t="str">
        <v>Shift Details</v>
      </c>
      <c r="D128" s="1" t="str">
        <v>Shift auto-populates based on employee's assigned shift</v>
      </c>
      <c r="E128" s="1" t="str">
        <v>High</v>
      </c>
      <c r="F128" s="1" t="str">
        <v>BR-ATT-09</v>
      </c>
      <c r="G128" s="1" t="str">
        <v>Not Run</v>
      </c>
    </row>
    <row r="129">
      <c r="A129" s="1" t="str">
        <v>ATT-028</v>
      </c>
      <c r="B129" s="1" t="str">
        <v>Attendance</v>
      </c>
      <c r="C129" s="1" t="str">
        <v>Shift Details</v>
      </c>
      <c r="D129" s="1" t="str">
        <v>Multiple shifts can be assigned to same employee on different dates</v>
      </c>
      <c r="E129" s="1" t="str">
        <v>Medium</v>
      </c>
      <c r="F129" s="1" t="str">
        <v>BR-ATT-09</v>
      </c>
      <c r="G129" s="1" t="str">
        <v>Not Run</v>
      </c>
    </row>
    <row r="130">
      <c r="A130" s="1" t="str">
        <v>ATT-029</v>
      </c>
      <c r="B130" s="1" t="str">
        <v>Attendance</v>
      </c>
      <c r="C130" s="1" t="str">
        <v>Late Entry Tracking</v>
      </c>
      <c r="D130" s="1" t="str">
        <v>Late Entry checkbox can be marked</v>
      </c>
      <c r="E130" s="1" t="str">
        <v>High</v>
      </c>
      <c r="F130" s="1" t="str">
        <v>BR-ATT-10</v>
      </c>
      <c r="G130" s="1" t="str">
        <v>Not Run</v>
      </c>
    </row>
    <row r="131">
      <c r="A131" s="1" t="str">
        <v>ATT-030</v>
      </c>
      <c r="B131" s="1" t="str">
        <v>Attendance</v>
      </c>
      <c r="C131" s="1" t="str">
        <v>Late Entry Tracking</v>
      </c>
      <c r="D131" s="1" t="str">
        <v>Late Entry is checked when employee arrives after scheduled time</v>
      </c>
      <c r="E131" s="1" t="str">
        <v>High</v>
      </c>
      <c r="F131" s="1" t="str">
        <v>BR-ATT-10</v>
      </c>
      <c r="G131" s="1" t="str">
        <v>Not Run</v>
      </c>
    </row>
    <row r="132">
      <c r="A132" s="1" t="str">
        <v>ATT-031</v>
      </c>
      <c r="B132" s="1" t="str">
        <v>Attendance</v>
      </c>
      <c r="C132" s="1" t="str">
        <v>Late Entry Tracking</v>
      </c>
      <c r="D132" s="1" t="str">
        <v>Late Entry with Present status is valid</v>
      </c>
      <c r="E132" s="1" t="str">
        <v>Critical</v>
      </c>
      <c r="F132" s="1" t="str">
        <v>BR-ATT-10</v>
      </c>
      <c r="G132" s="1" t="str">
        <v>Not Run</v>
      </c>
    </row>
    <row r="133">
      <c r="A133" s="1" t="str">
        <v>ATT-032</v>
      </c>
      <c r="B133" s="1" t="str">
        <v>Attendance</v>
      </c>
      <c r="C133" s="1" t="str">
        <v>Late Entry Tracking</v>
      </c>
      <c r="D133" s="1" t="str">
        <v>Late Entry with Absent status is invalid</v>
      </c>
      <c r="E133" s="1" t="str">
        <v>Critical</v>
      </c>
      <c r="F133" s="1" t="str">
        <v>BR-ATT-10</v>
      </c>
      <c r="G133" s="1" t="str">
        <v>Not Run</v>
      </c>
    </row>
    <row r="134">
      <c r="A134" s="1" t="str">
        <v>ATT-033</v>
      </c>
      <c r="B134" s="1" t="str">
        <v>Attendance</v>
      </c>
      <c r="C134" s="1" t="str">
        <v>Late Entry Tracking</v>
      </c>
      <c r="D134" s="1" t="str">
        <v>Late Entry checkbox can be unchecked</v>
      </c>
      <c r="E134" s="1" t="str">
        <v>Medium</v>
      </c>
      <c r="F134" s="1" t="str">
        <v>BR-ATT-10</v>
      </c>
      <c r="G134" s="1" t="str">
        <v>Not Run</v>
      </c>
    </row>
    <row r="135">
      <c r="A135" s="1" t="str">
        <v>ATT-034</v>
      </c>
      <c r="B135" s="1" t="str">
        <v>Attendance</v>
      </c>
      <c r="C135" s="1" t="str">
        <v>Early Exit Tracking</v>
      </c>
      <c r="D135" s="1" t="str">
        <v>Early Exit checkbox can be marked</v>
      </c>
      <c r="E135" s="1" t="str">
        <v>High</v>
      </c>
      <c r="F135" s="1" t="str">
        <v>BR-ATT-11</v>
      </c>
      <c r="G135" s="1" t="str">
        <v>Not Run</v>
      </c>
    </row>
    <row r="136">
      <c r="A136" s="1" t="str">
        <v>ATT-035</v>
      </c>
      <c r="B136" s="1" t="str">
        <v>Attendance</v>
      </c>
      <c r="C136" s="1" t="str">
        <v>Early Exit Tracking</v>
      </c>
      <c r="D136" s="1" t="str">
        <v>Early Exit is checked when employee leaves before scheduled time</v>
      </c>
      <c r="E136" s="1" t="str">
        <v>High</v>
      </c>
      <c r="F136" s="1" t="str">
        <v>BR-ATT-11</v>
      </c>
      <c r="G136" s="1" t="str">
        <v>Not Run</v>
      </c>
    </row>
    <row r="137">
      <c r="A137" s="1" t="str">
        <v>ATT-036</v>
      </c>
      <c r="B137" s="1" t="str">
        <v>Attendance</v>
      </c>
      <c r="C137" s="1" t="str">
        <v>Early Exit Tracking</v>
      </c>
      <c r="D137" s="1" t="str">
        <v>Early Exit with Present status is valid</v>
      </c>
      <c r="E137" s="1" t="str">
        <v>Critical</v>
      </c>
      <c r="F137" s="1" t="str">
        <v>BR-ATT-11</v>
      </c>
      <c r="G137" s="1" t="str">
        <v>Not Run</v>
      </c>
    </row>
    <row r="138">
      <c r="A138" s="1" t="str">
        <v>ATT-037</v>
      </c>
      <c r="B138" s="1" t="str">
        <v>Attendance</v>
      </c>
      <c r="C138" s="1" t="str">
        <v>Early Exit Tracking</v>
      </c>
      <c r="D138" s="1" t="str">
        <v>Early Exit with Absent status is invalid</v>
      </c>
      <c r="E138" s="1" t="str">
        <v>Critical</v>
      </c>
      <c r="F138" s="1" t="str">
        <v>BR-ATT-11</v>
      </c>
      <c r="G138" s="1" t="str">
        <v>Not Run</v>
      </c>
    </row>
    <row r="139">
      <c r="A139" s="1" t="str">
        <v>ATT-038</v>
      </c>
      <c r="B139" s="1" t="str">
        <v>Attendance</v>
      </c>
      <c r="C139" s="1" t="str">
        <v>Early Exit Tracking</v>
      </c>
      <c r="D139" s="1" t="str">
        <v>Early Exit checkbox can be unchecked</v>
      </c>
      <c r="E139" s="1" t="str">
        <v>Medium</v>
      </c>
      <c r="F139" s="1" t="str">
        <v>BR-ATT-11</v>
      </c>
      <c r="G139" s="1" t="str">
        <v>Not Run</v>
      </c>
    </row>
    <row r="140">
      <c r="A140" s="1" t="str">
        <v>ATT-039</v>
      </c>
      <c r="B140" s="1" t="str">
        <v>Attendance</v>
      </c>
      <c r="C140" s="1" t="str">
        <v>Late Entry &amp; Early Exit Combination</v>
      </c>
      <c r="D140" s="1" t="str">
        <v>Both Late Entry and Early Exit can be checked together</v>
      </c>
      <c r="E140" s="1" t="str">
        <v>High</v>
      </c>
      <c r="F140" s="1" t="str">
        <v>BR-ATT-12</v>
      </c>
      <c r="G140" s="1" t="str">
        <v>Not Run</v>
      </c>
    </row>
    <row r="141">
      <c r="A141" s="1" t="str">
        <v>ATT-040</v>
      </c>
      <c r="B141" s="1" t="str">
        <v>Attendance</v>
      </c>
      <c r="C141" s="1" t="str">
        <v>Late Entry &amp; Early Exit Combination</v>
      </c>
      <c r="D141" s="1" t="str">
        <v>Both Late Entry and Early Exit cannot be checked with Absent status</v>
      </c>
      <c r="E141" s="1" t="str">
        <v>Critical</v>
      </c>
      <c r="F141" s="1" t="str">
        <v>BR-ATT-12</v>
      </c>
      <c r="G141" s="1" t="str">
        <v>Not Run</v>
      </c>
    </row>
    <row r="142">
      <c r="A142" s="1" t="str">
        <v>ATT-041</v>
      </c>
      <c r="B142" s="1" t="str">
        <v>Attendance</v>
      </c>
      <c r="C142" s="1" t="str">
        <v>Data Validation</v>
      </c>
      <c r="D142" s="1" t="str">
        <v>Attendance cannot be saved without Employee</v>
      </c>
      <c r="E142" s="1" t="str">
        <v>Critical</v>
      </c>
      <c r="F142" s="1" t="str">
        <v>BR-ATT-05</v>
      </c>
      <c r="G142" s="1" t="str">
        <v>Not Run</v>
      </c>
    </row>
    <row r="143">
      <c r="A143" s="1" t="str">
        <v>ATT-042</v>
      </c>
      <c r="B143" s="1" t="str">
        <v>Attendance</v>
      </c>
      <c r="C143" s="1" t="str">
        <v>Data Validation</v>
      </c>
      <c r="D143" s="1" t="str">
        <v>Attendance cannot be saved without Status</v>
      </c>
      <c r="E143" s="1" t="str">
        <v>Critical</v>
      </c>
      <c r="F143" s="1" t="str">
        <v>BR-ATT-03</v>
      </c>
      <c r="G143" s="1" t="str">
        <v>Not Run</v>
      </c>
    </row>
    <row r="144">
      <c r="A144" s="1" t="str">
        <v>ATT-043</v>
      </c>
      <c r="B144" s="1" t="str">
        <v>Attendance</v>
      </c>
      <c r="C144" s="1" t="str">
        <v>Data Validation</v>
      </c>
      <c r="D144" s="1" t="str">
        <v>Attendance cannot be saved without Attendance Date</v>
      </c>
      <c r="E144" s="1" t="str">
        <v>Critical</v>
      </c>
      <c r="F144" s="1" t="str">
        <v>BR-ATT-07</v>
      </c>
      <c r="G144" s="1" t="str">
        <v>Not Run</v>
      </c>
    </row>
    <row r="145">
      <c r="A145" s="1" t="str">
        <v>ATT-044</v>
      </c>
      <c r="B145" s="1" t="str">
        <v>Attendance</v>
      </c>
      <c r="C145" s="1" t="str">
        <v>Editing &amp; Updates</v>
      </c>
      <c r="D145" s="1" t="str">
        <v>Edit existing Attendance Status</v>
      </c>
      <c r="E145" s="1" t="str">
        <v>High</v>
      </c>
      <c r="F145" s="1" t="str">
        <v>BR-ATT-13</v>
      </c>
      <c r="G145" s="1" t="str">
        <v>Not Run</v>
      </c>
    </row>
    <row r="146">
      <c r="A146" s="1" t="str">
        <v>ATT-045</v>
      </c>
      <c r="B146" s="1" t="str">
        <v>Attendance</v>
      </c>
      <c r="C146" s="1" t="str">
        <v>Editing &amp; Updates</v>
      </c>
      <c r="D146" s="1" t="str">
        <v>Edit Employee in existing Attendance</v>
      </c>
      <c r="E146" s="1" t="str">
        <v>High</v>
      </c>
      <c r="F146" s="1" t="str">
        <v>BR-ATT-13</v>
      </c>
      <c r="G146" s="1" t="str">
        <v>Not Run</v>
      </c>
    </row>
    <row r="147">
      <c r="A147" s="1" t="str">
        <v>ATT-046</v>
      </c>
      <c r="B147" s="1" t="str">
        <v>Attendance</v>
      </c>
      <c r="C147" s="1" t="str">
        <v>Editing &amp; Updates</v>
      </c>
      <c r="D147" s="1" t="str">
        <v>Edit Attendance Date</v>
      </c>
      <c r="E147" s="1" t="str">
        <v>High</v>
      </c>
      <c r="F147" s="1" t="str">
        <v>BR-ATT-13</v>
      </c>
      <c r="G147" s="1" t="str">
        <v>Not Run</v>
      </c>
    </row>
    <row r="148">
      <c r="A148" s="1" t="str">
        <v>ATT-047</v>
      </c>
      <c r="B148" s="1" t="str">
        <v>Attendance</v>
      </c>
      <c r="C148" s="1" t="str">
        <v>Editing &amp; Updates</v>
      </c>
      <c r="D148" s="1" t="str">
        <v>Edit Shift details</v>
      </c>
      <c r="E148" s="1" t="str">
        <v>Medium</v>
      </c>
      <c r="F148" s="1" t="str">
        <v>BR-ATT-13</v>
      </c>
      <c r="G148" s="1" t="str">
        <v>Not Run</v>
      </c>
    </row>
    <row r="149">
      <c r="A149" s="1" t="str">
        <v>ATT-048</v>
      </c>
      <c r="B149" s="1" t="str">
        <v>Attendance</v>
      </c>
      <c r="C149" s="1" t="str">
        <v>Editing &amp; Updates</v>
      </c>
      <c r="D149" s="1" t="str">
        <v>Toggle Late Entry checkbox</v>
      </c>
      <c r="E149" s="1" t="str">
        <v>Medium</v>
      </c>
      <c r="F149" s="1" t="str">
        <v>BR-ATT-13</v>
      </c>
      <c r="G149" s="1" t="str">
        <v>Not Run</v>
      </c>
    </row>
    <row r="150">
      <c r="A150" s="1" t="str">
        <v>ATT-049</v>
      </c>
      <c r="B150" s="1" t="str">
        <v>Attendance</v>
      </c>
      <c r="C150" s="1" t="str">
        <v>Editing &amp; Updates</v>
      </c>
      <c r="D150" s="1" t="str">
        <v>Toggle Early Exit checkbox</v>
      </c>
      <c r="E150" s="1" t="str">
        <v>Medium</v>
      </c>
      <c r="F150" s="1" t="str">
        <v>BR-ATT-13</v>
      </c>
      <c r="G150" s="1" t="str">
        <v>Not Run</v>
      </c>
    </row>
    <row r="151">
      <c r="A151" s="1" t="str">
        <v>ATT-050</v>
      </c>
      <c r="B151" s="1" t="str">
        <v>Attendance</v>
      </c>
      <c r="C151" s="1" t="str">
        <v>Form Actions</v>
      </c>
      <c r="D151" s="1" t="str">
        <v>Save Attendance successfully</v>
      </c>
      <c r="E151" s="1" t="str">
        <v>Critical</v>
      </c>
      <c r="F151" s="1" t="str">
        <v>BR-ATT-01</v>
      </c>
      <c r="G151" s="1" t="str">
        <v>Not Run</v>
      </c>
    </row>
    <row r="152">
      <c r="A152" s="1" t="str">
        <v>ATT-051</v>
      </c>
      <c r="B152" s="1" t="str">
        <v>Attendance</v>
      </c>
      <c r="C152" s="1" t="str">
        <v>Form Actions</v>
      </c>
      <c r="D152" s="1" t="str">
        <v>Form shows "Not Saved" status before save</v>
      </c>
      <c r="E152" s="1" t="str">
        <v>Medium</v>
      </c>
      <c r="F152" s="1" t="str">
        <v>BR-ATT-14</v>
      </c>
      <c r="G152" s="1" t="str">
        <v>Not Run</v>
      </c>
    </row>
    <row r="153">
      <c r="A153" s="1" t="str">
        <v>ATT-052</v>
      </c>
      <c r="B153" s="1" t="str">
        <v>Attendance</v>
      </c>
      <c r="C153" s="1" t="str">
        <v>Form Actions</v>
      </c>
      <c r="D153" s="1" t="str">
        <v>Form shows "Saved" status after successful save</v>
      </c>
      <c r="E153" s="1" t="str">
        <v>Medium</v>
      </c>
      <c r="F153" s="1" t="str">
        <v>BR-ATT-14</v>
      </c>
      <c r="G153" s="1" t="str">
        <v>Not Run</v>
      </c>
    </row>
    <row r="154">
      <c r="A154" s="1" t="str">
        <v>▌ Expense Claim</v>
      </c>
    </row>
    <row r="155">
      <c r="A155" s="1" t="str">
        <v>EXP-001</v>
      </c>
      <c r="B155" s="1" t="str">
        <v>Expense Claim</v>
      </c>
      <c r="C155" s="1" t="str">
        <v>Expense Claim Creation &amp; Basic Details</v>
      </c>
      <c r="D155" s="1" t="str">
        <v>Create Expense Claim with mandatory fields only (From Employee, Expense Approver)</v>
      </c>
      <c r="E155" s="1" t="str">
        <v>Critical</v>
      </c>
      <c r="F155" s="1" t="str">
        <v>BR-EXP-01</v>
      </c>
      <c r="G155" s="1" t="str">
        <v>Not Run</v>
      </c>
    </row>
    <row r="156">
      <c r="A156" s="1" t="str">
        <v>EXP-002</v>
      </c>
      <c r="B156" s="1" t="str">
        <v>Expense Claim</v>
      </c>
      <c r="C156" s="1" t="str">
        <v>Expense Claim Creation &amp; Basic Details</v>
      </c>
      <c r="D156" s="1" t="str">
        <v>Create Expense Claim with all basic fields (Employee, Department, Company, Approver)</v>
      </c>
      <c r="E156" s="1" t="str">
        <v>Critical</v>
      </c>
      <c r="F156" s="1" t="str">
        <v>BR-EXP-01, BR-EXP-02</v>
      </c>
      <c r="G156" s="1" t="str">
        <v>Not Run</v>
      </c>
    </row>
    <row r="157">
      <c r="A157" s="1" t="str">
        <v>EXP-003</v>
      </c>
      <c r="B157" s="1" t="str">
        <v>Expense Claim</v>
      </c>
      <c r="C157" s="1" t="str">
        <v>Series &amp; Auto-generation</v>
      </c>
      <c r="D157" s="1" t="str">
        <v>Series field is auto-generated in format HR-EXP-.YYYY.-</v>
      </c>
      <c r="E157" s="1" t="str">
        <v>Critical</v>
      </c>
      <c r="F157" s="1" t="str">
        <v>BR-EXP-03</v>
      </c>
      <c r="G157" s="1" t="str">
        <v>Not Run</v>
      </c>
    </row>
    <row r="158">
      <c r="A158" s="1" t="str">
        <v>EXP-004</v>
      </c>
      <c r="B158" s="1" t="str">
        <v>Expense Claim</v>
      </c>
      <c r="C158" s="1" t="str">
        <v>Series &amp; Auto-generation</v>
      </c>
      <c r="D158" s="1" t="str">
        <v>Series field cannot be manually edited</v>
      </c>
      <c r="E158" s="1" t="str">
        <v>High</v>
      </c>
      <c r="F158" s="1" t="str">
        <v>BR-EXP-03</v>
      </c>
      <c r="G158" s="1" t="str">
        <v>Not Run</v>
      </c>
    </row>
    <row r="159">
      <c r="A159" s="1" t="str">
        <v>EXP-005</v>
      </c>
      <c r="B159" s="1" t="str">
        <v>Expense Claim</v>
      </c>
      <c r="C159" s="1" t="str">
        <v>Series &amp; Auto-generation</v>
      </c>
      <c r="D159" s="1" t="str">
        <v>Unique Series is generated for each expense claim record</v>
      </c>
      <c r="E159" s="1" t="str">
        <v>Critical</v>
      </c>
      <c r="F159" s="1" t="str">
        <v>BR-EXP-03</v>
      </c>
      <c r="G159" s="1" t="str">
        <v>Not Run</v>
      </c>
    </row>
    <row r="160">
      <c r="A160" s="1" t="str">
        <v>EXP-006</v>
      </c>
      <c r="B160" s="1" t="str">
        <v>Expense Claim</v>
      </c>
      <c r="C160" s="1" t="str">
        <v>Employee Selection</v>
      </c>
      <c r="D160" s="1" t="str">
        <v>Valid employee can be selected in From Employee field</v>
      </c>
      <c r="E160" s="1" t="str">
        <v>Critical</v>
      </c>
      <c r="F160" s="1" t="str">
        <v>BR-EXP-04</v>
      </c>
      <c r="G160" s="1" t="str">
        <v>Not Run</v>
      </c>
    </row>
    <row r="161">
      <c r="A161" s="1" t="str">
        <v>EXP-007</v>
      </c>
      <c r="B161" s="1" t="str">
        <v>Expense Claim</v>
      </c>
      <c r="C161" s="1" t="str">
        <v>Employee Selection</v>
      </c>
      <c r="D161" s="1" t="str">
        <v>Invalid/non-existent employee is rejected</v>
      </c>
      <c r="E161" s="1" t="str">
        <v>Critical</v>
      </c>
      <c r="F161" s="1" t="str">
        <v>BR-EXP-04</v>
      </c>
      <c r="G161" s="1" t="str">
        <v>Not Run</v>
      </c>
    </row>
    <row r="162">
      <c r="A162" s="1" t="str">
        <v>EXP-008</v>
      </c>
      <c r="B162" s="1" t="str">
        <v>Expense Claim</v>
      </c>
      <c r="C162" s="1" t="str">
        <v>Employee Selection</v>
      </c>
      <c r="D162" s="1" t="str">
        <v>From Employee field is mandatory and cannot be left blank</v>
      </c>
      <c r="E162" s="1" t="str">
        <v>Critical</v>
      </c>
      <c r="F162" s="1" t="str">
        <v>BR-EXP-04</v>
      </c>
      <c r="G162" s="1" t="str">
        <v>Not Run</v>
      </c>
    </row>
    <row r="163">
      <c r="A163" s="1" t="str">
        <v>EXP-009</v>
      </c>
      <c r="B163" s="1" t="str">
        <v>Expense Claim</v>
      </c>
      <c r="C163" s="1" t="str">
        <v>Employee Selection</v>
      </c>
      <c r="D163" s="1" t="str">
        <v>Department auto-populates based on selected employee</v>
      </c>
      <c r="E163" s="1" t="str">
        <v>High</v>
      </c>
      <c r="F163" s="1" t="str">
        <v>BR-EXP-04</v>
      </c>
      <c r="G163" s="1" t="str">
        <v>Not Run</v>
      </c>
    </row>
    <row r="164">
      <c r="A164" s="1" t="str">
        <v>EXP-010</v>
      </c>
      <c r="B164" s="1" t="str">
        <v>Expense Claim</v>
      </c>
      <c r="C164" s="1" t="str">
        <v>Company Details</v>
      </c>
      <c r="D164" s="1" t="str">
        <v>Valid company is selected and displayed</v>
      </c>
      <c r="E164" s="1" t="str">
        <v>Critical</v>
      </c>
      <c r="F164" s="1" t="str">
        <v>BR-EXP-05</v>
      </c>
      <c r="G164" s="1" t="str">
        <v>Not Run</v>
      </c>
    </row>
    <row r="165">
      <c r="A165" s="1" t="str">
        <v>EXP-011</v>
      </c>
      <c r="B165" s="1" t="str">
        <v>Expense Claim</v>
      </c>
      <c r="C165" s="1" t="str">
        <v>Company Details</v>
      </c>
      <c r="D165" s="1" t="str">
        <v>Company field is mandatory</v>
      </c>
      <c r="E165" s="1" t="str">
        <v>Critical</v>
      </c>
      <c r="F165" s="1" t="str">
        <v>BR-EXP-05</v>
      </c>
      <c r="G165" s="1" t="str">
        <v>Not Run</v>
      </c>
    </row>
    <row r="166">
      <c r="A166" s="1" t="str">
        <v>EXP-012</v>
      </c>
      <c r="B166" s="1" t="str">
        <v>Expense Claim</v>
      </c>
      <c r="C166" s="1" t="str">
        <v>Company Details</v>
      </c>
      <c r="D166" s="1" t="str">
        <v>Company GSTIN is auto-populated based on selected company</v>
      </c>
      <c r="E166" s="1" t="str">
        <v>High</v>
      </c>
      <c r="F166" s="1" t="str">
        <v>BR-EXP-05</v>
      </c>
      <c r="G166" s="1" t="str">
        <v>Not Run</v>
      </c>
    </row>
    <row r="167">
      <c r="A167" s="1" t="str">
        <v>EXP-013</v>
      </c>
      <c r="B167" s="1" t="str">
        <v>Expense Claim</v>
      </c>
      <c r="C167" s="1" t="str">
        <v>Company Details</v>
      </c>
      <c r="D167" s="1" t="str">
        <v>Company GSTIN field is read-only</v>
      </c>
      <c r="E167" s="1" t="str">
        <v>High</v>
      </c>
      <c r="F167" s="1" t="str">
        <v>BR-EXP-05</v>
      </c>
      <c r="G167" s="1" t="str">
        <v>Not Run</v>
      </c>
    </row>
    <row r="168">
      <c r="A168" s="1" t="str">
        <v>EXP-014</v>
      </c>
      <c r="B168" s="1" t="str">
        <v>Expense Claim</v>
      </c>
      <c r="C168" s="1" t="str">
        <v>Expense Approver</v>
      </c>
      <c r="D168" s="1" t="str">
        <v>Valid expense approver can be selected</v>
      </c>
      <c r="E168" s="1" t="str">
        <v>Critical</v>
      </c>
      <c r="F168" s="1" t="str">
        <v>BR-EXP-06</v>
      </c>
      <c r="G168" s="1" t="str">
        <v>Not Run</v>
      </c>
    </row>
    <row r="169">
      <c r="A169" s="1" t="str">
        <v>EXP-015</v>
      </c>
      <c r="B169" s="1" t="str">
        <v>Expense Claim</v>
      </c>
      <c r="C169" s="1" t="str">
        <v>Expense Approver</v>
      </c>
      <c r="D169" s="1" t="str">
        <v>Invalid approver is rejected</v>
      </c>
      <c r="E169" s="1" t="str">
        <v>Critical</v>
      </c>
      <c r="F169" s="1" t="str">
        <v>BR-EXP-06</v>
      </c>
      <c r="G169" s="1" t="str">
        <v>Not Run</v>
      </c>
    </row>
    <row r="170">
      <c r="A170" s="1" t="str">
        <v>EXP-016</v>
      </c>
      <c r="B170" s="1" t="str">
        <v>Expense Claim</v>
      </c>
      <c r="C170" s="1" t="str">
        <v>Expense Approver</v>
      </c>
      <c r="D170" s="1" t="str">
        <v>Expense Approver field is mandatory</v>
      </c>
      <c r="E170" s="1" t="str">
        <v>Critical</v>
      </c>
      <c r="F170" s="1" t="str">
        <v>BR-EXP-06</v>
      </c>
      <c r="G170" s="1" t="str">
        <v>Not Run</v>
      </c>
    </row>
    <row r="171">
      <c r="A171" s="1" t="str">
        <v>EXP-017</v>
      </c>
      <c r="B171" s="1" t="str">
        <v>Expense Claim</v>
      </c>
      <c r="C171" s="1" t="str">
        <v>Approval Status</v>
      </c>
      <c r="D171" s="1" t="str">
        <v>Approval Status defaults to Draft on creation</v>
      </c>
      <c r="E171" s="1" t="str">
        <v>Critical</v>
      </c>
      <c r="F171" s="1" t="str">
        <v>BR-EXP-07</v>
      </c>
      <c r="G171" s="1" t="str">
        <v>Not Run</v>
      </c>
    </row>
    <row r="172">
      <c r="A172" s="1" t="str">
        <v>EXP-018</v>
      </c>
      <c r="B172" s="1" t="str">
        <v>Expense Claim</v>
      </c>
      <c r="C172" s="1" t="str">
        <v>Approval Status</v>
      </c>
      <c r="D172" s="1" t="str">
        <v>Approval Status can be changed to Approved</v>
      </c>
      <c r="E172" s="1" t="str">
        <v>Critical</v>
      </c>
      <c r="F172" s="1" t="str">
        <v>BR-EXP-07</v>
      </c>
      <c r="G172" s="1" t="str">
        <v>Not Run</v>
      </c>
    </row>
    <row r="173">
      <c r="A173" s="1" t="str">
        <v>EXP-019</v>
      </c>
      <c r="B173" s="1" t="str">
        <v>Expense Claim</v>
      </c>
      <c r="C173" s="1" t="str">
        <v>Approval Status</v>
      </c>
      <c r="D173" s="1" t="str">
        <v>Approval Status can be changed to Rejected</v>
      </c>
      <c r="E173" s="1" t="str">
        <v>Critical</v>
      </c>
      <c r="F173" s="1" t="str">
        <v>BR-EXP-07</v>
      </c>
      <c r="G173" s="1" t="str">
        <v>Not Run</v>
      </c>
    </row>
    <row r="174">
      <c r="A174" s="1" t="str">
        <v>EXP-020</v>
      </c>
      <c r="B174" s="1" t="str">
        <v>Expense Claim</v>
      </c>
      <c r="C174" s="1" t="str">
        <v>Approval Status</v>
      </c>
      <c r="D174" s="1" t="str">
        <v>Approval Status can be changed to Returned</v>
      </c>
      <c r="E174" s="1" t="str">
        <v>High</v>
      </c>
      <c r="F174" s="1" t="str">
        <v>BR-EXP-07</v>
      </c>
      <c r="G174" s="1" t="str">
        <v>Not Run</v>
      </c>
    </row>
    <row r="175">
      <c r="A175" s="1" t="str">
        <v>EXP-021</v>
      </c>
      <c r="B175" s="1" t="str">
        <v>Expense Claim</v>
      </c>
      <c r="C175" s="1" t="str">
        <v>Expenses Table</v>
      </c>
      <c r="D175" s="1" t="str">
        <v>Add single expense row to claim</v>
      </c>
      <c r="E175" s="1" t="str">
        <v>Critical</v>
      </c>
      <c r="F175" s="1" t="str">
        <v>BR-EXP-08</v>
      </c>
      <c r="G175" s="1" t="str">
        <v>Not Run</v>
      </c>
    </row>
    <row r="176">
      <c r="A176" s="1" t="str">
        <v>EXP-022</v>
      </c>
      <c r="B176" s="1" t="str">
        <v>Expense Claim</v>
      </c>
      <c r="C176" s="1" t="str">
        <v>Expenses Table</v>
      </c>
      <c r="D176" s="1" t="str">
        <v>Add multiple expense rows to same claim</v>
      </c>
      <c r="E176" s="1" t="str">
        <v>High</v>
      </c>
      <c r="F176" s="1" t="str">
        <v>BR-EXP-08</v>
      </c>
      <c r="G176" s="1" t="str">
        <v>Not Run</v>
      </c>
    </row>
    <row r="177">
      <c r="A177" s="1" t="str">
        <v>EXP-023</v>
      </c>
      <c r="B177" s="1" t="str">
        <v>Expense Claim</v>
      </c>
      <c r="C177" s="1" t="str">
        <v>Expenses Table</v>
      </c>
      <c r="D177" s="1" t="str">
        <v>Delete expense row from table</v>
      </c>
      <c r="E177" s="1" t="str">
        <v>Medium</v>
      </c>
      <c r="F177" s="1" t="str">
        <v>BR-EXP-08</v>
      </c>
      <c r="G177" s="1" t="str">
        <v>Not Run</v>
      </c>
    </row>
    <row r="178">
      <c r="A178" s="1" t="str">
        <v>EXP-024</v>
      </c>
      <c r="B178" s="1" t="str">
        <v>Expense Claim</v>
      </c>
      <c r="C178" s="1" t="str">
        <v>Expenses Table</v>
      </c>
      <c r="D178" s="1" t="str">
        <v>Expense Date is populated and validated</v>
      </c>
      <c r="E178" s="1" t="str">
        <v>Critical</v>
      </c>
      <c r="F178" s="1" t="str">
        <v>BR-EXP-08</v>
      </c>
      <c r="G178" s="1" t="str">
        <v>Not Run</v>
      </c>
    </row>
    <row r="179">
      <c r="A179" s="1" t="str">
        <v>EXP-025</v>
      </c>
      <c r="B179" s="1" t="str">
        <v>Expense Claim</v>
      </c>
      <c r="C179" s="1" t="str">
        <v>Expenses Table</v>
      </c>
      <c r="D179" s="1" t="str">
        <v>Expense Claim Type dropdown shows valid options</v>
      </c>
      <c r="E179" s="1" t="str">
        <v>High</v>
      </c>
      <c r="F179" s="1" t="str">
        <v>BR-EXP-09</v>
      </c>
      <c r="G179" s="1" t="str">
        <v>Not Run</v>
      </c>
    </row>
    <row r="180">
      <c r="A180" s="1" t="str">
        <v>EXP-026</v>
      </c>
      <c r="B180" s="1" t="str">
        <v>Expense Claim</v>
      </c>
      <c r="C180" s="1" t="str">
        <v>Expenses Table</v>
      </c>
      <c r="D180" s="1" t="str">
        <v>Expense Claim Type field is mandatory</v>
      </c>
      <c r="E180" s="1" t="str">
        <v>Critical</v>
      </c>
      <c r="F180" s="1" t="str">
        <v>BR-EXP-09</v>
      </c>
      <c r="G180" s="1" t="str">
        <v>Not Run</v>
      </c>
    </row>
    <row r="181">
      <c r="A181" s="1" t="str">
        <v>EXP-027</v>
      </c>
      <c r="B181" s="1" t="str">
        <v>Expense Claim</v>
      </c>
      <c r="C181" s="1" t="str">
        <v>Expenses Table</v>
      </c>
      <c r="D181" s="1" t="str">
        <v>Description field is optional</v>
      </c>
      <c r="E181" s="1" t="str">
        <v>Medium</v>
      </c>
      <c r="F181" s="1" t="str">
        <v>BR-EXP-08</v>
      </c>
      <c r="G181" s="1" t="str">
        <v>Not Run</v>
      </c>
    </row>
    <row r="182">
      <c r="A182" s="1" t="str">
        <v>EXP-028</v>
      </c>
      <c r="B182" s="1" t="str">
        <v>Expense Claim</v>
      </c>
      <c r="C182" s="1" t="str">
        <v>Expenses Table</v>
      </c>
      <c r="D182" s="1" t="str">
        <v>Amount field is mandatory</v>
      </c>
      <c r="E182" s="1" t="str">
        <v>Critical</v>
      </c>
      <c r="F182" s="1" t="str">
        <v>BR-EXP-08</v>
      </c>
      <c r="G182" s="1" t="str">
        <v>Not Run</v>
      </c>
    </row>
    <row r="183">
      <c r="A183" s="1" t="str">
        <v>EXP-029</v>
      </c>
      <c r="B183" s="1" t="str">
        <v>Expense Claim</v>
      </c>
      <c r="C183" s="1" t="str">
        <v>Expenses Table</v>
      </c>
      <c r="D183" s="1" t="str">
        <v>Amount field accepts decimal values</v>
      </c>
      <c r="E183" s="1" t="str">
        <v>High</v>
      </c>
      <c r="F183" s="1" t="str">
        <v>BR-EXP-08</v>
      </c>
      <c r="G183" s="1" t="str">
        <v>Not Run</v>
      </c>
    </row>
    <row r="184">
      <c r="A184" s="1" t="str">
        <v>EXP-030</v>
      </c>
      <c r="B184" s="1" t="str">
        <v>Expense Claim</v>
      </c>
      <c r="C184" s="1" t="str">
        <v>Expenses Table</v>
      </c>
      <c r="D184" s="1" t="str">
        <v>Negative amount is rejected</v>
      </c>
      <c r="E184" s="1" t="str">
        <v>Critical</v>
      </c>
      <c r="F184" s="1" t="str">
        <v>BR-EXP-08</v>
      </c>
      <c r="G184" s="1" t="str">
        <v>Not Run</v>
      </c>
    </row>
    <row r="185">
      <c r="A185" s="1" t="str">
        <v>EXP-031</v>
      </c>
      <c r="B185" s="1" t="str">
        <v>Expense Claim</v>
      </c>
      <c r="C185" s="1" t="str">
        <v>Expenses Table</v>
      </c>
      <c r="D185" s="1" t="str">
        <v>Sanctioned Amount is auto-populated or manually entered</v>
      </c>
      <c r="E185" s="1" t="str">
        <v>High</v>
      </c>
      <c r="F185" s="1" t="str">
        <v>BR-EXP-10</v>
      </c>
      <c r="G185" s="1" t="str">
        <v>Not Run</v>
      </c>
    </row>
    <row r="186">
      <c r="A186" s="1" t="str">
        <v>EXP-032</v>
      </c>
      <c r="B186" s="1" t="str">
        <v>Expense Claim</v>
      </c>
      <c r="C186" s="1" t="str">
        <v>Expenses Table</v>
      </c>
      <c r="D186" s="1" t="str">
        <v>Sanctioned Amount cannot exceed Amount</v>
      </c>
      <c r="E186" s="1" t="str">
        <v>Critical</v>
      </c>
      <c r="F186" s="1" t="str">
        <v>BR-EXP-10</v>
      </c>
      <c r="G186" s="1" t="str">
        <v>Not Run</v>
      </c>
    </row>
    <row r="187">
      <c r="A187" s="1" t="str">
        <v>EXP-033</v>
      </c>
      <c r="B187" s="1" t="str">
        <v>Expense Claim</v>
      </c>
      <c r="C187" s="1" t="str">
        <v>Expenses Table</v>
      </c>
      <c r="D187" s="1" t="str">
        <v>Total claim amount is calculated from all expense rows</v>
      </c>
      <c r="E187" s="1" t="str">
        <v>Critical</v>
      </c>
      <c r="F187" s="1" t="str">
        <v>BR-EXP-11</v>
      </c>
      <c r="G187" s="1" t="str">
        <v>Not Run</v>
      </c>
    </row>
    <row r="188">
      <c r="A188" s="1" t="str">
        <v>EXP-034</v>
      </c>
      <c r="B188" s="1" t="str">
        <v>Expense Claim</v>
      </c>
      <c r="C188" s="1" t="str">
        <v>Taxes &amp; Charges</v>
      </c>
      <c r="D188" s="1" t="str">
        <v>Add single tax row to expense claim</v>
      </c>
      <c r="E188" s="1" t="str">
        <v>High</v>
      </c>
      <c r="F188" s="1" t="str">
        <v>BR-EXP-12</v>
      </c>
      <c r="G188" s="1" t="str">
        <v>Not Run</v>
      </c>
    </row>
    <row r="189">
      <c r="A189" s="1" t="str">
        <v>EXP-035</v>
      </c>
      <c r="B189" s="1" t="str">
        <v>Expense Claim</v>
      </c>
      <c r="C189" s="1" t="str">
        <v>Taxes &amp; Charges</v>
      </c>
      <c r="D189" s="1" t="str">
        <v>Add multiple tax rows to expense claim</v>
      </c>
      <c r="E189" s="1" t="str">
        <v>High</v>
      </c>
      <c r="F189" s="1" t="str">
        <v>BR-EXP-12</v>
      </c>
      <c r="G189" s="1" t="str">
        <v>Not Run</v>
      </c>
    </row>
    <row r="190">
      <c r="A190" s="1" t="str">
        <v>EXP-036</v>
      </c>
      <c r="B190" s="1" t="str">
        <v>Expense Claim</v>
      </c>
      <c r="C190" s="1" t="str">
        <v>Taxes &amp; Charges</v>
      </c>
      <c r="D190" s="1" t="str">
        <v>Delete tax row from table</v>
      </c>
      <c r="E190" s="1" t="str">
        <v>Medium</v>
      </c>
      <c r="F190" s="1" t="str">
        <v>BR-EXP-12</v>
      </c>
      <c r="G190" s="1" t="str">
        <v>Not Run</v>
      </c>
    </row>
    <row r="191">
      <c r="A191" s="1" t="str">
        <v>EXP-037</v>
      </c>
      <c r="B191" s="1" t="str">
        <v>Expense Claim</v>
      </c>
      <c r="C191" s="1" t="str">
        <v>Taxes &amp; Charges</v>
      </c>
      <c r="D191" s="1" t="str">
        <v>Tax Account Head is mandatory in tax row</v>
      </c>
      <c r="E191" s="1" t="str">
        <v>Critical</v>
      </c>
      <c r="F191" s="1" t="str">
        <v>BR-EXP-12</v>
      </c>
      <c r="G191" s="1" t="str">
        <v>Not Run</v>
      </c>
    </row>
    <row r="192">
      <c r="A192" s="1" t="str">
        <v>EXP-038</v>
      </c>
      <c r="B192" s="1" t="str">
        <v>Expense Claim</v>
      </c>
      <c r="C192" s="1" t="str">
        <v>Taxes &amp; Charges</v>
      </c>
      <c r="D192" s="1" t="str">
        <v>Tax Amount is mandatory in tax row</v>
      </c>
      <c r="E192" s="1" t="str">
        <v>Critical</v>
      </c>
      <c r="F192" s="1" t="str">
        <v>BR-EXP-12</v>
      </c>
      <c r="G192" s="1" t="str">
        <v>Not Run</v>
      </c>
    </row>
    <row r="193">
      <c r="A193" s="1" t="str">
        <v>EXP-039</v>
      </c>
      <c r="B193" s="1" t="str">
        <v>Expense Claim</v>
      </c>
      <c r="C193" s="1" t="str">
        <v>Taxes &amp; Charges</v>
      </c>
      <c r="D193" s="1" t="str">
        <v>Total taxes calculated correctly from all tax rows</v>
      </c>
      <c r="E193" s="1" t="str">
        <v>Critical</v>
      </c>
      <c r="F193" s="1" t="str">
        <v>BR-EXP-12</v>
      </c>
      <c r="G193" s="1" t="str">
        <v>Not Run</v>
      </c>
    </row>
    <row r="194">
      <c r="A194" s="1" t="str">
        <v>EXP-040</v>
      </c>
      <c r="B194" s="1" t="str">
        <v>Expense Claim</v>
      </c>
      <c r="C194" s="1" t="str">
        <v>Taxes &amp; Charges</v>
      </c>
      <c r="D194" s="1" t="str">
        <v>Grand Total includes taxes and sanctioned amount</v>
      </c>
      <c r="E194" s="1" t="str">
        <v>Critical</v>
      </c>
      <c r="F194" s="1" t="str">
        <v>BR-EXP-11, BR-EXP-12</v>
      </c>
      <c r="G194" s="1" t="str">
        <v>Not Run</v>
      </c>
    </row>
    <row r="195">
      <c r="A195" s="1" t="str">
        <v>EXP-041</v>
      </c>
      <c r="B195" s="1" t="str">
        <v>Expense Claim</v>
      </c>
      <c r="C195" s="1" t="str">
        <v>Accounting Details</v>
      </c>
      <c r="D195" s="1" t="str">
        <v>Cost Center field can be selected</v>
      </c>
      <c r="E195" s="1" t="str">
        <v>High</v>
      </c>
      <c r="F195" s="1" t="str">
        <v>BR-EXP-13</v>
      </c>
      <c r="G195" s="1" t="str">
        <v>Not Run</v>
      </c>
    </row>
    <row r="196">
      <c r="A196" s="1" t="str">
        <v>EXP-042</v>
      </c>
      <c r="B196" s="1" t="str">
        <v>Expense Claim</v>
      </c>
      <c r="C196" s="1" t="str">
        <v>Accounting Details</v>
      </c>
      <c r="D196" s="1" t="str">
        <v>Project field can be linked to expense claim</v>
      </c>
      <c r="E196" s="1" t="str">
        <v>Medium</v>
      </c>
      <c r="F196" s="1" t="str">
        <v>BR-EXP-13</v>
      </c>
      <c r="G196" s="1" t="str">
        <v>Not Run</v>
      </c>
    </row>
    <row r="197">
      <c r="A197" s="1" t="str">
        <v>EXP-043</v>
      </c>
      <c r="B197" s="1" t="str">
        <v>Expense Claim</v>
      </c>
      <c r="C197" s="1" t="str">
        <v>Accounting Details</v>
      </c>
      <c r="D197" s="1" t="str">
        <v>Payable Account is auto-populated</v>
      </c>
      <c r="E197" s="1" t="str">
        <v>Critical</v>
      </c>
      <c r="F197" s="1" t="str">
        <v>BR-EXP-13</v>
      </c>
      <c r="G197" s="1" t="str">
        <v>Not Run</v>
      </c>
    </row>
    <row r="198">
      <c r="A198" s="1" t="str">
        <v>EXP-044</v>
      </c>
      <c r="B198" s="1" t="str">
        <v>Expense Claim</v>
      </c>
      <c r="C198" s="1" t="str">
        <v>Accounting Details</v>
      </c>
      <c r="D198" s="1" t="str">
        <v>Payable Account can be manually changed</v>
      </c>
      <c r="E198" s="1" t="str">
        <v>High</v>
      </c>
      <c r="F198" s="1" t="str">
        <v>BR-EXP-13</v>
      </c>
      <c r="G198" s="1" t="str">
        <v>Not Run</v>
      </c>
    </row>
    <row r="199">
      <c r="A199" s="1" t="str">
        <v>EXP-045</v>
      </c>
      <c r="B199" s="1" t="str">
        <v>Expense Claim</v>
      </c>
      <c r="C199" s="1" t="str">
        <v>Accounting Details</v>
      </c>
      <c r="D199" s="1" t="str">
        <v>Mode of Payment can be selected</v>
      </c>
      <c r="E199" s="1" t="str">
        <v>High</v>
      </c>
      <c r="F199" s="1" t="str">
        <v>BR-EXP-13</v>
      </c>
      <c r="G199" s="1" t="str">
        <v>Not Run</v>
      </c>
    </row>
    <row r="200">
      <c r="A200" s="1" t="str">
        <v>EXP-046</v>
      </c>
      <c r="B200" s="1" t="str">
        <v>Expense Claim</v>
      </c>
      <c r="C200" s="1" t="str">
        <v>Accounting Details</v>
      </c>
      <c r="D200" s="1" t="str">
        <v>Total Advance Amount is displayed if advance exists</v>
      </c>
      <c r="E200" s="1" t="str">
        <v>High</v>
      </c>
      <c r="F200" s="1" t="str">
        <v>BR-EXP-14</v>
      </c>
      <c r="G200" s="1" t="str">
        <v>Not Run</v>
      </c>
    </row>
    <row r="201">
      <c r="A201" s="1" t="str">
        <v>EXP-047</v>
      </c>
      <c r="B201" s="1" t="str">
        <v>Expense Claim</v>
      </c>
      <c r="C201" s="1" t="str">
        <v>Data Validation</v>
      </c>
      <c r="D201" s="1" t="str">
        <v>Expense Claim cannot be saved without From Employee</v>
      </c>
      <c r="E201" s="1" t="str">
        <v>Critical</v>
      </c>
      <c r="F201" s="1" t="str">
        <v>BR-EXP-04</v>
      </c>
      <c r="G201" s="1" t="str">
        <v>Not Run</v>
      </c>
    </row>
    <row r="202">
      <c r="A202" s="1" t="str">
        <v>EXP-048</v>
      </c>
      <c r="B202" s="1" t="str">
        <v>Expense Claim</v>
      </c>
      <c r="C202" s="1" t="str">
        <v>Data Validation</v>
      </c>
      <c r="D202" s="1" t="str">
        <v>Expense Claim cannot be saved without Company</v>
      </c>
      <c r="E202" s="1" t="str">
        <v>Critical</v>
      </c>
      <c r="F202" s="1" t="str">
        <v>BR-EXP-05</v>
      </c>
      <c r="G202" s="1" t="str">
        <v>Not Run</v>
      </c>
    </row>
    <row r="203">
      <c r="A203" s="1" t="str">
        <v>EXP-049</v>
      </c>
      <c r="B203" s="1" t="str">
        <v>Expense Claim</v>
      </c>
      <c r="C203" s="1" t="str">
        <v>Data Validation</v>
      </c>
      <c r="D203" s="1" t="str">
        <v>Expense Claim cannot be saved without Expense Approver</v>
      </c>
      <c r="E203" s="1" t="str">
        <v>Critical</v>
      </c>
      <c r="F203" s="1" t="str">
        <v>BR-EXP-06</v>
      </c>
      <c r="G203" s="1" t="str">
        <v>Not Run</v>
      </c>
    </row>
    <row r="204">
      <c r="A204" s="1" t="str">
        <v>EXP-050</v>
      </c>
      <c r="B204" s="1" t="str">
        <v>Expense Claim</v>
      </c>
      <c r="C204" s="1" t="str">
        <v>Data Validation</v>
      </c>
      <c r="D204" s="1" t="str">
        <v>Expense Claim cannot be submitted without expense rows</v>
      </c>
      <c r="E204" s="1" t="str">
        <v>Critical</v>
      </c>
      <c r="F204" s="1" t="str">
        <v>BR-EXP-08</v>
      </c>
      <c r="G204" s="1" t="str">
        <v>Not Run</v>
      </c>
    </row>
    <row r="205">
      <c r="A205" s="1" t="str">
        <v>EXP-051</v>
      </c>
      <c r="B205" s="1" t="str">
        <v>Expense Claim</v>
      </c>
      <c r="C205" s="1" t="str">
        <v>Editing &amp; Updates</v>
      </c>
      <c r="D205" s="1" t="str">
        <v>Edit expense row amount on existing claim</v>
      </c>
      <c r="E205" s="1" t="str">
        <v>High</v>
      </c>
      <c r="F205" s="1" t="str">
        <v>BR-EXP-15</v>
      </c>
      <c r="G205" s="1" t="str">
        <v>Not Run</v>
      </c>
    </row>
    <row r="206">
      <c r="A206" s="1" t="str">
        <v>EXP-052</v>
      </c>
      <c r="B206" s="1" t="str">
        <v>Expense Claim</v>
      </c>
      <c r="C206" s="1" t="str">
        <v>Editing &amp; Updates</v>
      </c>
      <c r="D206" s="1" t="str">
        <v>Edit expense claim type on existing row</v>
      </c>
      <c r="E206" s="1" t="str">
        <v>High</v>
      </c>
      <c r="F206" s="1" t="str">
        <v>BR-EXP-15</v>
      </c>
      <c r="G206" s="1" t="str">
        <v>Not Run</v>
      </c>
    </row>
    <row r="207">
      <c r="A207" s="1" t="str">
        <v>EXP-053</v>
      </c>
      <c r="B207" s="1" t="str">
        <v>Expense Claim</v>
      </c>
      <c r="C207" s="1" t="str">
        <v>Editing &amp; Updates</v>
      </c>
      <c r="D207" s="1" t="str">
        <v>Edit expense approver before submission</v>
      </c>
      <c r="E207" s="1" t="str">
        <v>High</v>
      </c>
      <c r="F207" s="1" t="str">
        <v>BR-EXP-15</v>
      </c>
      <c r="G207" s="1" t="str">
        <v>Not Run</v>
      </c>
    </row>
    <row r="208">
      <c r="A208" s="1" t="str">
        <v>EXP-054</v>
      </c>
      <c r="B208" s="1" t="str">
        <v>Expense Claim</v>
      </c>
      <c r="C208" s="1" t="str">
        <v>Editing &amp; Updates</v>
      </c>
      <c r="D208" s="1" t="str">
        <v>Edit is restricted after Approval Status is Approved</v>
      </c>
      <c r="E208" s="1" t="str">
        <v>Critical</v>
      </c>
      <c r="F208" s="1" t="str">
        <v>BR-EXP-07</v>
      </c>
      <c r="G208" s="1" t="str">
        <v>Not Run</v>
      </c>
    </row>
    <row r="209">
      <c r="A209" s="1" t="str">
        <v>EXP-055</v>
      </c>
      <c r="B209" s="1" t="str">
        <v>Expense Claim</v>
      </c>
      <c r="C209" s="1" t="str">
        <v>Form Actions</v>
      </c>
      <c r="D209" s="1" t="str">
        <v>Save Expense Claim successfully</v>
      </c>
      <c r="E209" s="1" t="str">
        <v>Critical</v>
      </c>
      <c r="F209" s="1" t="str">
        <v>BR-EXP-01</v>
      </c>
      <c r="G209" s="1" t="str">
        <v>Not Run</v>
      </c>
    </row>
    <row r="210">
      <c r="A210" s="1" t="str">
        <v>EXP-056</v>
      </c>
      <c r="B210" s="1" t="str">
        <v>Expense Claim</v>
      </c>
      <c r="C210" s="1" t="str">
        <v>Form Actions</v>
      </c>
      <c r="D210" s="1" t="str">
        <v>Submit Expense Claim successfully</v>
      </c>
      <c r="E210" s="1" t="str">
        <v>Critical</v>
      </c>
      <c r="F210" s="1" t="str">
        <v>BR-EXP-16</v>
      </c>
      <c r="G210" s="1" t="str">
        <v>Not Run</v>
      </c>
    </row>
    <row r="211">
      <c r="A211" s="1" t="str">
        <v>EXP-057</v>
      </c>
      <c r="B211" s="1" t="str">
        <v>Expense Claim</v>
      </c>
      <c r="C211" s="1" t="str">
        <v>Form Actions</v>
      </c>
      <c r="D211" s="1" t="str">
        <v>Form shows "Not Saved" status before save</v>
      </c>
      <c r="E211" s="1" t="str">
        <v>Medium</v>
      </c>
      <c r="F211" s="1" t="str">
        <v>BR-EXP-16</v>
      </c>
      <c r="G211" s="1" t="str">
        <v>Not Run</v>
      </c>
    </row>
    <row r="212">
      <c r="A212" s="1" t="str">
        <v>EXP-058</v>
      </c>
      <c r="B212" s="1" t="str">
        <v>Expense Claim</v>
      </c>
      <c r="C212" s="1" t="str">
        <v>Form Actions</v>
      </c>
      <c r="D212" s="1" t="str">
        <v>Form shows "Saved" status after successful save</v>
      </c>
      <c r="E212" s="1" t="str">
        <v>Medium</v>
      </c>
      <c r="F212" s="1" t="str">
        <v>BR-EXP-16</v>
      </c>
      <c r="G212" s="1" t="str">
        <v>Not Run</v>
      </c>
    </row>
    <row r="213">
      <c r="A213" s="1" t="str">
        <v>EXP-059</v>
      </c>
      <c r="B213" s="1" t="str">
        <v>Expense Claim</v>
      </c>
      <c r="C213" s="1" t="str">
        <v>Form Actions</v>
      </c>
      <c r="D213" s="1" t="str">
        <v>Duplicate existing Expense Claim</v>
      </c>
      <c r="E213" s="1" t="str">
        <v>High</v>
      </c>
      <c r="F213" s="1" t="str">
        <v>BR-EXP-16</v>
      </c>
      <c r="G213" s="1" t="str">
        <v>Not Run</v>
      </c>
    </row>
    <row r="214">
      <c r="A214" s="1" t="str">
        <v>EXP-060</v>
      </c>
      <c r="B214" s="1" t="str">
        <v>Expense Claim</v>
      </c>
      <c r="C214" s="1" t="str">
        <v>Form Actions</v>
      </c>
      <c r="D214" s="1" t="str">
        <v>Cancel submitted Expense Claim</v>
      </c>
      <c r="E214" s="1" t="str">
        <v>Critical</v>
      </c>
      <c r="F214" s="1" t="str">
        <v>BR-EXP-16</v>
      </c>
      <c r="G214" s="1" t="str">
        <v>Not Run</v>
      </c>
    </row>
    <row r="215">
      <c r="A215" s="1" t="str">
        <v>▌ Leave Application</v>
      </c>
    </row>
    <row r="216">
      <c r="A216" s="1" t="str">
        <v>LEA-001</v>
      </c>
      <c r="B216" s="1" t="str">
        <v>Leave Application</v>
      </c>
      <c r="C216" s="1" t="str">
        <v>Leave Application Creation &amp; Basic Details</v>
      </c>
      <c r="D216" s="1" t="str">
        <v>Create Leave Application with mandatory fields only (Employee, Leave Type, From Date, To Date)</v>
      </c>
      <c r="E216" s="1" t="str">
        <v>Critical</v>
      </c>
      <c r="F216" s="1" t="str">
        <v>BR-LEA-01</v>
      </c>
      <c r="G216" s="1" t="str">
        <v>Not Run</v>
      </c>
    </row>
    <row r="217">
      <c r="A217" s="1" t="str">
        <v>LEA-002</v>
      </c>
      <c r="B217" s="1" t="str">
        <v>Leave Application</v>
      </c>
      <c r="C217" s="1" t="str">
        <v>Leave Application Creation &amp; Basic Details</v>
      </c>
      <c r="D217" s="1" t="str">
        <v>Create Leave Application with all basic fields (Employee, Leave Type, Dates, Company, Approver)</v>
      </c>
      <c r="E217" s="1" t="str">
        <v>Critical</v>
      </c>
      <c r="F217" s="1" t="str">
        <v>BR-LEA-01, BR-LEA-02</v>
      </c>
      <c r="G217" s="1" t="str">
        <v>Not Run</v>
      </c>
    </row>
    <row r="218">
      <c r="A218" s="1" t="str">
        <v>LEA-003</v>
      </c>
      <c r="B218" s="1" t="str">
        <v>Leave Application</v>
      </c>
      <c r="C218" s="1" t="str">
        <v>Series &amp; Auto-generation</v>
      </c>
      <c r="D218" s="1" t="str">
        <v>Series field is auto-generated in format HR-LAP-.YYYY.-</v>
      </c>
      <c r="E218" s="1" t="str">
        <v>Critical</v>
      </c>
      <c r="F218" s="1" t="str">
        <v>BR-LEA-03</v>
      </c>
      <c r="G218" s="1" t="str">
        <v>Not Run</v>
      </c>
    </row>
    <row r="219">
      <c r="A219" s="1" t="str">
        <v>LEA-004</v>
      </c>
      <c r="B219" s="1" t="str">
        <v>Leave Application</v>
      </c>
      <c r="C219" s="1" t="str">
        <v>Series &amp; Auto-generation</v>
      </c>
      <c r="D219" s="1" t="str">
        <v>Series field cannot be manually edited</v>
      </c>
      <c r="E219" s="1" t="str">
        <v>High</v>
      </c>
      <c r="F219" s="1" t="str">
        <v>BR-LEA-03</v>
      </c>
      <c r="G219" s="1" t="str">
        <v>Not Run</v>
      </c>
    </row>
    <row r="220">
      <c r="A220" s="1" t="str">
        <v>LEA-005</v>
      </c>
      <c r="B220" s="1" t="str">
        <v>Leave Application</v>
      </c>
      <c r="C220" s="1" t="str">
        <v>Series &amp; Auto-generation</v>
      </c>
      <c r="D220" s="1" t="str">
        <v>Unique Series is generated for each leave application</v>
      </c>
      <c r="E220" s="1" t="str">
        <v>Critical</v>
      </c>
      <c r="F220" s="1" t="str">
        <v>BR-LEA-03</v>
      </c>
      <c r="G220" s="1" t="str">
        <v>Not Run</v>
      </c>
    </row>
    <row r="221">
      <c r="A221" s="1" t="str">
        <v>LEA-006</v>
      </c>
      <c r="B221" s="1" t="str">
        <v>Leave Application</v>
      </c>
      <c r="C221" s="1" t="str">
        <v>Employee Selection</v>
      </c>
      <c r="D221" s="1" t="str">
        <v>Valid employee can be selected in Employee field</v>
      </c>
      <c r="E221" s="1" t="str">
        <v>Critical</v>
      </c>
      <c r="F221" s="1" t="str">
        <v>BR-LEA-04</v>
      </c>
      <c r="G221" s="1" t="str">
        <v>Not Run</v>
      </c>
    </row>
    <row r="222">
      <c r="A222" s="1" t="str">
        <v>LEA-007</v>
      </c>
      <c r="B222" s="1" t="str">
        <v>Leave Application</v>
      </c>
      <c r="C222" s="1" t="str">
        <v>Employee Selection</v>
      </c>
      <c r="D222" s="1" t="str">
        <v>Invalid/non-existent employee is rejected</v>
      </c>
      <c r="E222" s="1" t="str">
        <v>Critical</v>
      </c>
      <c r="F222" s="1" t="str">
        <v>BR-LEA-04</v>
      </c>
      <c r="G222" s="1" t="str">
        <v>Not Run</v>
      </c>
    </row>
    <row r="223">
      <c r="A223" s="1" t="str">
        <v>LEA-008</v>
      </c>
      <c r="B223" s="1" t="str">
        <v>Leave Application</v>
      </c>
      <c r="C223" s="1" t="str">
        <v>Employee Selection</v>
      </c>
      <c r="D223" s="1" t="str">
        <v>Employee field is mandatory and cannot be left blank</v>
      </c>
      <c r="E223" s="1" t="str">
        <v>Critical</v>
      </c>
      <c r="F223" s="1" t="str">
        <v>BR-LEA-04</v>
      </c>
      <c r="G223" s="1" t="str">
        <v>Not Run</v>
      </c>
    </row>
    <row r="224">
      <c r="A224" s="1" t="str">
        <v>LEA-009</v>
      </c>
      <c r="B224" s="1" t="str">
        <v>Leave Application</v>
      </c>
      <c r="C224" s="1" t="str">
        <v>Leave Type Selection</v>
      </c>
      <c r="D224" s="1" t="str">
        <v>Valid leave type can be selected from dropdown</v>
      </c>
      <c r="E224" s="1" t="str">
        <v>Critical</v>
      </c>
      <c r="F224" s="1" t="str">
        <v>BR-LEA-05</v>
      </c>
      <c r="G224" s="1" t="str">
        <v>Not Run</v>
      </c>
    </row>
    <row r="225">
      <c r="A225" s="1" t="str">
        <v>LEA-010</v>
      </c>
      <c r="B225" s="1" t="str">
        <v>Leave Application</v>
      </c>
      <c r="C225" s="1" t="str">
        <v>Leave Type Selection</v>
      </c>
      <c r="D225" s="1" t="str">
        <v>Leave Type field is mandatory and cannot be left blank</v>
      </c>
      <c r="E225" s="1" t="str">
        <v>Critical</v>
      </c>
      <c r="F225" s="1" t="str">
        <v>BR-LEA-05</v>
      </c>
      <c r="G225" s="1" t="str">
        <v>Not Run</v>
      </c>
    </row>
    <row r="226">
      <c r="A226" s="1" t="str">
        <v>LEA-011</v>
      </c>
      <c r="B226" s="1" t="str">
        <v>Leave Application</v>
      </c>
      <c r="C226" s="1" t="str">
        <v>Leave Type Selection</v>
      </c>
      <c r="D226" s="1" t="str">
        <v>Leave Type displays all available options (Annual, Sick, Personal, etc.)</v>
      </c>
      <c r="E226" s="1" t="str">
        <v>High</v>
      </c>
      <c r="F226" s="1" t="str">
        <v>BR-LEA-05</v>
      </c>
      <c r="G226" s="1" t="str">
        <v>Not Run</v>
      </c>
    </row>
    <row r="227">
      <c r="A227" s="1" t="str">
        <v>LEA-012</v>
      </c>
      <c r="B227" s="1" t="str">
        <v>Leave Application</v>
      </c>
      <c r="C227" s="1" t="str">
        <v>Leave Type Selection</v>
      </c>
      <c r="D227" s="1" t="str">
        <v>Employee's leave balance is checked for selected leave type</v>
      </c>
      <c r="E227" s="1" t="str">
        <v>Critical</v>
      </c>
      <c r="F227" s="1" t="str">
        <v>BR-LEA-06</v>
      </c>
      <c r="G227" s="1" t="str">
        <v>Not Run</v>
      </c>
    </row>
    <row r="228">
      <c r="A228" s="1" t="str">
        <v>LEA-013</v>
      </c>
      <c r="B228" s="1" t="str">
        <v>Leave Application</v>
      </c>
      <c r="C228" s="1" t="str">
        <v>Company Details</v>
      </c>
      <c r="D228" s="1" t="str">
        <v>Valid company is selected and displayed</v>
      </c>
      <c r="E228" s="1" t="str">
        <v>Critical</v>
      </c>
      <c r="F228" s="1" t="str">
        <v>BR-LEA-07</v>
      </c>
      <c r="G228" s="1" t="str">
        <v>Not Run</v>
      </c>
    </row>
    <row r="229">
      <c r="A229" s="1" t="str">
        <v>LEA-014</v>
      </c>
      <c r="B229" s="1" t="str">
        <v>Leave Application</v>
      </c>
      <c r="C229" s="1" t="str">
        <v>Company Details</v>
      </c>
      <c r="D229" s="1" t="str">
        <v>Company field is mandatory</v>
      </c>
      <c r="E229" s="1" t="str">
        <v>Critical</v>
      </c>
      <c r="F229" s="1" t="str">
        <v>BR-LEA-07</v>
      </c>
      <c r="G229" s="1" t="str">
        <v>Not Run</v>
      </c>
    </row>
    <row r="230">
      <c r="A230" s="1" t="str">
        <v>LEA-015</v>
      </c>
      <c r="B230" s="1" t="str">
        <v>Leave Application</v>
      </c>
      <c r="C230" s="1" t="str">
        <v>Company Details</v>
      </c>
      <c r="D230" s="1" t="str">
        <v>Company auto-populates based on employee's assigned company</v>
      </c>
      <c r="E230" s="1" t="str">
        <v>High</v>
      </c>
      <c r="F230" s="1" t="str">
        <v>BR-LEA-07</v>
      </c>
      <c r="G230" s="1" t="str">
        <v>Not Run</v>
      </c>
    </row>
    <row r="231">
      <c r="A231" s="1" t="str">
        <v>LEA-016</v>
      </c>
      <c r="B231" s="1" t="str">
        <v>Leave Application</v>
      </c>
      <c r="C231" s="1" t="str">
        <v>Date Range</v>
      </c>
      <c r="D231" s="1" t="str">
        <v>From Date is mandatory and cannot be left blank</v>
      </c>
      <c r="E231" s="1" t="str">
        <v>Critical</v>
      </c>
      <c r="F231" s="1" t="str">
        <v>BR-LEA-08</v>
      </c>
      <c r="G231" s="1" t="str">
        <v>Not Run</v>
      </c>
    </row>
    <row r="232">
      <c r="A232" s="1" t="str">
        <v>LEA-017</v>
      </c>
      <c r="B232" s="1" t="str">
        <v>Leave Application</v>
      </c>
      <c r="C232" s="1" t="str">
        <v>Date Range</v>
      </c>
      <c r="D232" s="1" t="str">
        <v>To Date is mandatory and cannot be left blank</v>
      </c>
      <c r="E232" s="1" t="str">
        <v>Critical</v>
      </c>
      <c r="F232" s="1" t="str">
        <v>BR-LEA-08</v>
      </c>
      <c r="G232" s="1" t="str">
        <v>Not Run</v>
      </c>
    </row>
    <row r="233">
      <c r="A233" s="1" t="str">
        <v>LEA-018</v>
      </c>
      <c r="B233" s="1" t="str">
        <v>Leave Application</v>
      </c>
      <c r="C233" s="1" t="str">
        <v>Date Range</v>
      </c>
      <c r="D233" s="1" t="str">
        <v>From Date cannot be after To Date</v>
      </c>
      <c r="E233" s="1" t="str">
        <v>Critical</v>
      </c>
      <c r="F233" s="1" t="str">
        <v>BR-LEA-08</v>
      </c>
      <c r="G233" s="1" t="str">
        <v>Not Run</v>
      </c>
    </row>
    <row r="234">
      <c r="A234" s="1" t="str">
        <v>LEA-019</v>
      </c>
      <c r="B234" s="1" t="str">
        <v>Leave Application</v>
      </c>
      <c r="C234" s="1" t="str">
        <v>Date Range</v>
      </c>
      <c r="D234" s="1" t="str">
        <v>From Date cannot be in the past</v>
      </c>
      <c r="E234" s="1" t="str">
        <v>High</v>
      </c>
      <c r="F234" s="1" t="str">
        <v>BR-LEA-08</v>
      </c>
      <c r="G234" s="1" t="str">
        <v>Not Run</v>
      </c>
    </row>
    <row r="235">
      <c r="A235" s="1" t="str">
        <v>LEA-020</v>
      </c>
      <c r="B235" s="1" t="str">
        <v>Leave Application</v>
      </c>
      <c r="C235" s="1" t="str">
        <v>Date Range</v>
      </c>
      <c r="D235" s="1" t="str">
        <v>To Date cannot be before From Date</v>
      </c>
      <c r="E235" s="1" t="str">
        <v>Critical</v>
      </c>
      <c r="F235" s="1" t="str">
        <v>BR-LEA-08</v>
      </c>
      <c r="G235" s="1" t="str">
        <v>Not Run</v>
      </c>
    </row>
    <row r="236">
      <c r="A236" s="1" t="str">
        <v>LEA-021</v>
      </c>
      <c r="B236" s="1" t="str">
        <v>Leave Application</v>
      </c>
      <c r="C236" s="1" t="str">
        <v>Date Range</v>
      </c>
      <c r="D236" s="1" t="str">
        <v>Invalid date format is rejected</v>
      </c>
      <c r="E236" s="1" t="str">
        <v>Critical</v>
      </c>
      <c r="F236" s="1" t="str">
        <v>BR-LEA-08</v>
      </c>
      <c r="G236" s="1" t="str">
        <v>Not Run</v>
      </c>
    </row>
    <row r="237">
      <c r="A237" s="1" t="str">
        <v>LEA-022</v>
      </c>
      <c r="B237" s="1" t="str">
        <v>Leave Application</v>
      </c>
      <c r="C237" s="1" t="str">
        <v>Date Range</v>
      </c>
      <c r="D237" s="1" t="str">
        <v>Leave duration is calculated correctly (From Date to To Date)</v>
      </c>
      <c r="E237" s="1" t="str">
        <v>Critical</v>
      </c>
      <c r="F237" s="1" t="str">
        <v>BR-LEA-09</v>
      </c>
      <c r="G237" s="1" t="str">
        <v>Not Run</v>
      </c>
    </row>
    <row r="238">
      <c r="A238" s="1" t="str">
        <v>LEA-023</v>
      </c>
      <c r="B238" s="1" t="str">
        <v>Leave Application</v>
      </c>
      <c r="C238" s="1" t="str">
        <v>Half Day Leave</v>
      </c>
      <c r="D238" s="1" t="str">
        <v>Half Day checkbox can be checked</v>
      </c>
      <c r="E238" s="1" t="str">
        <v>High</v>
      </c>
      <c r="F238" s="1" t="str">
        <v>BR-LEA-10</v>
      </c>
      <c r="G238" s="1" t="str">
        <v>Not Run</v>
      </c>
    </row>
    <row r="239">
      <c r="A239" s="1" t="str">
        <v>LEA-024</v>
      </c>
      <c r="B239" s="1" t="str">
        <v>Leave Application</v>
      </c>
      <c r="C239" s="1" t="str">
        <v>Half Day Leave</v>
      </c>
      <c r="D239" s="1" t="str">
        <v>Half Day checkbox can be unchecked</v>
      </c>
      <c r="E239" s="1" t="str">
        <v>High</v>
      </c>
      <c r="F239" s="1" t="str">
        <v>BR-LEA-10</v>
      </c>
      <c r="G239" s="1" t="str">
        <v>Not Run</v>
      </c>
    </row>
    <row r="240">
      <c r="A240" s="1" t="str">
        <v>LEA-025</v>
      </c>
      <c r="B240" s="1" t="str">
        <v>Leave Application</v>
      </c>
      <c r="C240" s="1" t="str">
        <v>Half Day Leave</v>
      </c>
      <c r="D240" s="1" t="str">
        <v>Half Day with single date (From Date = To Date) is valid</v>
      </c>
      <c r="E240" s="1" t="str">
        <v>Critical</v>
      </c>
      <c r="F240" s="1" t="str">
        <v>BR-LEA-10</v>
      </c>
      <c r="G240" s="1" t="str">
        <v>Not Run</v>
      </c>
    </row>
    <row r="241">
      <c r="A241" s="1" t="str">
        <v>LEA-026</v>
      </c>
      <c r="B241" s="1" t="str">
        <v>Leave Application</v>
      </c>
      <c r="C241" s="1" t="str">
        <v>Half Day Leave</v>
      </c>
      <c r="D241" s="1" t="str">
        <v>Half Day with date range is rejected</v>
      </c>
      <c r="E241" s="1" t="str">
        <v>Critical</v>
      </c>
      <c r="F241" s="1" t="str">
        <v>BR-LEA-10</v>
      </c>
      <c r="G241" s="1" t="str">
        <v>Not Run</v>
      </c>
    </row>
    <row r="242">
      <c r="A242" s="1" t="str">
        <v>LEA-027</v>
      </c>
      <c r="B242" s="1" t="str">
        <v>Leave Application</v>
      </c>
      <c r="C242" s="1" t="str">
        <v>Half Day Leave</v>
      </c>
      <c r="D242" s="1" t="str">
        <v>Half Day reduces leave balance by 0.5 days</v>
      </c>
      <c r="E242" s="1" t="str">
        <v>Critical</v>
      </c>
      <c r="F242" s="1" t="str">
        <v>BR-LEA-10</v>
      </c>
      <c r="G242" s="1" t="str">
        <v>Not Run</v>
      </c>
    </row>
    <row r="243">
      <c r="A243" s="1" t="str">
        <v>LEA-028</v>
      </c>
      <c r="B243" s="1" t="str">
        <v>Leave Application</v>
      </c>
      <c r="C243" s="1" t="str">
        <v>Half Day Leave</v>
      </c>
      <c r="D243" s="1" t="str">
        <v>Full day reduces leave balance by 1 day</v>
      </c>
      <c r="E243" s="1" t="str">
        <v>Critical</v>
      </c>
      <c r="F243" s="1" t="str">
        <v>BR-LEA-09</v>
      </c>
      <c r="G243" s="1" t="str">
        <v>Not Run</v>
      </c>
    </row>
    <row r="244">
      <c r="A244" s="1" t="str">
        <v>LEA-029</v>
      </c>
      <c r="B244" s="1" t="str">
        <v>Leave Application</v>
      </c>
      <c r="C244" s="1" t="str">
        <v>Reason</v>
      </c>
      <c r="D244" s="1" t="str">
        <v>Reason field is optional</v>
      </c>
      <c r="E244" s="1" t="str">
        <v>Medium</v>
      </c>
      <c r="F244" s="1" t="str">
        <v>BR-LEA-11</v>
      </c>
      <c r="G244" s="1" t="str">
        <v>Not Run</v>
      </c>
    </row>
    <row r="245">
      <c r="A245" s="1" t="str">
        <v>LEA-030</v>
      </c>
      <c r="B245" s="1" t="str">
        <v>Leave Application</v>
      </c>
      <c r="C245" s="1" t="str">
        <v>Reason</v>
      </c>
      <c r="D245" s="1" t="str">
        <v>Reason field accepts text input</v>
      </c>
      <c r="E245" s="1" t="str">
        <v>Medium</v>
      </c>
      <c r="F245" s="1" t="str">
        <v>BR-LEA-11</v>
      </c>
      <c r="G245" s="1" t="str">
        <v>Not Run</v>
      </c>
    </row>
    <row r="246">
      <c r="A246" s="1" t="str">
        <v>LEA-031</v>
      </c>
      <c r="B246" s="1" t="str">
        <v>Leave Application</v>
      </c>
      <c r="C246" s="1" t="str">
        <v>Reason</v>
      </c>
      <c r="D246" s="1" t="str">
        <v>Reason field accepts special characters</v>
      </c>
      <c r="E246" s="1" t="str">
        <v>Medium</v>
      </c>
      <c r="F246" s="1" t="str">
        <v>BR-LEA-11</v>
      </c>
      <c r="G246" s="1" t="str">
        <v>Not Run</v>
      </c>
    </row>
    <row r="247">
      <c r="A247" s="1" t="str">
        <v>LEA-032</v>
      </c>
      <c r="B247" s="1" t="str">
        <v>Leave Application</v>
      </c>
      <c r="C247" s="1" t="str">
        <v>Leave Approver</v>
      </c>
      <c r="D247" s="1" t="str">
        <v>Valid leave approver can be selected</v>
      </c>
      <c r="E247" s="1" t="str">
        <v>Critical</v>
      </c>
      <c r="F247" s="1" t="str">
        <v>BR-LEA-12</v>
      </c>
      <c r="G247" s="1" t="str">
        <v>Not Run</v>
      </c>
    </row>
    <row r="248">
      <c r="A248" s="1" t="str">
        <v>LEA-033</v>
      </c>
      <c r="B248" s="1" t="str">
        <v>Leave Application</v>
      </c>
      <c r="C248" s="1" t="str">
        <v>Leave Approver</v>
      </c>
      <c r="D248" s="1" t="str">
        <v>Invalid approver is rejected</v>
      </c>
      <c r="E248" s="1" t="str">
        <v>Critical</v>
      </c>
      <c r="F248" s="1" t="str">
        <v>BR-LEA-12</v>
      </c>
      <c r="G248" s="1" t="str">
        <v>Not Run</v>
      </c>
    </row>
    <row r="249">
      <c r="A249" s="1" t="str">
        <v>LEA-034</v>
      </c>
      <c r="B249" s="1" t="str">
        <v>Leave Application</v>
      </c>
      <c r="C249" s="1" t="str">
        <v>Leave Approver</v>
      </c>
      <c r="D249" s="1" t="str">
        <v>Leave Approver field is mandatory and cannot be left blank</v>
      </c>
      <c r="E249" s="1" t="str">
        <v>Critical</v>
      </c>
      <c r="F249" s="1" t="str">
        <v>BR-LEA-12</v>
      </c>
      <c r="G249" s="1" t="str">
        <v>Not Run</v>
      </c>
    </row>
    <row r="250">
      <c r="A250" s="1" t="str">
        <v>LEA-035</v>
      </c>
      <c r="B250" s="1" t="str">
        <v>Leave Application</v>
      </c>
      <c r="C250" s="1" t="str">
        <v>Leave Approver</v>
      </c>
      <c r="D250" s="1" t="str">
        <v>Leave Approver must have approval authority for the employee</v>
      </c>
      <c r="E250" s="1" t="str">
        <v>Critical</v>
      </c>
      <c r="F250" s="1" t="str">
        <v>BR-LEA-12</v>
      </c>
      <c r="G250" s="1" t="str">
        <v>Not Run</v>
      </c>
    </row>
    <row r="251">
      <c r="A251" s="1" t="str">
        <v>LEA-036</v>
      </c>
      <c r="B251" s="1" t="str">
        <v>Leave Application</v>
      </c>
      <c r="C251" s="1" t="str">
        <v>Posting Date</v>
      </c>
      <c r="D251" s="1" t="str">
        <v>Posting Date is auto-populated with current date</v>
      </c>
      <c r="E251" s="1" t="str">
        <v>High</v>
      </c>
      <c r="F251" s="1" t="str">
        <v>BR-LEA-13</v>
      </c>
      <c r="G251" s="1" t="str">
        <v>Not Run</v>
      </c>
    </row>
    <row r="252">
      <c r="A252" s="1" t="str">
        <v>LEA-037</v>
      </c>
      <c r="B252" s="1" t="str">
        <v>Leave Application</v>
      </c>
      <c r="C252" s="1" t="str">
        <v>Posting Date</v>
      </c>
      <c r="D252" s="1" t="str">
        <v>Posting Date cannot be manually changed</v>
      </c>
      <c r="E252" s="1" t="str">
        <v>High</v>
      </c>
      <c r="F252" s="1" t="str">
        <v>BR-LEA-13</v>
      </c>
      <c r="G252" s="1" t="str">
        <v>Not Run</v>
      </c>
    </row>
    <row r="253">
      <c r="A253" s="1" t="str">
        <v>LEA-038</v>
      </c>
      <c r="B253" s="1" t="str">
        <v>Leave Application</v>
      </c>
      <c r="C253" s="1" t="str">
        <v>Posting Date</v>
      </c>
      <c r="D253" s="1" t="str">
        <v>Posting Date is recorded accurately on submission</v>
      </c>
      <c r="E253" s="1" t="str">
        <v>High</v>
      </c>
      <c r="F253" s="1" t="str">
        <v>BR-LEA-13</v>
      </c>
      <c r="G253" s="1" t="str">
        <v>Not Run</v>
      </c>
    </row>
    <row r="254">
      <c r="A254" s="1" t="str">
        <v>LEA-039</v>
      </c>
      <c r="B254" s="1" t="str">
        <v>Leave Application</v>
      </c>
      <c r="C254" s="1" t="str">
        <v>Leave Balance</v>
      </c>
      <c r="D254" s="1" t="str">
        <v>Leave balance is displayed for selected leave type</v>
      </c>
      <c r="E254" s="1" t="str">
        <v>Critical</v>
      </c>
      <c r="F254" s="1" t="str">
        <v>BR-LEA-06</v>
      </c>
      <c r="G254" s="1" t="str">
        <v>Not Run</v>
      </c>
    </row>
    <row r="255">
      <c r="A255" s="1" t="str">
        <v>LEA-040</v>
      </c>
      <c r="B255" s="1" t="str">
        <v>Leave Application</v>
      </c>
      <c r="C255" s="1" t="str">
        <v>Leave Balance</v>
      </c>
      <c r="D255" s="1" t="str">
        <v>Leave balance decreases after leave application is approved</v>
      </c>
      <c r="E255" s="1" t="str">
        <v>Critical</v>
      </c>
      <c r="F255" s="1" t="str">
        <v>BR-LEA-06</v>
      </c>
      <c r="G255" s="1" t="str">
        <v>Not Run</v>
      </c>
    </row>
    <row r="256">
      <c r="A256" s="1" t="str">
        <v>LEA-041</v>
      </c>
      <c r="B256" s="1" t="str">
        <v>Leave Application</v>
      </c>
      <c r="C256" s="1" t="str">
        <v>Leave Balance</v>
      </c>
      <c r="D256" s="1" t="str">
        <v>Leave balance is restored after leave is cancelled</v>
      </c>
      <c r="E256" s="1" t="str">
        <v>Critical</v>
      </c>
      <c r="F256" s="1" t="str">
        <v>BR-LEA-06</v>
      </c>
      <c r="G256" s="1" t="str">
        <v>Not Run</v>
      </c>
    </row>
    <row r="257">
      <c r="A257" s="1" t="str">
        <v>LEA-042</v>
      </c>
      <c r="B257" s="1" t="str">
        <v>Leave Application</v>
      </c>
      <c r="C257" s="1" t="str">
        <v>Leave Balance</v>
      </c>
      <c r="D257" s="1" t="str">
        <v>Leave application is rejected if balance is insufficient</v>
      </c>
      <c r="E257" s="1" t="str">
        <v>Critical</v>
      </c>
      <c r="F257" s="1" t="str">
        <v>BR-LEA-06</v>
      </c>
      <c r="G257" s="1" t="str">
        <v>Not Run</v>
      </c>
    </row>
    <row r="258">
      <c r="A258" s="1" t="str">
        <v>LEA-043</v>
      </c>
      <c r="B258" s="1" t="str">
        <v>Leave Application</v>
      </c>
      <c r="C258" s="1" t="str">
        <v>Leave Balance</v>
      </c>
      <c r="D258" s="1" t="str">
        <v>Leave balance updates are reflected in real-time</v>
      </c>
      <c r="E258" s="1" t="str">
        <v>High</v>
      </c>
      <c r="F258" s="1" t="str">
        <v>BR-LEA-06</v>
      </c>
      <c r="G258" s="1" t="str">
        <v>Not Run</v>
      </c>
    </row>
    <row r="259">
      <c r="A259" s="1" t="str">
        <v>LEA-044</v>
      </c>
      <c r="B259" s="1" t="str">
        <v>Leave Application</v>
      </c>
      <c r="C259" s="1" t="str">
        <v>Status &amp; Workflow</v>
      </c>
      <c r="D259" s="1" t="str">
        <v>Status defaults to Open on creation</v>
      </c>
      <c r="E259" s="1" t="str">
        <v>Critical</v>
      </c>
      <c r="F259" s="1" t="str">
        <v>BR-LEA-14</v>
      </c>
      <c r="G259" s="1" t="str">
        <v>Not Run</v>
      </c>
    </row>
    <row r="260">
      <c r="A260" s="1" t="str">
        <v>LEA-045</v>
      </c>
      <c r="B260" s="1" t="str">
        <v>Leave Application</v>
      </c>
      <c r="C260" s="1" t="str">
        <v>Status &amp; Workflow</v>
      </c>
      <c r="D260" s="1" t="str">
        <v>Status changes to Approved after approval</v>
      </c>
      <c r="E260" s="1" t="str">
        <v>Critical</v>
      </c>
      <c r="F260" s="1" t="str">
        <v>BR-LEA-14</v>
      </c>
      <c r="G260" s="1" t="str">
        <v>Not Run</v>
      </c>
    </row>
    <row r="261">
      <c r="A261" s="1" t="str">
        <v>LEA-046</v>
      </c>
      <c r="B261" s="1" t="str">
        <v>Leave Application</v>
      </c>
      <c r="C261" s="1" t="str">
        <v>Status &amp; Workflow</v>
      </c>
      <c r="D261" s="1" t="str">
        <v>Status changes to Rejected after rejection</v>
      </c>
      <c r="E261" s="1" t="str">
        <v>Critical</v>
      </c>
      <c r="F261" s="1" t="str">
        <v>BR-LEA-14</v>
      </c>
      <c r="G261" s="1" t="str">
        <v>Not Run</v>
      </c>
    </row>
    <row r="262">
      <c r="A262" s="1" t="str">
        <v>LEA-047</v>
      </c>
      <c r="B262" s="1" t="str">
        <v>Leave Application</v>
      </c>
      <c r="C262" s="1" t="str">
        <v>Status &amp; Workflow</v>
      </c>
      <c r="D262" s="1" t="str">
        <v>Cancelled leave application shows Cancelled status</v>
      </c>
      <c r="E262" s="1" t="str">
        <v>Critical</v>
      </c>
      <c r="F262" s="1" t="str">
        <v>BR-LEA-14</v>
      </c>
      <c r="G262" s="1" t="str">
        <v>Not Run</v>
      </c>
    </row>
    <row r="263">
      <c r="A263" s="1" t="str">
        <v>LEA-048</v>
      </c>
      <c r="B263" s="1" t="str">
        <v>Leave Application</v>
      </c>
      <c r="C263" s="1" t="str">
        <v>Status &amp; Workflow</v>
      </c>
      <c r="D263" s="1" t="str">
        <v>Only authorised user can approve leave application</v>
      </c>
      <c r="E263" s="1" t="str">
        <v>Critical</v>
      </c>
      <c r="F263" s="1" t="str">
        <v>BR-LEA-12</v>
      </c>
      <c r="G263" s="1" t="str">
        <v>Not Run</v>
      </c>
    </row>
    <row r="264">
      <c r="A264" s="1" t="str">
        <v>LEA-049</v>
      </c>
      <c r="B264" s="1" t="str">
        <v>Leave Application</v>
      </c>
      <c r="C264" s="1" t="str">
        <v>Data Validation</v>
      </c>
      <c r="D264" s="1" t="str">
        <v>Leave Application cannot be saved without Employee</v>
      </c>
      <c r="E264" s="1" t="str">
        <v>Critical</v>
      </c>
      <c r="F264" s="1" t="str">
        <v>BR-LEA-04</v>
      </c>
      <c r="G264" s="1" t="str">
        <v>Not Run</v>
      </c>
    </row>
    <row r="265">
      <c r="A265" s="1" t="str">
        <v>LEA-050</v>
      </c>
      <c r="B265" s="1" t="str">
        <v>Leave Application</v>
      </c>
      <c r="C265" s="1" t="str">
        <v>Data Validation</v>
      </c>
      <c r="D265" s="1" t="str">
        <v>Leave Application cannot be saved without Leave Type</v>
      </c>
      <c r="E265" s="1" t="str">
        <v>Critical</v>
      </c>
      <c r="F265" s="1" t="str">
        <v>BR-LEA-05</v>
      </c>
      <c r="G265" s="1" t="str">
        <v>Not Run</v>
      </c>
    </row>
    <row r="266">
      <c r="A266" s="1" t="str">
        <v>LEA-051</v>
      </c>
      <c r="B266" s="1" t="str">
        <v>Leave Application</v>
      </c>
      <c r="C266" s="1" t="str">
        <v>Data Validation</v>
      </c>
      <c r="D266" s="1" t="str">
        <v>Leave Application cannot be saved without From Date</v>
      </c>
      <c r="E266" s="1" t="str">
        <v>Critical</v>
      </c>
      <c r="F266" s="1" t="str">
        <v>BR-LEA-08</v>
      </c>
      <c r="G266" s="1" t="str">
        <v>Not Run</v>
      </c>
    </row>
    <row r="267">
      <c r="A267" s="1" t="str">
        <v>LEA-052</v>
      </c>
      <c r="B267" s="1" t="str">
        <v>Leave Application</v>
      </c>
      <c r="C267" s="1" t="str">
        <v>Data Validation</v>
      </c>
      <c r="D267" s="1" t="str">
        <v>Leave Application cannot be saved without To Date</v>
      </c>
      <c r="E267" s="1" t="str">
        <v>Critical</v>
      </c>
      <c r="F267" s="1" t="str">
        <v>BR-LEA-08</v>
      </c>
      <c r="G267" s="1" t="str">
        <v>Not Run</v>
      </c>
    </row>
    <row r="268">
      <c r="A268" s="1" t="str">
        <v>LEA-053</v>
      </c>
      <c r="B268" s="1" t="str">
        <v>Leave Application</v>
      </c>
      <c r="C268" s="1" t="str">
        <v>Data Validation</v>
      </c>
      <c r="D268" s="1" t="str">
        <v>Leave Application cannot be submitted with From Date after To Date</v>
      </c>
      <c r="E268" s="1" t="str">
        <v>Critical</v>
      </c>
      <c r="F268" s="1" t="str">
        <v>BR-LEA-08</v>
      </c>
      <c r="G268" s="1" t="str">
        <v>Not Run</v>
      </c>
    </row>
    <row r="269">
      <c r="A269" s="1" t="str">
        <v>LEA-054</v>
      </c>
      <c r="B269" s="1" t="str">
        <v>Leave Application</v>
      </c>
      <c r="C269" s="1" t="str">
        <v>Editing &amp; Updates</v>
      </c>
      <c r="D269" s="1" t="str">
        <v>Edit Leave Type on existing leave application</v>
      </c>
      <c r="E269" s="1" t="str">
        <v>High</v>
      </c>
      <c r="F269" s="1" t="str">
        <v>BR-LEA-15</v>
      </c>
      <c r="G269" s="1" t="str">
        <v>Not Run</v>
      </c>
    </row>
    <row r="270">
      <c r="A270" s="1" t="str">
        <v>LEA-055</v>
      </c>
      <c r="B270" s="1" t="str">
        <v>Leave Application</v>
      </c>
      <c r="C270" s="1" t="str">
        <v>Editing &amp; Updates</v>
      </c>
      <c r="D270" s="1" t="str">
        <v>Edit date range on existing leave application</v>
      </c>
      <c r="E270" s="1" t="str">
        <v>High</v>
      </c>
      <c r="F270" s="1" t="str">
        <v>BR-LEA-15</v>
      </c>
      <c r="G270" s="1" t="str">
        <v>Not Run</v>
      </c>
    </row>
    <row r="271">
      <c r="A271" s="1" t="str">
        <v>LEA-056</v>
      </c>
      <c r="B271" s="1" t="str">
        <v>Leave Application</v>
      </c>
      <c r="C271" s="1" t="str">
        <v>Editing &amp; Updates</v>
      </c>
      <c r="D271" s="1" t="str">
        <v>Edit reason on existing leave application</v>
      </c>
      <c r="E271" s="1" t="str">
        <v>Medium</v>
      </c>
      <c r="F271" s="1" t="str">
        <v>BR-LEA-15</v>
      </c>
      <c r="G271" s="1" t="str">
        <v>Not Run</v>
      </c>
    </row>
    <row r="272">
      <c r="A272" s="1" t="str">
        <v>LEA-057</v>
      </c>
      <c r="B272" s="1" t="str">
        <v>Leave Application</v>
      </c>
      <c r="C272" s="1" t="str">
        <v>Editing &amp; Updates</v>
      </c>
      <c r="D272" s="1" t="str">
        <v>Edit leave approver before submission</v>
      </c>
      <c r="E272" s="1" t="str">
        <v>High</v>
      </c>
      <c r="F272" s="1" t="str">
        <v>BR-LEA-15</v>
      </c>
      <c r="G272" s="1" t="str">
        <v>Not Run</v>
      </c>
    </row>
    <row r="273">
      <c r="A273" s="1" t="str">
        <v>LEA-058</v>
      </c>
      <c r="B273" s="1" t="str">
        <v>Leave Application</v>
      </c>
      <c r="C273" s="1" t="str">
        <v>Editing &amp; Updates</v>
      </c>
      <c r="D273" s="1" t="str">
        <v>Edit is restricted after leave is approved</v>
      </c>
      <c r="E273" s="1" t="str">
        <v>Critical</v>
      </c>
      <c r="F273" s="1" t="str">
        <v>BR-LEA-14</v>
      </c>
      <c r="G273" s="1" t="str">
        <v>Not Run</v>
      </c>
    </row>
    <row r="274">
      <c r="A274" s="1" t="str">
        <v>LEA-059</v>
      </c>
      <c r="B274" s="1" t="str">
        <v>Leave Application</v>
      </c>
      <c r="C274" s="1" t="str">
        <v>Form Actions</v>
      </c>
      <c r="D274" s="1" t="str">
        <v>Save Leave Application successfully</v>
      </c>
      <c r="E274" s="1" t="str">
        <v>Critical</v>
      </c>
      <c r="F274" s="1" t="str">
        <v>BR-LEA-01</v>
      </c>
      <c r="G274" s="1" t="str">
        <v>Not Run</v>
      </c>
    </row>
    <row r="275">
      <c r="A275" s="1" t="str">
        <v>LEA-060</v>
      </c>
      <c r="B275" s="1" t="str">
        <v>Leave Application</v>
      </c>
      <c r="C275" s="1" t="str">
        <v>Form Actions</v>
      </c>
      <c r="D275" s="1" t="str">
        <v>Submit Leave Application successfully</v>
      </c>
      <c r="E275" s="1" t="str">
        <v>Critical</v>
      </c>
      <c r="F275" s="1" t="str">
        <v>BR-LEA-16</v>
      </c>
      <c r="G275" s="1" t="str">
        <v>Not Run</v>
      </c>
    </row>
    <row r="276">
      <c r="A276" s="1" t="str">
        <v>LEA-061</v>
      </c>
      <c r="B276" s="1" t="str">
        <v>Leave Application</v>
      </c>
      <c r="C276" s="1" t="str">
        <v>Form Actions</v>
      </c>
      <c r="D276" s="1" t="str">
        <v>Form shows "Not Saved" status before save</v>
      </c>
      <c r="E276" s="1" t="str">
        <v>Medium</v>
      </c>
      <c r="F276" s="1" t="str">
        <v>BR-LEA-16</v>
      </c>
      <c r="G276" s="1" t="str">
        <v>Not Run</v>
      </c>
    </row>
    <row r="277">
      <c r="A277" s="1" t="str">
        <v>LEA-062</v>
      </c>
      <c r="B277" s="1" t="str">
        <v>Leave Application</v>
      </c>
      <c r="C277" s="1" t="str">
        <v>Form Actions</v>
      </c>
      <c r="D277" s="1" t="str">
        <v>Form shows "Saved" status after successful save</v>
      </c>
      <c r="E277" s="1" t="str">
        <v>Medium</v>
      </c>
      <c r="F277" s="1" t="str">
        <v>BR-LEA-16</v>
      </c>
      <c r="G277" s="1" t="str">
        <v>Not Run</v>
      </c>
    </row>
    <row r="278">
      <c r="A278" s="1" t="str">
        <v>LEA-063</v>
      </c>
      <c r="B278" s="1" t="str">
        <v>Leave Application</v>
      </c>
      <c r="C278" s="1" t="str">
        <v>Form Actions</v>
      </c>
      <c r="D278" s="1" t="str">
        <v>Duplicate existing Leave Application</v>
      </c>
      <c r="E278" s="1" t="str">
        <v>High</v>
      </c>
      <c r="F278" s="1" t="str">
        <v>BR-LEA-16</v>
      </c>
      <c r="G278" s="1" t="str">
        <v>Not Run</v>
      </c>
    </row>
    <row r="279">
      <c r="A279" s="1" t="str">
        <v>LEA-064</v>
      </c>
      <c r="B279" s="1" t="str">
        <v>Leave Application</v>
      </c>
      <c r="C279" s="1" t="str">
        <v>Form Actions</v>
      </c>
      <c r="D279" s="1" t="str">
        <v>Cancel submitted Leave Application</v>
      </c>
      <c r="E279" s="1" t="str">
        <v>Critical</v>
      </c>
      <c r="F279" s="1" t="str">
        <v>BR-LEA-16</v>
      </c>
      <c r="G279" s="1" t="str">
        <v>Not Run</v>
      </c>
    </row>
    <row r="280">
      <c r="A280" s="1" t="str">
        <v>LEA-065</v>
      </c>
      <c r="B280" s="1" t="str">
        <v>Leave Application</v>
      </c>
      <c r="C280" s="1" t="str">
        <v>Form Actions</v>
      </c>
      <c r="D280" s="1" t="str">
        <v>Delete Draft Leave Application</v>
      </c>
      <c r="E280" s="1" t="str">
        <v>High</v>
      </c>
      <c r="F280" s="1" t="str">
        <v>BR-LEA-16</v>
      </c>
      <c r="G280" s="1" t="str">
        <v>Not Run</v>
      </c>
    </row>
    <row r="281">
      <c r="A281" s="1" t="str">
        <v>▌ Service Call</v>
      </c>
    </row>
    <row r="282">
      <c r="A282" s="1" t="str">
        <v>SC-001</v>
      </c>
      <c r="B282" s="1" t="str">
        <v>Service Call</v>
      </c>
      <c r="C282" s="1" t="str">
        <v>Service Call Creation &amp; Basic Details</v>
      </c>
      <c r="D282" s="1" t="str">
        <v>Create Service Call with mandatory fields only (Customer, Service Type)</v>
      </c>
      <c r="E282" s="1" t="str">
        <v>Critical</v>
      </c>
      <c r="F282" s="1" t="str">
        <v>BR-SC-01</v>
      </c>
      <c r="G282" s="1" t="str">
        <v>Not Run</v>
      </c>
    </row>
    <row r="283">
      <c r="A283" s="1" t="str">
        <v>SC-002</v>
      </c>
      <c r="B283" s="1" t="str">
        <v>Service Call</v>
      </c>
      <c r="C283" s="1" t="str">
        <v>Service Call Creation &amp; Basic Details</v>
      </c>
      <c r="D283" s="1" t="str">
        <v>Create Service Call with all basic fields (Customer, Title, Description, Priority)</v>
      </c>
      <c r="E283" s="1" t="str">
        <v>Critical</v>
      </c>
      <c r="F283" s="1" t="str">
        <v>BR-SC-01, BR-SC-02</v>
      </c>
      <c r="G283" s="1" t="str">
        <v>Not Run</v>
      </c>
    </row>
    <row r="284">
      <c r="A284" s="1" t="str">
        <v>SC-003</v>
      </c>
      <c r="B284" s="1" t="str">
        <v>Service Call</v>
      </c>
      <c r="C284" s="1" t="str">
        <v>Service Call Creation &amp; Basic Details</v>
      </c>
      <c r="D284" s="1" t="str">
        <v>Create Service Call with multiple Service Items</v>
      </c>
      <c r="E284" s="1" t="str">
        <v>High</v>
      </c>
      <c r="F284" s="1" t="str">
        <v>BR-SC-08</v>
      </c>
      <c r="G284" s="1" t="str">
        <v>Not Run</v>
      </c>
    </row>
    <row r="285">
      <c r="A285" s="1" t="str">
        <v>SC-004</v>
      </c>
      <c r="B285" s="1" t="str">
        <v>Service Call</v>
      </c>
      <c r="C285" s="1" t="str">
        <v>Service Call Creation &amp; Basic Details</v>
      </c>
      <c r="D285" s="1" t="str">
        <v>Create Service Call for Individual customer type</v>
      </c>
      <c r="E285" s="1" t="str">
        <v>High</v>
      </c>
      <c r="F285" s="1" t="str">
        <v>BR-SC-03</v>
      </c>
      <c r="G285" s="1" t="str">
        <v>Not Run</v>
      </c>
    </row>
    <row r="286">
      <c r="A286" s="1" t="str">
        <v>SC-005</v>
      </c>
      <c r="B286" s="1" t="str">
        <v>Service Call</v>
      </c>
      <c r="C286" s="1" t="str">
        <v>Service Call Creation &amp; Basic Details</v>
      </c>
      <c r="D286" s="1" t="str">
        <v>Create Service Call for Company customer type</v>
      </c>
      <c r="E286" s="1" t="str">
        <v>High</v>
      </c>
      <c r="F286" s="1" t="str">
        <v>BR-SC-03</v>
      </c>
      <c r="G286" s="1" t="str">
        <v>Not Run</v>
      </c>
    </row>
    <row r="287">
      <c r="A287" s="1" t="str">
        <v>SC-006</v>
      </c>
      <c r="B287" s="1" t="str">
        <v>Service Call</v>
      </c>
      <c r="C287" s="1" t="str">
        <v>Customer &amp; Location Validation</v>
      </c>
      <c r="D287" s="1" t="str">
        <v>Valid customer selection populates branch locations</v>
      </c>
      <c r="E287" s="1" t="str">
        <v>Critical</v>
      </c>
      <c r="F287" s="1" t="str">
        <v>BR-SC-03</v>
      </c>
      <c r="G287" s="1" t="str">
        <v>Not Run</v>
      </c>
    </row>
    <row r="288">
      <c r="A288" s="1" t="str">
        <v>SC-007</v>
      </c>
      <c r="B288" s="1" t="str">
        <v>Service Call</v>
      </c>
      <c r="C288" s="1" t="str">
        <v>Customer &amp; Location Validation</v>
      </c>
      <c r="D288" s="1" t="str">
        <v>Invalid/non-existent customer is rejected</v>
      </c>
      <c r="E288" s="1" t="str">
        <v>Critical</v>
      </c>
      <c r="F288" s="1" t="str">
        <v>BR-SC-03</v>
      </c>
      <c r="G288" s="1" t="str">
        <v>Not Run</v>
      </c>
    </row>
    <row r="289">
      <c r="A289" s="1" t="str">
        <v>SC-008</v>
      </c>
      <c r="B289" s="1" t="str">
        <v>Service Call</v>
      </c>
      <c r="C289" s="1" t="str">
        <v>Customer &amp; Location Validation</v>
      </c>
      <c r="D289" s="1" t="str">
        <v>Service Call can be linked to specific branch location</v>
      </c>
      <c r="E289" s="1" t="str">
        <v>High</v>
      </c>
      <c r="F289" s="1" t="str">
        <v>BR-SC-04</v>
      </c>
      <c r="G289" s="1" t="str">
        <v>Not Run</v>
      </c>
    </row>
    <row r="290">
      <c r="A290" s="1" t="str">
        <v>SC-009</v>
      </c>
      <c r="B290" s="1" t="str">
        <v>Service Call</v>
      </c>
      <c r="C290" s="1" t="str">
        <v>Customer &amp; Location Validation</v>
      </c>
      <c r="D290" s="1" t="str">
        <v>Contact person is filtered by selected branch</v>
      </c>
      <c r="E290" s="1" t="str">
        <v>High</v>
      </c>
      <c r="F290" s="1" t="str">
        <v>BR-SC-04</v>
      </c>
      <c r="G290" s="1" t="str">
        <v>Not Run</v>
      </c>
    </row>
    <row r="291">
      <c r="A291" s="1" t="str">
        <v>SC-010</v>
      </c>
      <c r="B291" s="1" t="str">
        <v>Service Call</v>
      </c>
      <c r="C291" s="1" t="str">
        <v>Technician Assignment</v>
      </c>
      <c r="D291" s="1" t="str">
        <v>Assign available technician to Service Call</v>
      </c>
      <c r="E291" s="1" t="str">
        <v>Critical</v>
      </c>
      <c r="F291" s="1" t="str">
        <v>BR-SC-05</v>
      </c>
      <c r="G291" s="1" t="str">
        <v>Not Run</v>
      </c>
    </row>
    <row r="292">
      <c r="A292" s="1" t="str">
        <v>SC-011</v>
      </c>
      <c r="B292" s="1" t="str">
        <v>Service Call</v>
      </c>
      <c r="C292" s="1" t="str">
        <v>Technician Assignment</v>
      </c>
      <c r="D292" s="1" t="str">
        <v>Reassign technician to different Service Call</v>
      </c>
      <c r="E292" s="1" t="str">
        <v>High</v>
      </c>
      <c r="F292" s="1" t="str">
        <v>BR-SC-05</v>
      </c>
      <c r="G292" s="1" t="str">
        <v>Not Run</v>
      </c>
    </row>
    <row r="293">
      <c r="A293" s="1" t="str">
        <v>SC-012</v>
      </c>
      <c r="B293" s="1" t="str">
        <v>Service Call</v>
      </c>
      <c r="C293" s="1" t="str">
        <v>Technician Assignment</v>
      </c>
      <c r="D293" s="1" t="str">
        <v>Service Call without technician assignment is saved successfully</v>
      </c>
      <c r="E293" s="1" t="str">
        <v>Medium</v>
      </c>
      <c r="F293" s="1" t="str">
        <v>BR-SC-05</v>
      </c>
      <c r="G293" s="1" t="str">
        <v>Not Run</v>
      </c>
    </row>
    <row r="294">
      <c r="A294" s="1" t="str">
        <v>SC-013</v>
      </c>
      <c r="B294" s="1" t="str">
        <v>Service Call</v>
      </c>
      <c r="C294" s="1" t="str">
        <v>Technician Assignment</v>
      </c>
      <c r="D294" s="1" t="str">
        <v>Duplicate technician assignment is blocked</v>
      </c>
      <c r="E294" s="1" t="str">
        <v>Critical</v>
      </c>
      <c r="F294" s="1" t="str">
        <v>BR-SC-05</v>
      </c>
      <c r="G294" s="1" t="str">
        <v>Not Run</v>
      </c>
    </row>
    <row r="295">
      <c r="A295" s="1" t="str">
        <v>SC-014</v>
      </c>
      <c r="B295" s="1" t="str">
        <v>Service Call</v>
      </c>
      <c r="C295" s="1" t="str">
        <v>Priority &amp; Status Management</v>
      </c>
      <c r="D295" s="1" t="str">
        <v>Create High Priority Service Call</v>
      </c>
      <c r="E295" s="1" t="str">
        <v>High</v>
      </c>
      <c r="F295" s="1" t="str">
        <v>BR-SC-06</v>
      </c>
      <c r="G295" s="1" t="str">
        <v>Not Run</v>
      </c>
    </row>
    <row r="296">
      <c r="A296" s="1" t="str">
        <v>SC-015</v>
      </c>
      <c r="B296" s="1" t="str">
        <v>Service Call</v>
      </c>
      <c r="C296" s="1" t="str">
        <v>Priority &amp; Status Management</v>
      </c>
      <c r="D296" s="1" t="str">
        <v>Create Low Priority Service Call</v>
      </c>
      <c r="E296" s="1" t="str">
        <v>Medium</v>
      </c>
      <c r="F296" s="1" t="str">
        <v>BR-SC-06</v>
      </c>
      <c r="G296" s="1" t="str">
        <v>Not Run</v>
      </c>
    </row>
    <row r="297">
      <c r="A297" s="1" t="str">
        <v>SC-016</v>
      </c>
      <c r="B297" s="1" t="str">
        <v>Service Call</v>
      </c>
      <c r="C297" s="1" t="str">
        <v>Priority &amp; Status Management</v>
      </c>
      <c r="D297" s="1" t="str">
        <v>Status transitions from Draft to Assigned to In Progress</v>
      </c>
      <c r="E297" s="1" t="str">
        <v>Critical</v>
      </c>
      <c r="F297" s="1" t="str">
        <v>BR-SC-07</v>
      </c>
      <c r="G297" s="1" t="str">
        <v>Not Run</v>
      </c>
    </row>
    <row r="298">
      <c r="A298" s="1" t="str">
        <v>SC-017</v>
      </c>
      <c r="B298" s="1" t="str">
        <v>Service Call</v>
      </c>
      <c r="C298" s="1" t="str">
        <v>Priority &amp; Status Management</v>
      </c>
      <c r="D298" s="1" t="str">
        <v>Status transitions from In Progress to Completed</v>
      </c>
      <c r="E298" s="1" t="str">
        <v>Critical</v>
      </c>
      <c r="F298" s="1" t="str">
        <v>BR-SC-07</v>
      </c>
      <c r="G298" s="1" t="str">
        <v>Not Run</v>
      </c>
    </row>
    <row r="299">
      <c r="A299" s="1" t="str">
        <v>SC-018</v>
      </c>
      <c r="B299" s="1" t="str">
        <v>Service Call</v>
      </c>
      <c r="C299" s="1" t="str">
        <v>Priority &amp; Status Management</v>
      </c>
      <c r="D299" s="1" t="str">
        <v>Invalid status transition is rejected with error message</v>
      </c>
      <c r="E299" s="1" t="str">
        <v>Critical</v>
      </c>
      <c r="F299" s="1" t="str">
        <v>BR-SC-07</v>
      </c>
      <c r="G299" s="1" t="str">
        <v>Not Run</v>
      </c>
    </row>
    <row r="300">
      <c r="A300" s="1" t="str">
        <v>SC-019</v>
      </c>
      <c r="B300" s="1" t="str">
        <v>Service Call</v>
      </c>
      <c r="C300" s="1" t="str">
        <v>Service Date &amp; Time</v>
      </c>
      <c r="D300" s="1" t="str">
        <v>Schedule Service Call with valid date &amp; time</v>
      </c>
      <c r="E300" s="1" t="str">
        <v>Critical</v>
      </c>
      <c r="F300" s="1" t="str">
        <v>BR-SC-09</v>
      </c>
      <c r="G300" s="1" t="str">
        <v>Not Run</v>
      </c>
    </row>
    <row r="301">
      <c r="A301" s="1" t="str">
        <v>SC-020</v>
      </c>
      <c r="B301" s="1" t="str">
        <v>Service Call</v>
      </c>
      <c r="C301" s="1" t="str">
        <v>Service Date &amp; Time</v>
      </c>
      <c r="D301" s="1" t="str">
        <v>Service date in past is rejected</v>
      </c>
      <c r="E301" s="1" t="str">
        <v>Critical</v>
      </c>
      <c r="F301" s="1" t="str">
        <v>BR-SC-09</v>
      </c>
      <c r="G301" s="1" t="str">
        <v>Not Run</v>
      </c>
    </row>
    <row r="302">
      <c r="A302" s="1" t="str">
        <v>SC-021</v>
      </c>
      <c r="B302" s="1" t="str">
        <v>Service Call</v>
      </c>
      <c r="C302" s="1" t="str">
        <v>Service Date &amp; Time</v>
      </c>
      <c r="D302" s="1" t="str">
        <v>Service date cannot be left blank</v>
      </c>
      <c r="E302" s="1" t="str">
        <v>Critical</v>
      </c>
      <c r="F302" s="1" t="str">
        <v>BR-SC-09</v>
      </c>
      <c r="G302" s="1" t="str">
        <v>Not Run</v>
      </c>
    </row>
    <row r="303">
      <c r="A303" s="1" t="str">
        <v>SC-022</v>
      </c>
      <c r="B303" s="1" t="str">
        <v>Service Call</v>
      </c>
      <c r="C303" s="1" t="str">
        <v>Service Date &amp; Time</v>
      </c>
      <c r="D303" s="1" t="str">
        <v>Service start time and end time are recorded correctly</v>
      </c>
      <c r="E303" s="1" t="str">
        <v>High</v>
      </c>
      <c r="F303" s="1" t="str">
        <v>BR-SC-09</v>
      </c>
      <c r="G303" s="1" t="str">
        <v>Not Run</v>
      </c>
    </row>
    <row r="304">
      <c r="A304" s="1" t="str">
        <v>SC-023</v>
      </c>
      <c r="B304" s="1" t="str">
        <v>Service Call</v>
      </c>
      <c r="C304" s="1" t="str">
        <v>Service Items &amp; Inventory</v>
      </c>
      <c r="D304" s="1" t="str">
        <v>Add single Service Item to Service Call</v>
      </c>
      <c r="E304" s="1" t="str">
        <v>Critical</v>
      </c>
      <c r="F304" s="1" t="str">
        <v>BR-SC-08</v>
      </c>
      <c r="G304" s="1" t="str">
        <v>Not Run</v>
      </c>
    </row>
    <row r="305">
      <c r="A305" s="1" t="str">
        <v>SC-024</v>
      </c>
      <c r="B305" s="1" t="str">
        <v>Service Call</v>
      </c>
      <c r="C305" s="1" t="str">
        <v>Service Items &amp; Inventory</v>
      </c>
      <c r="D305" s="1" t="str">
        <v>Add multiple Service Items to same Service Call</v>
      </c>
      <c r="E305" s="1" t="str">
        <v>High</v>
      </c>
      <c r="F305" s="1" t="str">
        <v>BR-SC-08</v>
      </c>
      <c r="G305" s="1" t="str">
        <v>Not Run</v>
      </c>
    </row>
    <row r="306">
      <c r="A306" s="1" t="str">
        <v>SC-025</v>
      </c>
      <c r="B306" s="1" t="str">
        <v>Service Call</v>
      </c>
      <c r="C306" s="1" t="str">
        <v>Service Items &amp; Inventory</v>
      </c>
      <c r="D306" s="1" t="str">
        <v>Delete Service Item row from Service Call</v>
      </c>
      <c r="E306" s="1" t="str">
        <v>Medium</v>
      </c>
      <c r="F306" s="1" t="str">
        <v>BR-SC-08</v>
      </c>
      <c r="G306" s="1" t="str">
        <v>Not Run</v>
      </c>
    </row>
    <row r="307">
      <c r="A307" s="1" t="str">
        <v>SC-026</v>
      </c>
      <c r="B307" s="1" t="str">
        <v>Service Call</v>
      </c>
      <c r="C307" s="1" t="str">
        <v>Service Items &amp; Inventory</v>
      </c>
      <c r="D307" s="1" t="str">
        <v>Service Item quantity can be updated</v>
      </c>
      <c r="E307" s="1" t="str">
        <v>High</v>
      </c>
      <c r="F307" s="1" t="str">
        <v>BR-SC-08</v>
      </c>
      <c r="G307" s="1" t="str">
        <v>Not Run</v>
      </c>
    </row>
    <row r="308">
      <c r="A308" s="1" t="str">
        <v>SC-027</v>
      </c>
      <c r="B308" s="1" t="str">
        <v>Service Call</v>
      </c>
      <c r="C308" s="1" t="str">
        <v>Service Items &amp; Inventory</v>
      </c>
      <c r="D308" s="1" t="str">
        <v>Out-of-stock Service Item is flagged with warning</v>
      </c>
      <c r="E308" s="1" t="str">
        <v>Critical</v>
      </c>
      <c r="F308" s="1" t="str">
        <v>BR-SC-08</v>
      </c>
      <c r="G308" s="1" t="str">
        <v>Not Run</v>
      </c>
    </row>
    <row r="309">
      <c r="A309" s="1" t="str">
        <v>SC-028</v>
      </c>
      <c r="B309" s="1" t="str">
        <v>Service Call</v>
      </c>
      <c r="C309" s="1" t="str">
        <v>Billing &amp; Cost Calculation</v>
      </c>
      <c r="D309" s="1" t="str">
        <v>Service Call total cost is calculated correctly</v>
      </c>
      <c r="E309" s="1" t="str">
        <v>Critical</v>
      </c>
      <c r="F309" s="1" t="str">
        <v>BR-SC-10</v>
      </c>
      <c r="G309" s="1" t="str">
        <v>Not Run</v>
      </c>
    </row>
    <row r="310">
      <c r="A310" s="1" t="str">
        <v>SC-029</v>
      </c>
      <c r="B310" s="1" t="str">
        <v>Service Call</v>
      </c>
      <c r="C310" s="1" t="str">
        <v>Billing &amp; Cost Calculation</v>
      </c>
      <c r="D310" s="1" t="str">
        <v>Discount applied to Service Call reduces total cost</v>
      </c>
      <c r="E310" s="1" t="str">
        <v>High</v>
      </c>
      <c r="F310" s="1" t="str">
        <v>BR-SC-10</v>
      </c>
      <c r="G310" s="1" t="str">
        <v>Not Run</v>
      </c>
    </row>
    <row r="311">
      <c r="A311" s="1" t="str">
        <v>SC-030</v>
      </c>
      <c r="B311" s="1" t="str">
        <v>Service Call</v>
      </c>
      <c r="C311" s="1" t="str">
        <v>Billing &amp; Cost Calculation</v>
      </c>
      <c r="D311" s="1" t="str">
        <v>Additional charges increase Service Call total cost</v>
      </c>
      <c r="E311" s="1" t="str">
        <v>High</v>
      </c>
      <c r="F311" s="1" t="str">
        <v>BR-SC-10</v>
      </c>
      <c r="G311" s="1" t="str">
        <v>Not Run</v>
      </c>
    </row>
    <row r="312">
      <c r="A312" s="1" t="str">
        <v>SC-031</v>
      </c>
      <c r="B312" s="1" t="str">
        <v>Service Call</v>
      </c>
      <c r="C312" s="1" t="str">
        <v>Billing &amp; Cost Calculation</v>
      </c>
      <c r="D312" s="1" t="str">
        <v>Billable flag determines invoice eligibility</v>
      </c>
      <c r="E312" s="1" t="str">
        <v>Critical</v>
      </c>
      <c r="F312" s="1" t="str">
        <v>BR-SC-10</v>
      </c>
      <c r="G312" s="1" t="str">
        <v>Not Run</v>
      </c>
    </row>
    <row r="313">
      <c r="A313" s="1" t="str">
        <v>SC-032</v>
      </c>
      <c r="B313" s="1" t="str">
        <v>Service Call</v>
      </c>
      <c r="C313" s="1" t="str">
        <v>SLA &amp; Warranty</v>
      </c>
      <c r="D313" s="1" t="str">
        <v>Service Call within warranty period is marked correctly</v>
      </c>
      <c r="E313" s="1" t="str">
        <v>Critical</v>
      </c>
      <c r="F313" s="1" t="str">
        <v>BR-SC-11</v>
      </c>
      <c r="G313" s="1" t="str">
        <v>Not Run</v>
      </c>
    </row>
    <row r="314">
      <c r="A314" s="1" t="str">
        <v>SC-033</v>
      </c>
      <c r="B314" s="1" t="str">
        <v>Service Call</v>
      </c>
      <c r="C314" s="1" t="str">
        <v>SLA &amp; Warranty</v>
      </c>
      <c r="D314" s="1" t="str">
        <v>Service Call outside warranty period is marked correctly</v>
      </c>
      <c r="E314" s="1" t="str">
        <v>Critical</v>
      </c>
      <c r="F314" s="1" t="str">
        <v>BR-SC-11</v>
      </c>
      <c r="G314" s="1" t="str">
        <v>Not Run</v>
      </c>
    </row>
    <row r="315">
      <c r="A315" s="1" t="str">
        <v>SC-034</v>
      </c>
      <c r="B315" s="1" t="str">
        <v>Service Call</v>
      </c>
      <c r="C315" s="1" t="str">
        <v>SLA &amp; Warranty</v>
      </c>
      <c r="D315" s="1" t="str">
        <v>SLA response time is tracked and validated</v>
      </c>
      <c r="E315" s="1" t="str">
        <v>Critical</v>
      </c>
      <c r="F315" s="1" t="str">
        <v>BR-SC-11</v>
      </c>
      <c r="G315" s="1" t="str">
        <v>Not Run</v>
      </c>
    </row>
    <row r="316">
      <c r="A316" s="1" t="str">
        <v>SC-035</v>
      </c>
      <c r="B316" s="1" t="str">
        <v>Service Call</v>
      </c>
      <c r="C316" s="1" t="str">
        <v>Documentation</v>
      </c>
      <c r="D316" s="1" t="str">
        <v>Attach document (image/PDF) to Service Call</v>
      </c>
      <c r="E316" s="1" t="str">
        <v>High</v>
      </c>
      <c r="F316" s="1" t="str">
        <v>BR-SC-12</v>
      </c>
      <c r="G316" s="1" t="str">
        <v>Not Run</v>
      </c>
    </row>
    <row r="317">
      <c r="A317" s="1" t="str">
        <v>SC-036</v>
      </c>
      <c r="B317" s="1" t="str">
        <v>Service Call</v>
      </c>
      <c r="C317" s="1" t="str">
        <v>Documentation</v>
      </c>
      <c r="D317" s="1" t="str">
        <v>Add internal notes to Service Call</v>
      </c>
      <c r="E317" s="1" t="str">
        <v>High</v>
      </c>
      <c r="F317" s="1" t="str">
        <v>BR-SC-12</v>
      </c>
      <c r="G317" s="1" t="str">
        <v>Not Run</v>
      </c>
    </row>
    <row r="318">
      <c r="A318" s="1" t="str">
        <v>SC-037</v>
      </c>
      <c r="B318" s="1" t="str">
        <v>Service Call</v>
      </c>
      <c r="C318" s="1" t="str">
        <v>Documentation</v>
      </c>
      <c r="D318" s="1" t="str">
        <v>Add customer-visible remarks to Service Call</v>
      </c>
      <c r="E318" s="1" t="str">
        <v>High</v>
      </c>
      <c r="F318" s="1" t="str">
        <v>BR-SC-12</v>
      </c>
      <c r="G318" s="1" t="str">
        <v>Not Run</v>
      </c>
    </row>
    <row r="319">
      <c r="A319" s="1" t="str">
        <v>SC-038</v>
      </c>
      <c r="B319" s="1" t="str">
        <v>Service Call</v>
      </c>
      <c r="C319" s="1" t="str">
        <v>Documentation</v>
      </c>
      <c r="D319" s="1" t="str">
        <v>Delete attached document from Service Call</v>
      </c>
      <c r="E319" s="1" t="str">
        <v>Medium</v>
      </c>
      <c r="F319" s="1" t="str">
        <v>BR-SC-12</v>
      </c>
      <c r="G319" s="1" t="str">
        <v>Not Run</v>
      </c>
    </row>
    <row r="320">
      <c r="A320" s="1" t="str">
        <v>SC-039</v>
      </c>
      <c r="B320" s="1" t="str">
        <v>Service Call</v>
      </c>
      <c r="C320" s="1" t="str">
        <v>Data Validation</v>
      </c>
      <c r="D320" s="1" t="str">
        <v>Service Call with missing mandatory fields cannot be saved</v>
      </c>
      <c r="E320" s="1" t="str">
        <v>Critical</v>
      </c>
      <c r="F320" s="1" t="str">
        <v>BR-SC-01</v>
      </c>
      <c r="G320" s="1" t="str">
        <v>Not Run</v>
      </c>
    </row>
    <row r="321">
      <c r="A321" s="1" t="str">
        <v>SC-040</v>
      </c>
      <c r="B321" s="1" t="str">
        <v>Service Call</v>
      </c>
      <c r="C321" s="1" t="str">
        <v>Data Validation</v>
      </c>
      <c r="D321" s="1" t="str">
        <v>Invalid email format in contact field is rejected</v>
      </c>
      <c r="E321" s="1" t="str">
        <v>Critical</v>
      </c>
      <c r="F321" s="1" t="str">
        <v>BR-SC-13</v>
      </c>
      <c r="G321" s="1" t="str">
        <v>Not Run</v>
      </c>
    </row>
    <row r="322">
      <c r="A322" s="1" t="str">
        <v>SC-041</v>
      </c>
      <c r="B322" s="1" t="str">
        <v>Service Call</v>
      </c>
      <c r="C322" s="1" t="str">
        <v>Data Validation</v>
      </c>
      <c r="D322" s="1" t="str">
        <v>Invalid phone number format is rejected</v>
      </c>
      <c r="E322" s="1" t="str">
        <v>Critical</v>
      </c>
      <c r="F322" s="1" t="str">
        <v>BR-SC-13</v>
      </c>
      <c r="G322" s="1" t="str">
        <v>Not Run</v>
      </c>
    </row>
    <row r="323">
      <c r="A323" s="1" t="str">
        <v>SC-042</v>
      </c>
      <c r="B323" s="1" t="str">
        <v>Service Call</v>
      </c>
      <c r="C323" s="1" t="str">
        <v>Editing &amp; Updates</v>
      </c>
      <c r="D323" s="1" t="str">
        <v>Edit existing Service Call details</v>
      </c>
      <c r="E323" s="1" t="str">
        <v>High</v>
      </c>
      <c r="F323" s="1" t="str">
        <v>BR-SC-14</v>
      </c>
      <c r="G323" s="1" t="str">
        <v>Not Run</v>
      </c>
    </row>
    <row r="324">
      <c r="A324" s="1" t="str">
        <v>SC-043</v>
      </c>
      <c r="B324" s="1" t="str">
        <v>Service Call</v>
      </c>
      <c r="C324" s="1" t="str">
        <v>Editing &amp; Updates</v>
      </c>
      <c r="D324" s="1" t="str">
        <v>Edit Service Call after status change is restricted</v>
      </c>
      <c r="E324" s="1" t="str">
        <v>Critical</v>
      </c>
      <c r="F324" s="1" t="str">
        <v>BR-SC-14</v>
      </c>
      <c r="G324" s="1" t="str">
        <v>Not Run</v>
      </c>
    </row>
    <row r="325">
      <c r="A325" s="1" t="str">
        <v>SC-044</v>
      </c>
      <c r="B325" s="1" t="str">
        <v>Service Call</v>
      </c>
      <c r="C325" s="1" t="str">
        <v>Editing &amp; Updates</v>
      </c>
      <c r="D325" s="1" t="str">
        <v>Edit Service Call technician assignment after creation</v>
      </c>
      <c r="E325" s="1" t="str">
        <v>High</v>
      </c>
      <c r="F325" s="1" t="str">
        <v>BR-SC-05</v>
      </c>
      <c r="G325" s="1" t="str">
        <v>Not Run</v>
      </c>
    </row>
    <row r="326">
      <c r="A326" s="1" t="str">
        <v>SC-045</v>
      </c>
      <c r="B326" s="1" t="str">
        <v>Service Call</v>
      </c>
      <c r="C326" s="1" t="str">
        <v>Bulk Operations</v>
      </c>
      <c r="D326" s="1" t="str">
        <v>Duplicate existing Service Call</v>
      </c>
      <c r="E326" s="1" t="str">
        <v>High</v>
      </c>
      <c r="F326" s="1" t="str">
        <v>BR-SC-15</v>
      </c>
      <c r="G326" s="1" t="str">
        <v>Not Run</v>
      </c>
    </row>
    <row r="327">
      <c r="A327" s="1" t="str">
        <v>SC-046</v>
      </c>
      <c r="B327" s="1" t="str">
        <v>Service Call</v>
      </c>
      <c r="C327" s="1" t="str">
        <v>Bulk Operations</v>
      </c>
      <c r="D327" s="1" t="str">
        <v>Delete Service Call (permitted status only)</v>
      </c>
      <c r="E327" s="1" t="str">
        <v>Critical</v>
      </c>
      <c r="F327" s="1" t="str">
        <v>BR-SC-15</v>
      </c>
      <c r="G327" s="1" t="str">
        <v>Not Run</v>
      </c>
    </row>
    <row r="328">
      <c r="A328" s="1" t="str">
        <v>SC-047</v>
      </c>
      <c r="B328" s="1" t="str">
        <v>Service Call</v>
      </c>
      <c r="C328" s="1" t="str">
        <v>Bulk Operations</v>
      </c>
      <c r="D328" s="1" t="str">
        <v>Bulk update Service Call status</v>
      </c>
      <c r="E328" s="1" t="str">
        <v>High</v>
      </c>
      <c r="F328" s="1" t="str">
        <v>BR-SC-07</v>
      </c>
      <c r="G328" s="1" t="str">
        <v>Not Run</v>
      </c>
    </row>
    <row r="329">
      <c r="A329" s="1" t="str">
        <v>SC-048</v>
      </c>
      <c r="B329" s="1" t="str">
        <v>Service Call</v>
      </c>
      <c r="C329" s="1" t="str">
        <v>Permissions &amp; Access</v>
      </c>
      <c r="D329" s="1" t="str">
        <v>Technician views only assigned Service Calls</v>
      </c>
      <c r="E329" s="1" t="str">
        <v>Critical</v>
      </c>
      <c r="F329" s="1" t="str">
        <v>BR-SC-16</v>
      </c>
      <c r="G329" s="1" t="str">
        <v>Not Run</v>
      </c>
    </row>
    <row r="330">
      <c r="A330" s="1" t="str">
        <v>SC-049</v>
      </c>
      <c r="B330" s="1" t="str">
        <v>Service Call</v>
      </c>
      <c r="C330" s="1" t="str">
        <v>Permissions &amp; Access</v>
      </c>
      <c r="D330" s="1" t="str">
        <v>Customer views only their own Service Calls</v>
      </c>
      <c r="E330" s="1" t="str">
        <v>Critical</v>
      </c>
      <c r="F330" s="1" t="str">
        <v>BR-SC-16</v>
      </c>
      <c r="G330" s="1" t="str">
        <v>Not Run</v>
      </c>
    </row>
    <row r="331">
      <c r="A331" s="1" t="str">
        <v>SC-050</v>
      </c>
      <c r="B331" s="1" t="str">
        <v>Service Call</v>
      </c>
      <c r="C331" s="1" t="str">
        <v>Permissions &amp; Access</v>
      </c>
      <c r="D331" s="1" t="str">
        <v>Manager can approve/reject Service Calls</v>
      </c>
      <c r="E331" s="1" t="str">
        <v>Critical</v>
      </c>
      <c r="F331" s="1" t="str">
        <v>BR-SC-16</v>
      </c>
      <c r="G331" s="1" t="str">
        <v>Not Run</v>
      </c>
    </row>
  </sheetData>
  <mergeCells count="9">
    <mergeCell ref="A1:L1"/>
    <mergeCell ref="A2:L2"/>
    <mergeCell ref="A5:L5"/>
    <mergeCell ref="A27:L27"/>
    <mergeCell ref="A60:L60"/>
    <mergeCell ref="A101:L101"/>
    <mergeCell ref="A154:L154"/>
    <mergeCell ref="A215:L215"/>
    <mergeCell ref="A281:L281"/>
  </mergeCells>
  <pageMargins left="0.75" right="0.75" top="1" bottom="1" header="0.511811023622047" footer="0.511811023622047"/>
  <ignoredErrors>
    <ignoredError numberStoredAsText="1" sqref="A1:L331"/>
  </ignoredErrors>
</worksheet>
</file>

<file path=xl/worksheets/sheet2.xml><?xml version="1.0" encoding="utf-8"?>
<worksheet xmlns="http://schemas.openxmlformats.org/spreadsheetml/2006/main" xmlns:r="http://schemas.openxmlformats.org/officeDocument/2006/relationships">
  <dimension ref="A1:O331"/>
  <sheetViews>
    <sheetView workbookViewId="0" rightToLeft="0"/>
  </sheetViews>
  <sheetData>
    <row r="1">
      <c r="A1" s="1" t="str">
        <v>AMC Core — Master Test Execution Run Tracker</v>
      </c>
    </row>
    <row r="2">
      <c r="A2" s="1" t="str">
        <v>Each Run column = one full execution cycle. Formulas auto-calculate pass rate per test case.</v>
      </c>
    </row>
    <row r="4">
      <c r="A4" s="1" t="str">
        <v>Test ID</v>
      </c>
      <c r="B4" s="1" t="str">
        <v>DocType</v>
      </c>
      <c r="C4" s="1" t="str">
        <v>Module</v>
      </c>
      <c r="D4" s="1" t="str">
        <v>Title</v>
      </c>
      <c r="E4" s="1" t="str">
        <v>Priority</v>
      </c>
      <c r="F4" s="1" t="str">
        <v>Run 1</v>
      </c>
      <c r="G4" s="1" t="str">
        <v>Run 2</v>
      </c>
      <c r="H4" s="1" t="str">
        <v>Run 3</v>
      </c>
      <c r="I4" s="1" t="str">
        <v>Run 4</v>
      </c>
      <c r="J4" s="1" t="str">
        <v>Run 5</v>
      </c>
      <c r="K4" s="1" t="str">
        <v>Run 6</v>
      </c>
      <c r="L4" s="1" t="str">
        <v>Total Runs</v>
      </c>
      <c r="M4" s="1" t="str">
        <v>Pass</v>
      </c>
      <c r="N4" s="1" t="str">
        <v>Fail</v>
      </c>
      <c r="O4" s="1" t="str">
        <v>Pass Rate</v>
      </c>
    </row>
    <row r="5">
      <c r="A5" s="1" t="str">
        <v>▌ AMC Customers</v>
      </c>
    </row>
    <row r="6">
      <c r="A6" s="1" t="str">
        <v>CUST-001</v>
      </c>
      <c r="B6" s="1" t="str">
        <v>AMC Customers</v>
      </c>
      <c r="C6" s="1" t="str">
        <v>Customer Creation &amp; Basic Details</v>
      </c>
      <c r="D6" s="1" t="str">
        <v>Create customer with Customer Name only (minimum required)</v>
      </c>
      <c r="E6" s="1" t="str">
        <v>Critical</v>
      </c>
      <c r="F6" s="1" t="str">
        <v>Not Run</v>
      </c>
      <c r="G6" s="1" t="str">
        <v>Not Run</v>
      </c>
      <c r="H6" s="1" t="str">
        <v>Not Run</v>
      </c>
      <c r="I6" s="1" t="str">
        <v>Not Run</v>
      </c>
      <c r="J6" s="1" t="str">
        <v>Not Run</v>
      </c>
      <c r="K6" s="1" t="str">
        <v>Not Run</v>
      </c>
      <c r="L6" s="1">
        <f>COUNTA(F6:K6)</f>
        <v>6</v>
      </c>
      <c r="M6" s="1">
        <f>COUNTIF(F6:K6,"Pass")</f>
        <v>0</v>
      </c>
      <c r="N6" s="1">
        <f>COUNTIF(F6:K6,"Fail")</f>
        <v>0</v>
      </c>
      <c r="O6" s="1" t="str">
        <f>IF(M6=0,"-",M6/L6)</f>
        <v>-</v>
      </c>
    </row>
    <row r="7">
      <c r="A7" s="1" t="str">
        <v>CUST-002</v>
      </c>
      <c r="B7" s="1" t="str">
        <v>AMC Customers</v>
      </c>
      <c r="C7" s="1" t="str">
        <v>Customer Creation &amp; Basic Details</v>
      </c>
      <c r="D7" s="1" t="str">
        <v>Create Company customer with all basic fields (Name, Type, GST, PAN)</v>
      </c>
      <c r="E7" s="1" t="str">
        <v>Critical</v>
      </c>
      <c r="F7" s="1" t="str">
        <v>Not Run</v>
      </c>
      <c r="G7" s="1" t="str">
        <v>Not Run</v>
      </c>
      <c r="H7" s="1" t="str">
        <v>Not Run</v>
      </c>
      <c r="I7" s="1" t="str">
        <v>Not Run</v>
      </c>
      <c r="J7" s="1" t="str">
        <v>Not Run</v>
      </c>
      <c r="K7" s="1" t="str">
        <v>Not Run</v>
      </c>
      <c r="L7" s="1">
        <f>COUNTA(F7:K7)</f>
        <v>6</v>
      </c>
      <c r="M7" s="1">
        <f>COUNTIF(F7:K7,"Pass")</f>
        <v>0</v>
      </c>
      <c r="N7" s="1">
        <f>COUNTIF(F7:K7,"Fail")</f>
        <v>0</v>
      </c>
      <c r="O7" s="1" t="str">
        <f>IF(M7=0,"-",M7/L7)</f>
        <v>-</v>
      </c>
    </row>
    <row r="8">
      <c r="A8" s="1" t="str">
        <v>CUST-003</v>
      </c>
      <c r="B8" s="1" t="str">
        <v>AMC Customers</v>
      </c>
      <c r="C8" s="1" t="str">
        <v>Customer Creation &amp; Basic Details</v>
      </c>
      <c r="D8" s="1" t="str">
        <v>Create Individual customer type</v>
      </c>
      <c r="E8" s="1" t="str">
        <v>High</v>
      </c>
      <c r="F8" s="1" t="str">
        <v>Not Run</v>
      </c>
      <c r="G8" s="1" t="str">
        <v>Not Run</v>
      </c>
      <c r="H8" s="1" t="str">
        <v>Not Run</v>
      </c>
      <c r="I8" s="1" t="str">
        <v>Not Run</v>
      </c>
      <c r="J8" s="1" t="str">
        <v>Not Run</v>
      </c>
      <c r="K8" s="1" t="str">
        <v>Not Run</v>
      </c>
      <c r="L8" s="1">
        <f>COUNTA(F8:K8)</f>
        <v>6</v>
      </c>
      <c r="M8" s="1">
        <f>COUNTIF(F8:K8,"Pass")</f>
        <v>0</v>
      </c>
      <c r="N8" s="1">
        <f>COUNTIF(F8:K8,"Fail")</f>
        <v>0</v>
      </c>
      <c r="O8" s="1" t="str">
        <f>IF(M8=0,"-",M8/L8)</f>
        <v>-</v>
      </c>
    </row>
    <row r="9">
      <c r="A9" s="1" t="str">
        <v>CUST-004</v>
      </c>
      <c r="B9" s="1" t="str">
        <v>AMC Customers</v>
      </c>
      <c r="C9" s="1" t="str">
        <v>Customer Creation &amp; Basic Details</v>
      </c>
      <c r="D9" s="1" t="str">
        <v>Create Partnership customer type</v>
      </c>
      <c r="E9" s="1" t="str">
        <v>High</v>
      </c>
      <c r="F9" s="1" t="str">
        <v>Not Run</v>
      </c>
      <c r="G9" s="1" t="str">
        <v>Not Run</v>
      </c>
      <c r="H9" s="1" t="str">
        <v>Not Run</v>
      </c>
      <c r="I9" s="1" t="str">
        <v>Not Run</v>
      </c>
      <c r="J9" s="1" t="str">
        <v>Not Run</v>
      </c>
      <c r="K9" s="1" t="str">
        <v>Not Run</v>
      </c>
      <c r="L9" s="1">
        <f>COUNTA(F9:K9)</f>
        <v>6</v>
      </c>
      <c r="M9" s="1">
        <f>COUNTIF(F9:K9,"Pass")</f>
        <v>0</v>
      </c>
      <c r="N9" s="1">
        <f>COUNTIF(F9:K9,"Fail")</f>
        <v>0</v>
      </c>
      <c r="O9" s="1" t="str">
        <f>IF(M9=0,"-",M9/L9)</f>
        <v>-</v>
      </c>
    </row>
    <row r="10">
      <c r="A10" s="1" t="str">
        <v>CUST-005</v>
      </c>
      <c r="B10" s="1" t="str">
        <v>AMC Customers</v>
      </c>
      <c r="C10" s="1" t="str">
        <v>GST Validation</v>
      </c>
      <c r="D10" s="1" t="str">
        <v>Valid 15-character GSTIN is accepted</v>
      </c>
      <c r="E10" s="1" t="str">
        <v>Critical</v>
      </c>
      <c r="F10" s="1" t="str">
        <v>Not Run</v>
      </c>
      <c r="G10" s="1" t="str">
        <v>Not Run</v>
      </c>
      <c r="H10" s="1" t="str">
        <v>Not Run</v>
      </c>
      <c r="I10" s="1" t="str">
        <v>Not Run</v>
      </c>
      <c r="J10" s="1" t="str">
        <v>Not Run</v>
      </c>
      <c r="K10" s="1" t="str">
        <v>Not Run</v>
      </c>
      <c r="L10" s="1">
        <f>COUNTA(F10:K10)</f>
        <v>6</v>
      </c>
      <c r="M10" s="1">
        <f>COUNTIF(F10:K10,"Pass")</f>
        <v>0</v>
      </c>
      <c r="N10" s="1">
        <f>COUNTIF(F10:K10,"Fail")</f>
        <v>0</v>
      </c>
      <c r="O10" s="1" t="str">
        <f>IF(M10=0,"-",M10/L10)</f>
        <v>-</v>
      </c>
    </row>
    <row r="11">
      <c r="A11" s="1" t="str">
        <v>CUST-006</v>
      </c>
      <c r="B11" s="1" t="str">
        <v>AMC Customers</v>
      </c>
      <c r="C11" s="1" t="str">
        <v>GST Validation</v>
      </c>
      <c r="D11" s="1" t="str">
        <v>Invalid GST format is rejected with specific error message</v>
      </c>
      <c r="E11" s="1" t="str">
        <v>Critical</v>
      </c>
      <c r="F11" s="1" t="str">
        <v>Not Run</v>
      </c>
      <c r="G11" s="1" t="str">
        <v>Not Run</v>
      </c>
      <c r="H11" s="1" t="str">
        <v>Not Run</v>
      </c>
      <c r="I11" s="1" t="str">
        <v>Not Run</v>
      </c>
      <c r="J11" s="1" t="str">
        <v>Not Run</v>
      </c>
      <c r="K11" s="1" t="str">
        <v>Not Run</v>
      </c>
      <c r="L11" s="1">
        <f>COUNTA(F11:K11)</f>
        <v>6</v>
      </c>
      <c r="M11" s="1">
        <f>COUNTIF(F11:K11,"Pass")</f>
        <v>0</v>
      </c>
      <c r="N11" s="1">
        <f>COUNTIF(F11:K11,"Fail")</f>
        <v>0</v>
      </c>
      <c r="O11" s="1" t="str">
        <f>IF(M11=0,"-",M11/L11)</f>
        <v>-</v>
      </c>
    </row>
    <row r="12">
      <c r="A12" s="1" t="str">
        <v>CUST-007</v>
      </c>
      <c r="B12" s="1" t="str">
        <v>AMC Customers</v>
      </c>
      <c r="C12" s="1" t="str">
        <v>GST Validation</v>
      </c>
      <c r="D12" s="1" t="str">
        <v>Duplicate GSTIN across two customers is blocked</v>
      </c>
      <c r="E12" s="1" t="str">
        <v>Critical</v>
      </c>
      <c r="F12" s="1" t="str">
        <v>Not Run</v>
      </c>
      <c r="G12" s="1" t="str">
        <v>Not Run</v>
      </c>
      <c r="H12" s="1" t="str">
        <v>Not Run</v>
      </c>
      <c r="I12" s="1" t="str">
        <v>Not Run</v>
      </c>
      <c r="J12" s="1" t="str">
        <v>Not Run</v>
      </c>
      <c r="K12" s="1" t="str">
        <v>Not Run</v>
      </c>
      <c r="L12" s="1">
        <f>COUNTA(F12:K12)</f>
        <v>6</v>
      </c>
      <c r="M12" s="1">
        <f>COUNTIF(F12:K12,"Pass")</f>
        <v>0</v>
      </c>
      <c r="N12" s="1">
        <f>COUNTIF(F12:K12,"Fail")</f>
        <v>0</v>
      </c>
      <c r="O12" s="1" t="str">
        <f>IF(M12=0,"-",M12/L12)</f>
        <v>-</v>
      </c>
    </row>
    <row r="13">
      <c r="A13" s="1" t="str">
        <v>CUST-008</v>
      </c>
      <c r="B13" s="1" t="str">
        <v>AMC Customers</v>
      </c>
      <c r="C13" s="1" t="str">
        <v>GST Validation</v>
      </c>
      <c r="D13" s="1" t="str">
        <v>GST field can be left blank (optional for Individual)</v>
      </c>
      <c r="E13" s="1" t="str">
        <v>High</v>
      </c>
      <c r="F13" s="1" t="str">
        <v>Not Run</v>
      </c>
      <c r="G13" s="1" t="str">
        <v>Not Run</v>
      </c>
      <c r="H13" s="1" t="str">
        <v>Not Run</v>
      </c>
      <c r="I13" s="1" t="str">
        <v>Not Run</v>
      </c>
      <c r="J13" s="1" t="str">
        <v>Not Run</v>
      </c>
      <c r="K13" s="1" t="str">
        <v>Not Run</v>
      </c>
      <c r="L13" s="1">
        <f>COUNTA(F13:K13)</f>
        <v>6</v>
      </c>
      <c r="M13" s="1">
        <f>COUNTIF(F13:K13,"Pass")</f>
        <v>0</v>
      </c>
      <c r="N13" s="1">
        <f>COUNTIF(F13:K13,"Fail")</f>
        <v>0</v>
      </c>
      <c r="O13" s="1" t="str">
        <f>IF(M13=0,"-",M13/L13)</f>
        <v>-</v>
      </c>
    </row>
    <row r="14">
      <c r="A14" s="1" t="str">
        <v>CUST-009</v>
      </c>
      <c r="B14" s="1" t="str">
        <v>AMC Customers</v>
      </c>
      <c r="C14" s="1" t="str">
        <v>GST Validation</v>
      </c>
      <c r="D14" s="1" t="str">
        <v>Duplicate PAN across two customers is blocked</v>
      </c>
      <c r="E14" s="1" t="str">
        <v>High</v>
      </c>
      <c r="F14" s="1" t="str">
        <v>Not Run</v>
      </c>
      <c r="G14" s="1" t="str">
        <v>Not Run</v>
      </c>
      <c r="H14" s="1" t="str">
        <v>Not Run</v>
      </c>
      <c r="I14" s="1" t="str">
        <v>Not Run</v>
      </c>
      <c r="J14" s="1" t="str">
        <v>Not Run</v>
      </c>
      <c r="K14" s="1" t="str">
        <v>Not Run</v>
      </c>
      <c r="L14" s="1">
        <f>COUNTA(F14:K14)</f>
        <v>6</v>
      </c>
      <c r="M14" s="1">
        <f>COUNTIF(F14:K14,"Pass")</f>
        <v>0</v>
      </c>
      <c r="N14" s="1">
        <f>COUNTIF(F14:K14,"Fail")</f>
        <v>0</v>
      </c>
      <c r="O14" s="1" t="str">
        <f>IF(M14=0,"-",M14/L14)</f>
        <v>-</v>
      </c>
    </row>
    <row r="15">
      <c r="A15" s="1" t="str">
        <v>CUST-010</v>
      </c>
      <c r="B15" s="1" t="str">
        <v>AMC Customers</v>
      </c>
      <c r="C15" s="1" t="str">
        <v>Branch Locations</v>
      </c>
      <c r="D15" s="1" t="str">
        <v>Add single branch location to customer</v>
      </c>
      <c r="E15" s="1" t="str">
        <v>Critical</v>
      </c>
      <c r="F15" s="1" t="str">
        <v>Not Run</v>
      </c>
      <c r="G15" s="1" t="str">
        <v>Not Run</v>
      </c>
      <c r="H15" s="1" t="str">
        <v>Not Run</v>
      </c>
      <c r="I15" s="1" t="str">
        <v>Not Run</v>
      </c>
      <c r="J15" s="1" t="str">
        <v>Not Run</v>
      </c>
      <c r="K15" s="1" t="str">
        <v>Not Run</v>
      </c>
      <c r="L15" s="1">
        <f>COUNTA(F15:K15)</f>
        <v>6</v>
      </c>
      <c r="M15" s="1">
        <f>COUNTIF(F15:K15,"Pass")</f>
        <v>0</v>
      </c>
      <c r="N15" s="1">
        <f>COUNTIF(F15:K15,"Fail")</f>
        <v>0</v>
      </c>
      <c r="O15" s="1" t="str">
        <f>IF(M15=0,"-",M15/L15)</f>
        <v>-</v>
      </c>
    </row>
    <row r="16">
      <c r="A16" s="1" t="str">
        <v>CUST-011</v>
      </c>
      <c r="B16" s="1" t="str">
        <v>AMC Customers</v>
      </c>
      <c r="C16" s="1" t="str">
        <v>Branch Locations</v>
      </c>
      <c r="D16" s="1" t="str">
        <v>Add multiple branch locations to same customer</v>
      </c>
      <c r="E16" s="1" t="str">
        <v>High</v>
      </c>
      <c r="F16" s="1" t="str">
        <v>Not Run</v>
      </c>
      <c r="G16" s="1" t="str">
        <v>Not Run</v>
      </c>
      <c r="H16" s="1" t="str">
        <v>Not Run</v>
      </c>
      <c r="I16" s="1" t="str">
        <v>Not Run</v>
      </c>
      <c r="J16" s="1" t="str">
        <v>Not Run</v>
      </c>
      <c r="K16" s="1" t="str">
        <v>Not Run</v>
      </c>
      <c r="L16" s="1">
        <f>COUNTA(F16:K16)</f>
        <v>6</v>
      </c>
      <c r="M16" s="1">
        <f>COUNTIF(F16:K16,"Pass")</f>
        <v>0</v>
      </c>
      <c r="N16" s="1">
        <f>COUNTIF(F16:K16,"Fail")</f>
        <v>0</v>
      </c>
      <c r="O16" s="1" t="str">
        <f>IF(M16=0,"-",M16/L16)</f>
        <v>-</v>
      </c>
    </row>
    <row r="17">
      <c r="A17" s="1" t="str">
        <v>CUST-012</v>
      </c>
      <c r="B17" s="1" t="str">
        <v>AMC Customers</v>
      </c>
      <c r="C17" s="1" t="str">
        <v>Branch Locations</v>
      </c>
      <c r="D17" s="1" t="str">
        <v>Delete a branch location row</v>
      </c>
      <c r="E17" s="1" t="str">
        <v>Medium</v>
      </c>
      <c r="F17" s="1" t="str">
        <v>Not Run</v>
      </c>
      <c r="G17" s="1" t="str">
        <v>Not Run</v>
      </c>
      <c r="H17" s="1" t="str">
        <v>Not Run</v>
      </c>
      <c r="I17" s="1" t="str">
        <v>Not Run</v>
      </c>
      <c r="J17" s="1" t="str">
        <v>Not Run</v>
      </c>
      <c r="K17" s="1" t="str">
        <v>Not Run</v>
      </c>
      <c r="L17" s="1">
        <f>COUNTA(F17:K17)</f>
        <v>6</v>
      </c>
      <c r="M17" s="1">
        <f>COUNTIF(F17:K17,"Pass")</f>
        <v>0</v>
      </c>
      <c r="N17" s="1">
        <f>COUNTIF(F17:K17,"Fail")</f>
        <v>0</v>
      </c>
      <c r="O17" s="1" t="str">
        <f>IF(M17=0,"-",M17/L17)</f>
        <v>-</v>
      </c>
    </row>
    <row r="18">
      <c r="A18" s="1" t="str">
        <v>CUST-013</v>
      </c>
      <c r="B18" s="1" t="str">
        <v>AMC Customers</v>
      </c>
      <c r="C18" s="1" t="str">
        <v>Branch Locations</v>
      </c>
      <c r="D18" s="1" t="str">
        <v>Branch on AMC Contract is filtered by selected customer</v>
      </c>
      <c r="E18" s="1" t="str">
        <v>High</v>
      </c>
      <c r="F18" s="1" t="str">
        <v>Not Run</v>
      </c>
      <c r="G18" s="1" t="str">
        <v>Not Run</v>
      </c>
      <c r="H18" s="1" t="str">
        <v>Not Run</v>
      </c>
      <c r="I18" s="1" t="str">
        <v>Not Run</v>
      </c>
      <c r="J18" s="1" t="str">
        <v>Not Run</v>
      </c>
      <c r="K18" s="1" t="str">
        <v>Not Run</v>
      </c>
      <c r="L18" s="1">
        <f>COUNTA(F18:K18)</f>
        <v>6</v>
      </c>
      <c r="M18" s="1">
        <f>COUNTIF(F18:K18,"Pass")</f>
        <v>0</v>
      </c>
      <c r="N18" s="1">
        <f>COUNTIF(F18:K18,"Fail")</f>
        <v>0</v>
      </c>
      <c r="O18" s="1" t="str">
        <f>IF(M18=0,"-",M18/L18)</f>
        <v>-</v>
      </c>
    </row>
    <row r="19">
      <c r="A19" s="1" t="str">
        <v>CUST-014</v>
      </c>
      <c r="B19" s="1" t="str">
        <v>AMC Customers</v>
      </c>
      <c r="C19" s="1" t="str">
        <v>Contact Details</v>
      </c>
      <c r="D19" s="1" t="str">
        <v>Add primary contact to customer</v>
      </c>
      <c r="E19" s="1" t="str">
        <v>Critical</v>
      </c>
      <c r="F19" s="1" t="str">
        <v>Not Run</v>
      </c>
      <c r="G19" s="1" t="str">
        <v>Not Run</v>
      </c>
      <c r="H19" s="1" t="str">
        <v>Not Run</v>
      </c>
      <c r="I19" s="1" t="str">
        <v>Not Run</v>
      </c>
      <c r="J19" s="1" t="str">
        <v>Not Run</v>
      </c>
      <c r="K19" s="1" t="str">
        <v>Not Run</v>
      </c>
      <c r="L19" s="1">
        <f>COUNTA(F19:K19)</f>
        <v>6</v>
      </c>
      <c r="M19" s="1">
        <f>COUNTIF(F19:K19,"Pass")</f>
        <v>0</v>
      </c>
      <c r="N19" s="1">
        <f>COUNTIF(F19:K19,"Fail")</f>
        <v>0</v>
      </c>
      <c r="O19" s="1" t="str">
        <f>IF(M19=0,"-",M19/L19)</f>
        <v>-</v>
      </c>
    </row>
    <row r="20">
      <c r="A20" s="1" t="str">
        <v>CUST-015</v>
      </c>
      <c r="B20" s="1" t="str">
        <v>AMC Customers</v>
      </c>
      <c r="C20" s="1" t="str">
        <v>Contact Details</v>
      </c>
      <c r="D20" s="1" t="str">
        <v>Only one contact marked as Is Primary per customer</v>
      </c>
      <c r="E20" s="1" t="str">
        <v>High</v>
      </c>
      <c r="F20" s="1" t="str">
        <v>Not Run</v>
      </c>
      <c r="G20" s="1" t="str">
        <v>Not Run</v>
      </c>
      <c r="H20" s="1" t="str">
        <v>Not Run</v>
      </c>
      <c r="I20" s="1" t="str">
        <v>Not Run</v>
      </c>
      <c r="J20" s="1" t="str">
        <v>Not Run</v>
      </c>
      <c r="K20" s="1" t="str">
        <v>Not Run</v>
      </c>
      <c r="L20" s="1">
        <f>COUNTA(F20:K20)</f>
        <v>6</v>
      </c>
      <c r="M20" s="1">
        <f>COUNTIF(F20:K20,"Pass")</f>
        <v>0</v>
      </c>
      <c r="N20" s="1">
        <f>COUNTIF(F20:K20,"Fail")</f>
        <v>0</v>
      </c>
      <c r="O20" s="1" t="str">
        <f>IF(M20=0,"-",M20/L20)</f>
        <v>-</v>
      </c>
    </row>
    <row r="21">
      <c r="A21" s="1" t="str">
        <v>CUST-016</v>
      </c>
      <c r="B21" s="1" t="str">
        <v>AMC Customers</v>
      </c>
      <c r="C21" s="1" t="str">
        <v>Contact Details</v>
      </c>
      <c r="D21" s="1" t="str">
        <v>Contact Person on AMC Contract filtered by selected Branch</v>
      </c>
      <c r="E21" s="1" t="str">
        <v>High</v>
      </c>
      <c r="F21" s="1" t="str">
        <v>Not Run</v>
      </c>
      <c r="G21" s="1" t="str">
        <v>Not Run</v>
      </c>
      <c r="H21" s="1" t="str">
        <v>Not Run</v>
      </c>
      <c r="I21" s="1" t="str">
        <v>Not Run</v>
      </c>
      <c r="J21" s="1" t="str">
        <v>Not Run</v>
      </c>
      <c r="K21" s="1" t="str">
        <v>Not Run</v>
      </c>
      <c r="L21" s="1">
        <f>COUNTA(F21:K21)</f>
        <v>6</v>
      </c>
      <c r="M21" s="1">
        <f>COUNTIF(F21:K21,"Pass")</f>
        <v>0</v>
      </c>
      <c r="N21" s="1">
        <f>COUNTIF(F21:K21,"Fail")</f>
        <v>0</v>
      </c>
      <c r="O21" s="1" t="str">
        <f>IF(M21=0,"-",M21/L21)</f>
        <v>-</v>
      </c>
    </row>
    <row r="22">
      <c r="A22" s="1" t="str">
        <v>CUST-017</v>
      </c>
      <c r="B22" s="1" t="str">
        <v>AMC Customers</v>
      </c>
      <c r="C22" s="1" t="str">
        <v>Contact Details</v>
      </c>
      <c r="D22" s="1" t="str">
        <v>Mobile auto-fetched when Contact Person selected on Contract</v>
      </c>
      <c r="E22" s="1" t="str">
        <v>Medium</v>
      </c>
      <c r="F22" s="1" t="str">
        <v>Not Run</v>
      </c>
      <c r="G22" s="1" t="str">
        <v>Not Run</v>
      </c>
      <c r="H22" s="1" t="str">
        <v>Not Run</v>
      </c>
      <c r="I22" s="1" t="str">
        <v>Not Run</v>
      </c>
      <c r="J22" s="1" t="str">
        <v>Not Run</v>
      </c>
      <c r="K22" s="1" t="str">
        <v>Not Run</v>
      </c>
      <c r="L22" s="1">
        <f>COUNTA(F22:K22)</f>
        <v>6</v>
      </c>
      <c r="M22" s="1">
        <f>COUNTIF(F22:K22,"Pass")</f>
        <v>0</v>
      </c>
      <c r="N22" s="1">
        <f>COUNTIF(F22:K22,"Fail")</f>
        <v>0</v>
      </c>
      <c r="O22" s="1" t="str">
        <f>IF(M22=0,"-",M22/L22)</f>
        <v>-</v>
      </c>
    </row>
    <row r="23">
      <c r="A23" s="1" t="str">
        <v>CUST-018</v>
      </c>
      <c r="B23" s="1" t="str">
        <v>AMC Customers</v>
      </c>
      <c r="C23" s="1" t="str">
        <v>Connections Tab</v>
      </c>
      <c r="D23" s="1" t="str">
        <v>Connections tab shows linked AMC Contracts for customer</v>
      </c>
      <c r="E23" s="1" t="str">
        <v>High</v>
      </c>
      <c r="F23" s="1" t="str">
        <v>Not Run</v>
      </c>
      <c r="G23" s="1" t="str">
        <v>Not Run</v>
      </c>
      <c r="H23" s="1" t="str">
        <v>Not Run</v>
      </c>
      <c r="I23" s="1" t="str">
        <v>Not Run</v>
      </c>
      <c r="J23" s="1" t="str">
        <v>Not Run</v>
      </c>
      <c r="K23" s="1" t="str">
        <v>Not Run</v>
      </c>
      <c r="L23" s="1">
        <f>COUNTA(F23:K23)</f>
        <v>6</v>
      </c>
      <c r="M23" s="1">
        <f>COUNTIF(F23:K23,"Pass")</f>
        <v>0</v>
      </c>
      <c r="N23" s="1">
        <f>COUNTIF(F23:K23,"Fail")</f>
        <v>0</v>
      </c>
      <c r="O23" s="1" t="str">
        <f>IF(M23=0,"-",M23/L23)</f>
        <v>-</v>
      </c>
    </row>
    <row r="24">
      <c r="A24" s="1" t="str">
        <v>CUST-019</v>
      </c>
      <c r="B24" s="1" t="str">
        <v>AMC Customers</v>
      </c>
      <c r="C24" s="1" t="str">
        <v>Connections Tab</v>
      </c>
      <c r="D24" s="1" t="str">
        <v>Connections tab shows linked Service Calls for customer</v>
      </c>
      <c r="E24" s="1" t="str">
        <v>Medium</v>
      </c>
      <c r="F24" s="1" t="str">
        <v>Not Run</v>
      </c>
      <c r="G24" s="1" t="str">
        <v>Not Run</v>
      </c>
      <c r="H24" s="1" t="str">
        <v>Not Run</v>
      </c>
      <c r="I24" s="1" t="str">
        <v>Not Run</v>
      </c>
      <c r="J24" s="1" t="str">
        <v>Not Run</v>
      </c>
      <c r="K24" s="1" t="str">
        <v>Not Run</v>
      </c>
      <c r="L24" s="1">
        <f>COUNTA(F24:K24)</f>
        <v>6</v>
      </c>
      <c r="M24" s="1">
        <f>COUNTIF(F24:K24,"Pass")</f>
        <v>0</v>
      </c>
      <c r="N24" s="1">
        <f>COUNTIF(F24:K24,"Fail")</f>
        <v>0</v>
      </c>
      <c r="O24" s="1" t="str">
        <f>IF(M24=0,"-",M24/L24)</f>
        <v>-</v>
      </c>
    </row>
    <row r="25">
      <c r="A25" s="1" t="str">
        <v>CUST-020</v>
      </c>
      <c r="B25" s="1" t="str">
        <v>AMC Customers</v>
      </c>
      <c r="C25" s="1" t="str">
        <v>Permissions</v>
      </c>
      <c r="D25" s="1" t="str">
        <v>Technician role can only READ AMC Customers</v>
      </c>
      <c r="E25" s="1" t="str">
        <v>Critical</v>
      </c>
      <c r="F25" s="1" t="str">
        <v>Not Run</v>
      </c>
      <c r="G25" s="1" t="str">
        <v>Not Run</v>
      </c>
      <c r="H25" s="1" t="str">
        <v>Not Run</v>
      </c>
      <c r="I25" s="1" t="str">
        <v>Not Run</v>
      </c>
      <c r="J25" s="1" t="str">
        <v>Not Run</v>
      </c>
      <c r="K25" s="1" t="str">
        <v>Not Run</v>
      </c>
      <c r="L25" s="1">
        <f>COUNTA(F25:K25)</f>
        <v>6</v>
      </c>
      <c r="M25" s="1">
        <f>COUNTIF(F25:K25,"Pass")</f>
        <v>0</v>
      </c>
      <c r="N25" s="1">
        <f>COUNTIF(F25:K25,"Fail")</f>
        <v>0</v>
      </c>
      <c r="O25" s="1" t="str">
        <f>IF(M25=0,"-",M25/L25)</f>
        <v>-</v>
      </c>
    </row>
    <row r="26">
      <c r="A26" s="1" t="str">
        <v>CUST-021</v>
      </c>
      <c r="B26" s="1" t="str">
        <v>AMC Customers</v>
      </c>
      <c r="C26" s="1" t="str">
        <v>Data Integrity</v>
      </c>
      <c r="D26" s="1" t="str">
        <v>Deleting customer with active contracts is blocked</v>
      </c>
      <c r="E26" s="1" t="str">
        <v>High</v>
      </c>
      <c r="F26" s="1" t="str">
        <v>Not Run</v>
      </c>
      <c r="G26" s="1" t="str">
        <v>Not Run</v>
      </c>
      <c r="H26" s="1" t="str">
        <v>Not Run</v>
      </c>
      <c r="I26" s="1" t="str">
        <v>Not Run</v>
      </c>
      <c r="J26" s="1" t="str">
        <v>Not Run</v>
      </c>
      <c r="K26" s="1" t="str">
        <v>Not Run</v>
      </c>
      <c r="L26" s="1">
        <f>COUNTA(F26:K26)</f>
        <v>6</v>
      </c>
      <c r="M26" s="1">
        <f>COUNTIF(F26:K26,"Pass")</f>
        <v>0</v>
      </c>
      <c r="N26" s="1">
        <f>COUNTIF(F26:K26,"Fail")</f>
        <v>0</v>
      </c>
      <c r="O26" s="1" t="str">
        <f>IF(M26=0,"-",M26/L26)</f>
        <v>-</v>
      </c>
    </row>
    <row r="27">
      <c r="A27" s="1" t="str">
        <v>▌ AMC Contract</v>
      </c>
    </row>
    <row r="28">
      <c r="A28" s="1" t="str">
        <v>CON-001</v>
      </c>
      <c r="B28" s="1" t="str">
        <v>AMC Contract</v>
      </c>
      <c r="C28" s="1" t="str">
        <v>Contract Creation</v>
      </c>
      <c r="D28" s="1" t="str">
        <v>Create AMC Contract with all mandatory fields</v>
      </c>
      <c r="E28" s="1" t="str">
        <v>Critical</v>
      </c>
      <c r="F28" s="1" t="str">
        <v>Not Run</v>
      </c>
      <c r="G28" s="1" t="str">
        <v>Not Run</v>
      </c>
      <c r="H28" s="1" t="str">
        <v>Not Run</v>
      </c>
      <c r="I28" s="1" t="str">
        <v>Not Run</v>
      </c>
      <c r="J28" s="1" t="str">
        <v>Not Run</v>
      </c>
      <c r="K28" s="1" t="str">
        <v>Not Run</v>
      </c>
      <c r="L28" s="1">
        <f>COUNTA(F28:K28)</f>
        <v>6</v>
      </c>
      <c r="M28" s="1">
        <f>COUNTIF(F28:K28,"Pass")</f>
        <v>0</v>
      </c>
      <c r="N28" s="1">
        <f>COUNTIF(F28:K28,"Fail")</f>
        <v>0</v>
      </c>
      <c r="O28" s="1" t="str">
        <f>IF(M28=0,"-",M28/L28)</f>
        <v>-</v>
      </c>
    </row>
    <row r="29">
      <c r="A29" s="1" t="str">
        <v>CON-002</v>
      </c>
      <c r="B29" s="1" t="str">
        <v>AMC Contract</v>
      </c>
      <c r="C29" s="1" t="str">
        <v>Contract Creation</v>
      </c>
      <c r="D29" s="1" t="str">
        <v>Start Date is mandatory — save fails without it</v>
      </c>
      <c r="E29" s="1" t="str">
        <v>Critical</v>
      </c>
      <c r="F29" s="1" t="str">
        <v>Not Run</v>
      </c>
      <c r="G29" s="1" t="str">
        <v>Not Run</v>
      </c>
      <c r="H29" s="1" t="str">
        <v>Not Run</v>
      </c>
      <c r="I29" s="1" t="str">
        <v>Not Run</v>
      </c>
      <c r="J29" s="1" t="str">
        <v>Not Run</v>
      </c>
      <c r="K29" s="1" t="str">
        <v>Not Run</v>
      </c>
      <c r="L29" s="1">
        <f>COUNTA(F29:K29)</f>
        <v>6</v>
      </c>
      <c r="M29" s="1">
        <f>COUNTIF(F29:K29,"Pass")</f>
        <v>0</v>
      </c>
      <c r="N29" s="1">
        <f>COUNTIF(F29:K29,"Fail")</f>
        <v>0</v>
      </c>
      <c r="O29" s="1" t="str">
        <f>IF(M29=0,"-",M29/L29)</f>
        <v>-</v>
      </c>
    </row>
    <row r="30">
      <c r="A30" s="1" t="str">
        <v>CON-003</v>
      </c>
      <c r="B30" s="1" t="str">
        <v>AMC Contract</v>
      </c>
      <c r="C30" s="1" t="str">
        <v>Contract Creation</v>
      </c>
      <c r="D30" s="1" t="str">
        <v>End Date is mandatory — save fails without it</v>
      </c>
      <c r="E30" s="1" t="str">
        <v>Critical</v>
      </c>
      <c r="F30" s="1" t="str">
        <v>Not Run</v>
      </c>
      <c r="G30" s="1" t="str">
        <v>Not Run</v>
      </c>
      <c r="H30" s="1" t="str">
        <v>Not Run</v>
      </c>
      <c r="I30" s="1" t="str">
        <v>Not Run</v>
      </c>
      <c r="J30" s="1" t="str">
        <v>Not Run</v>
      </c>
      <c r="K30" s="1" t="str">
        <v>Not Run</v>
      </c>
      <c r="L30" s="1">
        <f>COUNTA(F30:K30)</f>
        <v>6</v>
      </c>
      <c r="M30" s="1">
        <f>COUNTIF(F30:K30,"Pass")</f>
        <v>0</v>
      </c>
      <c r="N30" s="1">
        <f>COUNTIF(F30:K30,"Fail")</f>
        <v>0</v>
      </c>
      <c r="O30" s="1" t="str">
        <f>IF(M30=0,"-",M30/L30)</f>
        <v>-</v>
      </c>
    </row>
    <row r="31">
      <c r="A31" s="1" t="str">
        <v>CON-004</v>
      </c>
      <c r="B31" s="1" t="str">
        <v>AMC Contract</v>
      </c>
      <c r="C31" s="1" t="str">
        <v>Contract Creation</v>
      </c>
      <c r="D31" s="1" t="str">
        <v>No of Services is mandatory — save fails without it</v>
      </c>
      <c r="E31" s="1" t="str">
        <v>Critical</v>
      </c>
      <c r="F31" s="1" t="str">
        <v>Not Run</v>
      </c>
      <c r="G31" s="1" t="str">
        <v>Not Run</v>
      </c>
      <c r="H31" s="1" t="str">
        <v>Not Run</v>
      </c>
      <c r="I31" s="1" t="str">
        <v>Not Run</v>
      </c>
      <c r="J31" s="1" t="str">
        <v>Not Run</v>
      </c>
      <c r="K31" s="1" t="str">
        <v>Not Run</v>
      </c>
      <c r="L31" s="1">
        <f>COUNTA(F31:K31)</f>
        <v>6</v>
      </c>
      <c r="M31" s="1">
        <f>COUNTIF(F31:K31,"Pass")</f>
        <v>0</v>
      </c>
      <c r="N31" s="1">
        <f>COUNTIF(F31:K31,"Fail")</f>
        <v>0</v>
      </c>
      <c r="O31" s="1" t="str">
        <f>IF(M31=0,"-",M31/L31)</f>
        <v>-</v>
      </c>
    </row>
    <row r="32">
      <c r="A32" s="1" t="str">
        <v>CON-005</v>
      </c>
      <c r="B32" s="1" t="str">
        <v>AMC Contract</v>
      </c>
      <c r="C32" s="1" t="str">
        <v>Contract Creation</v>
      </c>
      <c r="D32" s="1" t="str">
        <v>Auto-naming follows AMC-.YY.MM.-.#### series</v>
      </c>
      <c r="E32" s="1" t="str">
        <v>High</v>
      </c>
      <c r="F32" s="1" t="str">
        <v>Not Run</v>
      </c>
      <c r="G32" s="1" t="str">
        <v>Not Run</v>
      </c>
      <c r="H32" s="1" t="str">
        <v>Not Run</v>
      </c>
      <c r="I32" s="1" t="str">
        <v>Not Run</v>
      </c>
      <c r="J32" s="1" t="str">
        <v>Not Run</v>
      </c>
      <c r="K32" s="1" t="str">
        <v>Not Run</v>
      </c>
      <c r="L32" s="1">
        <f>COUNTA(F32:K32)</f>
        <v>6</v>
      </c>
      <c r="M32" s="1">
        <f>COUNTIF(F32:K32,"Pass")</f>
        <v>0</v>
      </c>
      <c r="N32" s="1">
        <f>COUNTIF(F32:K32,"Fail")</f>
        <v>0</v>
      </c>
      <c r="O32" s="1" t="str">
        <f>IF(M32=0,"-",M32/L32)</f>
        <v>-</v>
      </c>
    </row>
    <row r="33">
      <c r="A33" s="1" t="str">
        <v>CON-006</v>
      </c>
      <c r="B33" s="1" t="str">
        <v>AMC Contract</v>
      </c>
      <c r="C33" s="1" t="str">
        <v>Contract Date Logic</v>
      </c>
      <c r="D33" s="1" t="str">
        <v>End Date before Start Date is rejected</v>
      </c>
      <c r="E33" s="1" t="str">
        <v>Critical</v>
      </c>
      <c r="F33" s="1" t="str">
        <v>Not Run</v>
      </c>
      <c r="G33" s="1" t="str">
        <v>Not Run</v>
      </c>
      <c r="H33" s="1" t="str">
        <v>Not Run</v>
      </c>
      <c r="I33" s="1" t="str">
        <v>Not Run</v>
      </c>
      <c r="J33" s="1" t="str">
        <v>Not Run</v>
      </c>
      <c r="K33" s="1" t="str">
        <v>Not Run</v>
      </c>
      <c r="L33" s="1">
        <f>COUNTA(F33:K33)</f>
        <v>6</v>
      </c>
      <c r="M33" s="1">
        <f>COUNTIF(F33:K33,"Pass")</f>
        <v>0</v>
      </c>
      <c r="N33" s="1">
        <f>COUNTIF(F33:K33,"Fail")</f>
        <v>0</v>
      </c>
      <c r="O33" s="1" t="str">
        <f>IF(M33=0,"-",M33/L33)</f>
        <v>-</v>
      </c>
    </row>
    <row r="34">
      <c r="A34" s="1" t="str">
        <v>CON-007</v>
      </c>
      <c r="B34" s="1" t="str">
        <v>AMC Contract</v>
      </c>
      <c r="C34" s="1" t="str">
        <v>Contract Date Logic</v>
      </c>
      <c r="D34" s="1" t="str">
        <v>Same Start and End Date is valid (single-day contract)</v>
      </c>
      <c r="E34" s="1" t="str">
        <v>High</v>
      </c>
      <c r="F34" s="1" t="str">
        <v>Not Run</v>
      </c>
      <c r="G34" s="1" t="str">
        <v>Not Run</v>
      </c>
      <c r="H34" s="1" t="str">
        <v>Not Run</v>
      </c>
      <c r="I34" s="1" t="str">
        <v>Not Run</v>
      </c>
      <c r="J34" s="1" t="str">
        <v>Not Run</v>
      </c>
      <c r="K34" s="1" t="str">
        <v>Not Run</v>
      </c>
      <c r="L34" s="1">
        <f>COUNTA(F34:K34)</f>
        <v>6</v>
      </c>
      <c r="M34" s="1">
        <f>COUNTIF(F34:K34,"Pass")</f>
        <v>0</v>
      </c>
      <c r="N34" s="1">
        <f>COUNTIF(F34:K34,"Fail")</f>
        <v>0</v>
      </c>
      <c r="O34" s="1" t="str">
        <f>IF(M34=0,"-",M34/L34)</f>
        <v>-</v>
      </c>
    </row>
    <row r="35">
      <c r="A35" s="1" t="str">
        <v>CON-008</v>
      </c>
      <c r="B35" s="1" t="str">
        <v>AMC Contract</v>
      </c>
      <c r="C35" s="1" t="str">
        <v>Contract Date Logic</v>
      </c>
      <c r="D35" s="1" t="str">
        <v>Multi-year contract is valid (e.g., 2 years)</v>
      </c>
      <c r="E35" s="1" t="str">
        <v>High</v>
      </c>
      <c r="F35" s="1" t="str">
        <v>Not Run</v>
      </c>
      <c r="G35" s="1" t="str">
        <v>Not Run</v>
      </c>
      <c r="H35" s="1" t="str">
        <v>Not Run</v>
      </c>
      <c r="I35" s="1" t="str">
        <v>Not Run</v>
      </c>
      <c r="J35" s="1" t="str">
        <v>Not Run</v>
      </c>
      <c r="K35" s="1" t="str">
        <v>Not Run</v>
      </c>
      <c r="L35" s="1">
        <f>COUNTA(F35:K35)</f>
        <v>6</v>
      </c>
      <c r="M35" s="1">
        <f>COUNTIF(F35:K35,"Pass")</f>
        <v>0</v>
      </c>
      <c r="N35" s="1">
        <f>COUNTIF(F35:K35,"Fail")</f>
        <v>0</v>
      </c>
      <c r="O35" s="1" t="str">
        <f>IF(M35=0,"-",M35/L35)</f>
        <v>-</v>
      </c>
    </row>
    <row r="36">
      <c r="A36" s="1" t="str">
        <v>CON-009</v>
      </c>
      <c r="B36" s="1" t="str">
        <v>AMC Contract</v>
      </c>
      <c r="C36" s="1" t="str">
        <v>Service Count &amp; Schedule</v>
      </c>
      <c r="D36" s="1" t="str">
        <v>4 services Jan-Dec creates exactly 4 Maintenance Schedule rows</v>
      </c>
      <c r="E36" s="1" t="str">
        <v>Critical</v>
      </c>
      <c r="F36" s="1" t="str">
        <v>Not Run</v>
      </c>
      <c r="G36" s="1" t="str">
        <v>Not Run</v>
      </c>
      <c r="H36" s="1" t="str">
        <v>Not Run</v>
      </c>
      <c r="I36" s="1" t="str">
        <v>Not Run</v>
      </c>
      <c r="J36" s="1" t="str">
        <v>Not Run</v>
      </c>
      <c r="K36" s="1" t="str">
        <v>Not Run</v>
      </c>
      <c r="L36" s="1">
        <f>COUNTA(F36:K36)</f>
        <v>6</v>
      </c>
      <c r="M36" s="1">
        <f>COUNTIF(F36:K36,"Pass")</f>
        <v>0</v>
      </c>
      <c r="N36" s="1">
        <f>COUNTIF(F36:K36,"Fail")</f>
        <v>0</v>
      </c>
      <c r="O36" s="1" t="str">
        <f>IF(M36=0,"-",M36/L36)</f>
        <v>-</v>
      </c>
    </row>
    <row r="37">
      <c r="A37" s="1" t="str">
        <v>CON-010</v>
      </c>
      <c r="B37" s="1" t="str">
        <v>AMC Contract</v>
      </c>
      <c r="C37" s="1" t="str">
        <v>Service Count &amp; Schedule</v>
      </c>
      <c r="D37" s="1" t="str">
        <v>12 services creates 12 monthly Maintenance Schedule rows</v>
      </c>
      <c r="E37" s="1" t="str">
        <v>Critical</v>
      </c>
      <c r="F37" s="1" t="str">
        <v>Not Run</v>
      </c>
      <c r="G37" s="1" t="str">
        <v>Not Run</v>
      </c>
      <c r="H37" s="1" t="str">
        <v>Not Run</v>
      </c>
      <c r="I37" s="1" t="str">
        <v>Not Run</v>
      </c>
      <c r="J37" s="1" t="str">
        <v>Not Run</v>
      </c>
      <c r="K37" s="1" t="str">
        <v>Not Run</v>
      </c>
      <c r="L37" s="1">
        <f>COUNTA(F37:K37)</f>
        <v>6</v>
      </c>
      <c r="M37" s="1">
        <f>COUNTIF(F37:K37,"Pass")</f>
        <v>0</v>
      </c>
      <c r="N37" s="1">
        <f>COUNTIF(F37:K37,"Fail")</f>
        <v>0</v>
      </c>
      <c r="O37" s="1" t="str">
        <f>IF(M37=0,"-",M37/L37)</f>
        <v>-</v>
      </c>
    </row>
    <row r="38">
      <c r="A38" s="1" t="str">
        <v>CON-011</v>
      </c>
      <c r="B38" s="1" t="str">
        <v>AMC Contract</v>
      </c>
      <c r="C38" s="1" t="str">
        <v>Service Count &amp; Schedule</v>
      </c>
      <c r="D38" s="1" t="str">
        <v>1 service creates exactly 1 Maintenance Schedule row</v>
      </c>
      <c r="E38" s="1" t="str">
        <v>Critical</v>
      </c>
      <c r="F38" s="1" t="str">
        <v>Not Run</v>
      </c>
      <c r="G38" s="1" t="str">
        <v>Not Run</v>
      </c>
      <c r="H38" s="1" t="str">
        <v>Not Run</v>
      </c>
      <c r="I38" s="1" t="str">
        <v>Not Run</v>
      </c>
      <c r="J38" s="1" t="str">
        <v>Not Run</v>
      </c>
      <c r="K38" s="1" t="str">
        <v>Not Run</v>
      </c>
      <c r="L38" s="1">
        <f>COUNTA(F38:K38)</f>
        <v>6</v>
      </c>
      <c r="M38" s="1">
        <f>COUNTIF(F38:K38,"Pass")</f>
        <v>0</v>
      </c>
      <c r="N38" s="1">
        <f>COUNTIF(F38:K38,"Fail")</f>
        <v>0</v>
      </c>
      <c r="O38" s="1" t="str">
        <f>IF(M38=0,"-",M38/L38)</f>
        <v>-</v>
      </c>
    </row>
    <row r="39">
      <c r="A39" s="1" t="str">
        <v>CON-012</v>
      </c>
      <c r="B39" s="1" t="str">
        <v>AMC Contract</v>
      </c>
      <c r="C39" s="1" t="str">
        <v>Service Count &amp; Schedule</v>
      </c>
      <c r="D39" s="1" t="str">
        <v>All schedule dates fall within contract Start-End range</v>
      </c>
      <c r="E39" s="1" t="str">
        <v>Critical</v>
      </c>
      <c r="F39" s="1" t="str">
        <v>Not Run</v>
      </c>
      <c r="G39" s="1" t="str">
        <v>Not Run</v>
      </c>
      <c r="H39" s="1" t="str">
        <v>Not Run</v>
      </c>
      <c r="I39" s="1" t="str">
        <v>Not Run</v>
      </c>
      <c r="J39" s="1" t="str">
        <v>Not Run</v>
      </c>
      <c r="K39" s="1" t="str">
        <v>Not Run</v>
      </c>
      <c r="L39" s="1">
        <f>COUNTA(F39:K39)</f>
        <v>6</v>
      </c>
      <c r="M39" s="1">
        <f>COUNTIF(F39:K39,"Pass")</f>
        <v>0</v>
      </c>
      <c r="N39" s="1">
        <f>COUNTIF(F39:K39,"Fail")</f>
        <v>0</v>
      </c>
      <c r="O39" s="1" t="str">
        <f>IF(M39=0,"-",M39/L39)</f>
        <v>-</v>
      </c>
    </row>
    <row r="40">
      <c r="A40" s="1" t="str">
        <v>CON-013</v>
      </c>
      <c r="B40" s="1" t="str">
        <v>AMC Contract</v>
      </c>
      <c r="C40" s="1" t="str">
        <v>Service Count &amp; Schedule</v>
      </c>
      <c r="D40" s="1" t="str">
        <v>Changing No of Services from 4 to 6 regenerates 6 rows</v>
      </c>
      <c r="E40" s="1" t="str">
        <v>High</v>
      </c>
      <c r="F40" s="1" t="str">
        <v>Not Run</v>
      </c>
      <c r="G40" s="1" t="str">
        <v>Not Run</v>
      </c>
      <c r="H40" s="1" t="str">
        <v>Not Run</v>
      </c>
      <c r="I40" s="1" t="str">
        <v>Not Run</v>
      </c>
      <c r="J40" s="1" t="str">
        <v>Not Run</v>
      </c>
      <c r="K40" s="1" t="str">
        <v>Not Run</v>
      </c>
      <c r="L40" s="1">
        <f>COUNTA(F40:K40)</f>
        <v>6</v>
      </c>
      <c r="M40" s="1">
        <f>COUNTIF(F40:K40,"Pass")</f>
        <v>0</v>
      </c>
      <c r="N40" s="1">
        <f>COUNTIF(F40:K40,"Fail")</f>
        <v>0</v>
      </c>
      <c r="O40" s="1" t="str">
        <f>IF(M40=0,"-",M40/L40)</f>
        <v>-</v>
      </c>
    </row>
    <row r="41">
      <c r="A41" s="1" t="str">
        <v>CON-014</v>
      </c>
      <c r="B41" s="1" t="str">
        <v>AMC Contract</v>
      </c>
      <c r="C41" s="1" t="str">
        <v>Service Count &amp; Schedule</v>
      </c>
      <c r="D41" s="1" t="str">
        <v>Maintenance Schedule Equipment column filled per row</v>
      </c>
      <c r="E41" s="1" t="str">
        <v>High</v>
      </c>
      <c r="F41" s="1" t="str">
        <v>Not Run</v>
      </c>
      <c r="G41" s="1" t="str">
        <v>Not Run</v>
      </c>
      <c r="H41" s="1" t="str">
        <v>Not Run</v>
      </c>
      <c r="I41" s="1" t="str">
        <v>Not Run</v>
      </c>
      <c r="J41" s="1" t="str">
        <v>Not Run</v>
      </c>
      <c r="K41" s="1" t="str">
        <v>Not Run</v>
      </c>
      <c r="L41" s="1">
        <f>COUNTA(F41:K41)</f>
        <v>6</v>
      </c>
      <c r="M41" s="1">
        <f>COUNTIF(F41:K41,"Pass")</f>
        <v>0</v>
      </c>
      <c r="N41" s="1">
        <f>COUNTIF(F41:K41,"Fail")</f>
        <v>0</v>
      </c>
      <c r="O41" s="1" t="str">
        <f>IF(M41=0,"-",M41/L41)</f>
        <v>-</v>
      </c>
    </row>
    <row r="42">
      <c r="A42" s="1" t="str">
        <v>CON-015</v>
      </c>
      <c r="B42" s="1" t="str">
        <v>AMC Contract</v>
      </c>
      <c r="C42" s="1" t="str">
        <v>Customer &amp; Branch Linkage</v>
      </c>
      <c r="D42" s="1" t="str">
        <v>Contract cannot reference non-existent AMC Customer</v>
      </c>
      <c r="E42" s="1" t="str">
        <v>Critical</v>
      </c>
      <c r="F42" s="1" t="str">
        <v>Not Run</v>
      </c>
      <c r="G42" s="1" t="str">
        <v>Not Run</v>
      </c>
      <c r="H42" s="1" t="str">
        <v>Not Run</v>
      </c>
      <c r="I42" s="1" t="str">
        <v>Not Run</v>
      </c>
      <c r="J42" s="1" t="str">
        <v>Not Run</v>
      </c>
      <c r="K42" s="1" t="str">
        <v>Not Run</v>
      </c>
      <c r="L42" s="1">
        <f>COUNTA(F42:K42)</f>
        <v>6</v>
      </c>
      <c r="M42" s="1">
        <f>COUNTIF(F42:K42,"Pass")</f>
        <v>0</v>
      </c>
      <c r="N42" s="1">
        <f>COUNTIF(F42:K42,"Fail")</f>
        <v>0</v>
      </c>
      <c r="O42" s="1" t="str">
        <f>IF(M42=0,"-",M42/L42)</f>
        <v>-</v>
      </c>
    </row>
    <row r="43">
      <c r="A43" s="1" t="str">
        <v>CON-016</v>
      </c>
      <c r="B43" s="1" t="str">
        <v>AMC Contract</v>
      </c>
      <c r="C43" s="1" t="str">
        <v>Customer &amp; Branch Linkage</v>
      </c>
      <c r="D43" s="1" t="str">
        <v>Branch dropdown is empty until Customer is selected</v>
      </c>
      <c r="E43" s="1" t="str">
        <v>High</v>
      </c>
      <c r="F43" s="1" t="str">
        <v>Not Run</v>
      </c>
      <c r="G43" s="1" t="str">
        <v>Not Run</v>
      </c>
      <c r="H43" s="1" t="str">
        <v>Not Run</v>
      </c>
      <c r="I43" s="1" t="str">
        <v>Not Run</v>
      </c>
      <c r="J43" s="1" t="str">
        <v>Not Run</v>
      </c>
      <c r="K43" s="1" t="str">
        <v>Not Run</v>
      </c>
      <c r="L43" s="1">
        <f>COUNTA(F43:K43)</f>
        <v>6</v>
      </c>
      <c r="M43" s="1">
        <f>COUNTIF(F43:K43,"Pass")</f>
        <v>0</v>
      </c>
      <c r="N43" s="1">
        <f>COUNTIF(F43:K43,"Fail")</f>
        <v>0</v>
      </c>
      <c r="O43" s="1" t="str">
        <f>IF(M43=0,"-",M43/L43)</f>
        <v>-</v>
      </c>
    </row>
    <row r="44">
      <c r="A44" s="1" t="str">
        <v>CON-017</v>
      </c>
      <c r="B44" s="1" t="str">
        <v>AMC Contract</v>
      </c>
      <c r="C44" s="1" t="str">
        <v>Customer &amp; Branch Linkage</v>
      </c>
      <c r="D44" s="1" t="str">
        <v>Changing Customer clears Branch and Contact Person</v>
      </c>
      <c r="E44" s="1" t="str">
        <v>High</v>
      </c>
      <c r="F44" s="1" t="str">
        <v>Not Run</v>
      </c>
      <c r="G44" s="1" t="str">
        <v>Not Run</v>
      </c>
      <c r="H44" s="1" t="str">
        <v>Not Run</v>
      </c>
      <c r="I44" s="1" t="str">
        <v>Not Run</v>
      </c>
      <c r="J44" s="1" t="str">
        <v>Not Run</v>
      </c>
      <c r="K44" s="1" t="str">
        <v>Not Run</v>
      </c>
      <c r="L44" s="1">
        <f>COUNTA(F44:K44)</f>
        <v>6</v>
      </c>
      <c r="M44" s="1">
        <f>COUNTIF(F44:K44,"Pass")</f>
        <v>0</v>
      </c>
      <c r="N44" s="1">
        <f>COUNTIF(F44:K44,"Fail")</f>
        <v>0</v>
      </c>
      <c r="O44" s="1" t="str">
        <f>IF(M44=0,"-",M44/L44)</f>
        <v>-</v>
      </c>
    </row>
    <row r="45">
      <c r="A45" s="1" t="str">
        <v>CON-018</v>
      </c>
      <c r="B45" s="1" t="str">
        <v>AMC Contract</v>
      </c>
      <c r="C45" s="1" t="str">
        <v>Customer &amp; Branch Linkage</v>
      </c>
      <c r="D45" s="1" t="str">
        <v>Contact Person dropdown filtered by selected Branch</v>
      </c>
      <c r="E45" s="1" t="str">
        <v>High</v>
      </c>
      <c r="F45" s="1" t="str">
        <v>Not Run</v>
      </c>
      <c r="G45" s="1" t="str">
        <v>Not Run</v>
      </c>
      <c r="H45" s="1" t="str">
        <v>Not Run</v>
      </c>
      <c r="I45" s="1" t="str">
        <v>Not Run</v>
      </c>
      <c r="J45" s="1" t="str">
        <v>Not Run</v>
      </c>
      <c r="K45" s="1" t="str">
        <v>Not Run</v>
      </c>
      <c r="L45" s="1">
        <f>COUNTA(F45:K45)</f>
        <v>6</v>
      </c>
      <c r="M45" s="1">
        <f>COUNTIF(F45:K45,"Pass")</f>
        <v>0</v>
      </c>
      <c r="N45" s="1">
        <f>COUNTIF(F45:K45,"Fail")</f>
        <v>0</v>
      </c>
      <c r="O45" s="1" t="str">
        <f>IF(M45=0,"-",M45/L45)</f>
        <v>-</v>
      </c>
    </row>
    <row r="46">
      <c r="A46" s="1" t="str">
        <v>CON-019</v>
      </c>
      <c r="B46" s="1" t="str">
        <v>AMC Contract</v>
      </c>
      <c r="C46" s="1" t="str">
        <v>Contract Status</v>
      </c>
      <c r="D46" s="1" t="str">
        <v>Status field accepts Active value</v>
      </c>
      <c r="E46" s="1" t="str">
        <v>High</v>
      </c>
      <c r="F46" s="1" t="str">
        <v>Not Run</v>
      </c>
      <c r="G46" s="1" t="str">
        <v>Not Run</v>
      </c>
      <c r="H46" s="1" t="str">
        <v>Not Run</v>
      </c>
      <c r="I46" s="1" t="str">
        <v>Not Run</v>
      </c>
      <c r="J46" s="1" t="str">
        <v>Not Run</v>
      </c>
      <c r="K46" s="1" t="str">
        <v>Not Run</v>
      </c>
      <c r="L46" s="1">
        <f>COUNTA(F46:K46)</f>
        <v>6</v>
      </c>
      <c r="M46" s="1">
        <f>COUNTIF(F46:K46,"Pass")</f>
        <v>0</v>
      </c>
      <c r="N46" s="1">
        <f>COUNTIF(F46:K46,"Fail")</f>
        <v>0</v>
      </c>
      <c r="O46" s="1" t="str">
        <f>IF(M46=0,"-",M46/L46)</f>
        <v>-</v>
      </c>
    </row>
    <row r="47">
      <c r="A47" s="1" t="str">
        <v>CON-020</v>
      </c>
      <c r="B47" s="1" t="str">
        <v>AMC Contract</v>
      </c>
      <c r="C47" s="1" t="str">
        <v>Contract Status</v>
      </c>
      <c r="D47" s="1" t="str">
        <v>Status field accepts Inactive value</v>
      </c>
      <c r="E47" s="1" t="str">
        <v>High</v>
      </c>
      <c r="F47" s="1" t="str">
        <v>Not Run</v>
      </c>
      <c r="G47" s="1" t="str">
        <v>Not Run</v>
      </c>
      <c r="H47" s="1" t="str">
        <v>Not Run</v>
      </c>
      <c r="I47" s="1" t="str">
        <v>Not Run</v>
      </c>
      <c r="J47" s="1" t="str">
        <v>Not Run</v>
      </c>
      <c r="K47" s="1" t="str">
        <v>Not Run</v>
      </c>
      <c r="L47" s="1">
        <f>COUNTA(F47:K47)</f>
        <v>6</v>
      </c>
      <c r="M47" s="1">
        <f>COUNTIF(F47:K47,"Pass")</f>
        <v>0</v>
      </c>
      <c r="N47" s="1">
        <f>COUNTIF(F47:K47,"Fail")</f>
        <v>0</v>
      </c>
      <c r="O47" s="1" t="str">
        <f>IF(M47=0,"-",M47/L47)</f>
        <v>-</v>
      </c>
    </row>
    <row r="48">
      <c r="A48" s="1" t="str">
        <v>CON-021</v>
      </c>
      <c r="B48" s="1" t="str">
        <v>AMC Contract</v>
      </c>
      <c r="C48" s="1" t="str">
        <v>Contract Status</v>
      </c>
      <c r="D48" s="1" t="str">
        <v>Status is blank by default on new contract</v>
      </c>
      <c r="E48" s="1" t="str">
        <v>Medium</v>
      </c>
      <c r="F48" s="1" t="str">
        <v>Not Run</v>
      </c>
      <c r="G48" s="1" t="str">
        <v>Not Run</v>
      </c>
      <c r="H48" s="1" t="str">
        <v>Not Run</v>
      </c>
      <c r="I48" s="1" t="str">
        <v>Not Run</v>
      </c>
      <c r="J48" s="1" t="str">
        <v>Not Run</v>
      </c>
      <c r="K48" s="1" t="str">
        <v>Not Run</v>
      </c>
      <c r="L48" s="1">
        <f>COUNTA(F48:K48)</f>
        <v>6</v>
      </c>
      <c r="M48" s="1">
        <f>COUNTIF(F48:K48,"Pass")</f>
        <v>0</v>
      </c>
      <c r="N48" s="1">
        <f>COUNTIF(F48:K48,"Fail")</f>
        <v>0</v>
      </c>
      <c r="O48" s="1" t="str">
        <f>IF(M48=0,"-",M48/L48)</f>
        <v>-</v>
      </c>
    </row>
    <row r="49">
      <c r="A49" s="1" t="str">
        <v>CON-022</v>
      </c>
      <c r="B49" s="1" t="str">
        <v>AMC Contract</v>
      </c>
      <c r="C49" s="1" t="str">
        <v>Submit &amp; Amend Workflow</v>
      </c>
      <c r="D49" s="1" t="str">
        <v>Draft contract can be submitted</v>
      </c>
      <c r="E49" s="1" t="str">
        <v>Critical</v>
      </c>
      <c r="F49" s="1" t="str">
        <v>Not Run</v>
      </c>
      <c r="G49" s="1" t="str">
        <v>Not Run</v>
      </c>
      <c r="H49" s="1" t="str">
        <v>Not Run</v>
      </c>
      <c r="I49" s="1" t="str">
        <v>Not Run</v>
      </c>
      <c r="J49" s="1" t="str">
        <v>Not Run</v>
      </c>
      <c r="K49" s="1" t="str">
        <v>Not Run</v>
      </c>
      <c r="L49" s="1">
        <f>COUNTA(F49:K49)</f>
        <v>6</v>
      </c>
      <c r="M49" s="1">
        <f>COUNTIF(F49:K49,"Pass")</f>
        <v>0</v>
      </c>
      <c r="N49" s="1">
        <f>COUNTIF(F49:K49,"Fail")</f>
        <v>0</v>
      </c>
      <c r="O49" s="1" t="str">
        <f>IF(M49=0,"-",M49/L49)</f>
        <v>-</v>
      </c>
    </row>
    <row r="50">
      <c r="A50" s="1" t="str">
        <v>CON-023</v>
      </c>
      <c r="B50" s="1" t="str">
        <v>AMC Contract</v>
      </c>
      <c r="C50" s="1" t="str">
        <v>Submit &amp; Amend Workflow</v>
      </c>
      <c r="D50" s="1" t="str">
        <v>Submitted contract fields are read-only</v>
      </c>
      <c r="E50" s="1" t="str">
        <v>Critical</v>
      </c>
      <c r="F50" s="1" t="str">
        <v>Not Run</v>
      </c>
      <c r="G50" s="1" t="str">
        <v>Not Run</v>
      </c>
      <c r="H50" s="1" t="str">
        <v>Not Run</v>
      </c>
      <c r="I50" s="1" t="str">
        <v>Not Run</v>
      </c>
      <c r="J50" s="1" t="str">
        <v>Not Run</v>
      </c>
      <c r="K50" s="1" t="str">
        <v>Not Run</v>
      </c>
      <c r="L50" s="1">
        <f>COUNTA(F50:K50)</f>
        <v>6</v>
      </c>
      <c r="M50" s="1">
        <f>COUNTIF(F50:K50,"Pass")</f>
        <v>0</v>
      </c>
      <c r="N50" s="1">
        <f>COUNTIF(F50:K50,"Fail")</f>
        <v>0</v>
      </c>
      <c r="O50" s="1" t="str">
        <f>IF(M50=0,"-",M50/L50)</f>
        <v>-</v>
      </c>
    </row>
    <row r="51">
      <c r="A51" s="1" t="str">
        <v>CON-024</v>
      </c>
      <c r="B51" s="1" t="str">
        <v>AMC Contract</v>
      </c>
      <c r="C51" s="1" t="str">
        <v>Submit &amp; Amend Workflow</v>
      </c>
      <c r="D51" s="1" t="str">
        <v>Submitted contract can be amended to create new draft</v>
      </c>
      <c r="E51" s="1" t="str">
        <v>Critical</v>
      </c>
      <c r="F51" s="1" t="str">
        <v>Not Run</v>
      </c>
      <c r="G51" s="1" t="str">
        <v>Not Run</v>
      </c>
      <c r="H51" s="1" t="str">
        <v>Not Run</v>
      </c>
      <c r="I51" s="1" t="str">
        <v>Not Run</v>
      </c>
      <c r="J51" s="1" t="str">
        <v>Not Run</v>
      </c>
      <c r="K51" s="1" t="str">
        <v>Not Run</v>
      </c>
      <c r="L51" s="1">
        <f>COUNTA(F51:K51)</f>
        <v>6</v>
      </c>
      <c r="M51" s="1">
        <f>COUNTIF(F51:K51,"Pass")</f>
        <v>0</v>
      </c>
      <c r="N51" s="1">
        <f>COUNTIF(F51:K51,"Fail")</f>
        <v>0</v>
      </c>
      <c r="O51" s="1" t="str">
        <f>IF(M51=0,"-",M51/L51)</f>
        <v>-</v>
      </c>
    </row>
    <row r="52">
      <c r="A52" s="1" t="str">
        <v>CON-025</v>
      </c>
      <c r="B52" s="1" t="str">
        <v>AMC Contract</v>
      </c>
      <c r="C52" s="1" t="str">
        <v>Submit &amp; Amend Workflow</v>
      </c>
      <c r="D52" s="1" t="str">
        <v>Submitted contract can be cancelled</v>
      </c>
      <c r="E52" s="1" t="str">
        <v>High</v>
      </c>
      <c r="F52" s="1" t="str">
        <v>Not Run</v>
      </c>
      <c r="G52" s="1" t="str">
        <v>Not Run</v>
      </c>
      <c r="H52" s="1" t="str">
        <v>Not Run</v>
      </c>
      <c r="I52" s="1" t="str">
        <v>Not Run</v>
      </c>
      <c r="J52" s="1" t="str">
        <v>Not Run</v>
      </c>
      <c r="K52" s="1" t="str">
        <v>Not Run</v>
      </c>
      <c r="L52" s="1">
        <f>COUNTA(F52:K52)</f>
        <v>6</v>
      </c>
      <c r="M52" s="1">
        <f>COUNTIF(F52:K52,"Pass")</f>
        <v>0</v>
      </c>
      <c r="N52" s="1">
        <f>COUNTIF(F52:K52,"Fail")</f>
        <v>0</v>
      </c>
      <c r="O52" s="1" t="str">
        <f>IF(M52=0,"-",M52/L52)</f>
        <v>-</v>
      </c>
    </row>
    <row r="53">
      <c r="A53" s="1" t="str">
        <v>CON-026</v>
      </c>
      <c r="B53" s="1" t="str">
        <v>AMC Contract</v>
      </c>
      <c r="C53" s="1" t="str">
        <v>Company Branch</v>
      </c>
      <c r="D53" s="1" t="str">
        <v>Company Branch saved independently of Customer Branch</v>
      </c>
      <c r="E53" s="1" t="str">
        <v>High</v>
      </c>
      <c r="F53" s="1" t="str">
        <v>Not Run</v>
      </c>
      <c r="G53" s="1" t="str">
        <v>Not Run</v>
      </c>
      <c r="H53" s="1" t="str">
        <v>Not Run</v>
      </c>
      <c r="I53" s="1" t="str">
        <v>Not Run</v>
      </c>
      <c r="J53" s="1" t="str">
        <v>Not Run</v>
      </c>
      <c r="K53" s="1" t="str">
        <v>Not Run</v>
      </c>
      <c r="L53" s="1">
        <f>COUNTA(F53:K53)</f>
        <v>6</v>
      </c>
      <c r="M53" s="1">
        <f>COUNTIF(F53:K53,"Pass")</f>
        <v>0</v>
      </c>
      <c r="N53" s="1">
        <f>COUNTIF(F53:K53,"Fail")</f>
        <v>0</v>
      </c>
      <c r="O53" s="1" t="str">
        <f>IF(M53=0,"-",M53/L53)</f>
        <v>-</v>
      </c>
    </row>
    <row r="54">
      <c r="A54" s="1" t="str">
        <v>CON-027</v>
      </c>
      <c r="B54" s="1" t="str">
        <v>AMC Contract</v>
      </c>
      <c r="C54" s="1" t="str">
        <v>Service Calls Tab</v>
      </c>
      <c r="D54" s="1" t="str">
        <v>Service Calls tab shows generated calls after submission</v>
      </c>
      <c r="E54" s="1" t="str">
        <v>Critical</v>
      </c>
      <c r="F54" s="1" t="str">
        <v>Not Run</v>
      </c>
      <c r="G54" s="1" t="str">
        <v>Not Run</v>
      </c>
      <c r="H54" s="1" t="str">
        <v>Not Run</v>
      </c>
      <c r="I54" s="1" t="str">
        <v>Not Run</v>
      </c>
      <c r="J54" s="1" t="str">
        <v>Not Run</v>
      </c>
      <c r="K54" s="1" t="str">
        <v>Not Run</v>
      </c>
      <c r="L54" s="1">
        <f>COUNTA(F54:K54)</f>
        <v>6</v>
      </c>
      <c r="M54" s="1">
        <f>COUNTIF(F54:K54,"Pass")</f>
        <v>0</v>
      </c>
      <c r="N54" s="1">
        <f>COUNTIF(F54:K54,"Fail")</f>
        <v>0</v>
      </c>
      <c r="O54" s="1" t="str">
        <f>IF(M54=0,"-",M54/L54)</f>
        <v>-</v>
      </c>
    </row>
    <row r="55">
      <c r="A55" s="1" t="str">
        <v>CON-028</v>
      </c>
      <c r="B55" s="1" t="str">
        <v>AMC Contract</v>
      </c>
      <c r="C55" s="1" t="str">
        <v>Service Calls Tab</v>
      </c>
      <c r="D55" s="1" t="str">
        <v>Service Calls tab is empty for unsaved draft contract</v>
      </c>
      <c r="E55" s="1" t="str">
        <v>High</v>
      </c>
      <c r="F55" s="1" t="str">
        <v>Not Run</v>
      </c>
      <c r="G55" s="1" t="str">
        <v>Not Run</v>
      </c>
      <c r="H55" s="1" t="str">
        <v>Not Run</v>
      </c>
      <c r="I55" s="1" t="str">
        <v>Not Run</v>
      </c>
      <c r="J55" s="1" t="str">
        <v>Not Run</v>
      </c>
      <c r="K55" s="1" t="str">
        <v>Not Run</v>
      </c>
      <c r="L55" s="1">
        <f>COUNTA(F55:K55)</f>
        <v>6</v>
      </c>
      <c r="M55" s="1">
        <f>COUNTIF(F55:K55,"Pass")</f>
        <v>0</v>
      </c>
      <c r="N55" s="1">
        <f>COUNTIF(F55:K55,"Fail")</f>
        <v>0</v>
      </c>
      <c r="O55" s="1" t="str">
        <f>IF(M55=0,"-",M55/L55)</f>
        <v>-</v>
      </c>
    </row>
    <row r="56">
      <c r="A56" s="1" t="str">
        <v>CON-029</v>
      </c>
      <c r="B56" s="1" t="str">
        <v>AMC Contract</v>
      </c>
      <c r="C56" s="1" t="str">
        <v>Service Calls Tab</v>
      </c>
      <c r="D56" s="1" t="str">
        <v>Service Call count equals No of Services on contract</v>
      </c>
      <c r="E56" s="1" t="str">
        <v>Critical</v>
      </c>
      <c r="F56" s="1" t="str">
        <v>Not Run</v>
      </c>
      <c r="G56" s="1" t="str">
        <v>Not Run</v>
      </c>
      <c r="H56" s="1" t="str">
        <v>Not Run</v>
      </c>
      <c r="I56" s="1" t="str">
        <v>Not Run</v>
      </c>
      <c r="J56" s="1" t="str">
        <v>Not Run</v>
      </c>
      <c r="K56" s="1" t="str">
        <v>Not Run</v>
      </c>
      <c r="L56" s="1">
        <f>COUNTA(F56:K56)</f>
        <v>6</v>
      </c>
      <c r="M56" s="1">
        <f>COUNTIF(F56:K56,"Pass")</f>
        <v>0</v>
      </c>
      <c r="N56" s="1">
        <f>COUNTIF(F56:K56,"Fail")</f>
        <v>0</v>
      </c>
      <c r="O56" s="1" t="str">
        <f>IF(M56=0,"-",M56/L56)</f>
        <v>-</v>
      </c>
    </row>
    <row r="57">
      <c r="A57" s="1" t="str">
        <v>CON-030</v>
      </c>
      <c r="B57" s="1" t="str">
        <v>AMC Contract</v>
      </c>
      <c r="C57" s="1" t="str">
        <v>Cross-DocType Integration</v>
      </c>
      <c r="D57" s="1" t="str">
        <v>One customer can have contracts for multiple branches</v>
      </c>
      <c r="E57" s="1" t="str">
        <v>Critical</v>
      </c>
      <c r="F57" s="1" t="str">
        <v>Not Run</v>
      </c>
      <c r="G57" s="1" t="str">
        <v>Not Run</v>
      </c>
      <c r="H57" s="1" t="str">
        <v>Not Run</v>
      </c>
      <c r="I57" s="1" t="str">
        <v>Not Run</v>
      </c>
      <c r="J57" s="1" t="str">
        <v>Not Run</v>
      </c>
      <c r="K57" s="1" t="str">
        <v>Not Run</v>
      </c>
      <c r="L57" s="1">
        <f>COUNTA(F57:K57)</f>
        <v>6</v>
      </c>
      <c r="M57" s="1">
        <f>COUNTIF(F57:K57,"Pass")</f>
        <v>0</v>
      </c>
      <c r="N57" s="1">
        <f>COUNTIF(F57:K57,"Fail")</f>
        <v>0</v>
      </c>
      <c r="O57" s="1" t="str">
        <f>IF(M57=0,"-",M57/L57)</f>
        <v>-</v>
      </c>
    </row>
    <row r="58">
      <c r="A58" s="1" t="str">
        <v>CON-031</v>
      </c>
      <c r="B58" s="1" t="str">
        <v>AMC Contract</v>
      </c>
      <c r="C58" s="1" t="str">
        <v>Cross-DocType Integration</v>
      </c>
      <c r="D58" s="1" t="str">
        <v>Deleting customer with active contracts is blocked</v>
      </c>
      <c r="E58" s="1" t="str">
        <v>High</v>
      </c>
      <c r="F58" s="1" t="str">
        <v>Not Run</v>
      </c>
      <c r="G58" s="1" t="str">
        <v>Not Run</v>
      </c>
      <c r="H58" s="1" t="str">
        <v>Not Run</v>
      </c>
      <c r="I58" s="1" t="str">
        <v>Not Run</v>
      </c>
      <c r="J58" s="1" t="str">
        <v>Not Run</v>
      </c>
      <c r="K58" s="1" t="str">
        <v>Not Run</v>
      </c>
      <c r="L58" s="1">
        <f>COUNTA(F58:K58)</f>
        <v>6</v>
      </c>
      <c r="M58" s="1">
        <f>COUNTIF(F58:K58,"Pass")</f>
        <v>0</v>
      </c>
      <c r="N58" s="1">
        <f>COUNTIF(F58:K58,"Fail")</f>
        <v>0</v>
      </c>
      <c r="O58" s="1" t="str">
        <f>IF(M58=0,"-",M58/L58)</f>
        <v>-</v>
      </c>
    </row>
    <row r="59">
      <c r="A59" s="1" t="str">
        <v>CON-032</v>
      </c>
      <c r="B59" s="1" t="str">
        <v>AMC Contract</v>
      </c>
      <c r="C59" s="1" t="str">
        <v>Cross-DocType Integration</v>
      </c>
      <c r="D59" s="1" t="str">
        <v>Technician cannot cancel or delete AMC Contract</v>
      </c>
      <c r="E59" s="1" t="str">
        <v>Critical</v>
      </c>
      <c r="F59" s="1" t="str">
        <v>Not Run</v>
      </c>
      <c r="G59" s="1" t="str">
        <v>Not Run</v>
      </c>
      <c r="H59" s="1" t="str">
        <v>Not Run</v>
      </c>
      <c r="I59" s="1" t="str">
        <v>Not Run</v>
      </c>
      <c r="J59" s="1" t="str">
        <v>Not Run</v>
      </c>
      <c r="K59" s="1" t="str">
        <v>Not Run</v>
      </c>
      <c r="L59" s="1">
        <f>COUNTA(F59:K59)</f>
        <v>6</v>
      </c>
      <c r="M59" s="1">
        <f>COUNTIF(F59:K59,"Pass")</f>
        <v>0</v>
      </c>
      <c r="N59" s="1">
        <f>COUNTIF(F59:K59,"Fail")</f>
        <v>0</v>
      </c>
      <c r="O59" s="1" t="str">
        <f>IF(M59=0,"-",M59/L59)</f>
        <v>-</v>
      </c>
    </row>
    <row r="60">
      <c r="A60" s="1" t="str">
        <v>▌ Vendor</v>
      </c>
    </row>
    <row r="61">
      <c r="A61" s="1" t="str">
        <v>VEN-001</v>
      </c>
      <c r="B61" s="1" t="str">
        <v>Vendor</v>
      </c>
      <c r="C61" s="1" t="str">
        <v>Vendor Creation &amp; Basic Details</v>
      </c>
      <c r="D61" s="1" t="str">
        <v>Create Vendor with Vendor Name only (mandatory field)</v>
      </c>
      <c r="E61" s="1" t="str">
        <v>Critical</v>
      </c>
      <c r="F61" s="1" t="str">
        <v>Not Run</v>
      </c>
      <c r="G61" s="1" t="str">
        <v>Not Run</v>
      </c>
      <c r="H61" s="1" t="str">
        <v>Not Run</v>
      </c>
      <c r="I61" s="1" t="str">
        <v>Not Run</v>
      </c>
      <c r="J61" s="1" t="str">
        <v>Not Run</v>
      </c>
      <c r="K61" s="1" t="str">
        <v>Not Run</v>
      </c>
      <c r="L61" s="1">
        <f>COUNTA(F61:K61)</f>
        <v>6</v>
      </c>
      <c r="M61" s="1">
        <f>COUNTIF(F61:K61,"Pass")</f>
        <v>0</v>
      </c>
      <c r="N61" s="1">
        <f>COUNTIF(F61:K61,"Fail")</f>
        <v>0</v>
      </c>
      <c r="O61" s="1" t="str">
        <f>IF(M61=0,"-",M61/L61)</f>
        <v>-</v>
      </c>
    </row>
    <row r="62">
      <c r="A62" s="1" t="str">
        <v>VEN-002</v>
      </c>
      <c r="B62" s="1" t="str">
        <v>Vendor</v>
      </c>
      <c r="C62" s="1" t="str">
        <v>Vendor Creation &amp; Basic Details</v>
      </c>
      <c r="D62" s="1" t="str">
        <v>Create Vendor with all basic fields (Name, Type, PAN)</v>
      </c>
      <c r="E62" s="1" t="str">
        <v>Critical</v>
      </c>
      <c r="F62" s="1" t="str">
        <v>Not Run</v>
      </c>
      <c r="G62" s="1" t="str">
        <v>Not Run</v>
      </c>
      <c r="H62" s="1" t="str">
        <v>Not Run</v>
      </c>
      <c r="I62" s="1" t="str">
        <v>Not Run</v>
      </c>
      <c r="J62" s="1" t="str">
        <v>Not Run</v>
      </c>
      <c r="K62" s="1" t="str">
        <v>Not Run</v>
      </c>
      <c r="L62" s="1">
        <f>COUNTA(F62:K62)</f>
        <v>6</v>
      </c>
      <c r="M62" s="1">
        <f>COUNTIF(F62:K62,"Pass")</f>
        <v>0</v>
      </c>
      <c r="N62" s="1">
        <f>COUNTIF(F62:K62,"Fail")</f>
        <v>0</v>
      </c>
      <c r="O62" s="1" t="str">
        <f>IF(M62=0,"-",M62/L62)</f>
        <v>-</v>
      </c>
    </row>
    <row r="63">
      <c r="A63" s="1" t="str">
        <v>VEN-003</v>
      </c>
      <c r="B63" s="1" t="str">
        <v>Vendor</v>
      </c>
      <c r="C63" s="1" t="str">
        <v>Vendor Creation &amp; Basic Details</v>
      </c>
      <c r="D63" s="1" t="str">
        <v>Create Vendor with Type as Company</v>
      </c>
      <c r="E63" s="1" t="str">
        <v>High</v>
      </c>
      <c r="F63" s="1" t="str">
        <v>Not Run</v>
      </c>
      <c r="G63" s="1" t="str">
        <v>Not Run</v>
      </c>
      <c r="H63" s="1" t="str">
        <v>Not Run</v>
      </c>
      <c r="I63" s="1" t="str">
        <v>Not Run</v>
      </c>
      <c r="J63" s="1" t="str">
        <v>Not Run</v>
      </c>
      <c r="K63" s="1" t="str">
        <v>Not Run</v>
      </c>
      <c r="L63" s="1">
        <f>COUNTA(F63:K63)</f>
        <v>6</v>
      </c>
      <c r="M63" s="1">
        <f>COUNTIF(F63:K63,"Pass")</f>
        <v>0</v>
      </c>
      <c r="N63" s="1">
        <f>COUNTIF(F63:K63,"Fail")</f>
        <v>0</v>
      </c>
      <c r="O63" s="1" t="str">
        <f>IF(M63=0,"-",M63/L63)</f>
        <v>-</v>
      </c>
    </row>
    <row r="64">
      <c r="A64" s="1" t="str">
        <v>VEN-004</v>
      </c>
      <c r="B64" s="1" t="str">
        <v>Vendor</v>
      </c>
      <c r="C64" s="1" t="str">
        <v>Vendor Creation &amp; Basic Details</v>
      </c>
      <c r="D64" s="1" t="str">
        <v>Create Vendor with Type as Individual</v>
      </c>
      <c r="E64" s="1" t="str">
        <v>High</v>
      </c>
      <c r="F64" s="1" t="str">
        <v>Not Run</v>
      </c>
      <c r="G64" s="1" t="str">
        <v>Not Run</v>
      </c>
      <c r="H64" s="1" t="str">
        <v>Not Run</v>
      </c>
      <c r="I64" s="1" t="str">
        <v>Not Run</v>
      </c>
      <c r="J64" s="1" t="str">
        <v>Not Run</v>
      </c>
      <c r="K64" s="1" t="str">
        <v>Not Run</v>
      </c>
      <c r="L64" s="1">
        <f>COUNTA(F64:K64)</f>
        <v>6</v>
      </c>
      <c r="M64" s="1">
        <f>COUNTIF(F64:K64,"Pass")</f>
        <v>0</v>
      </c>
      <c r="N64" s="1">
        <f>COUNTIF(F64:K64,"Fail")</f>
        <v>0</v>
      </c>
      <c r="O64" s="1" t="str">
        <f>IF(M64=0,"-",M64/L64)</f>
        <v>-</v>
      </c>
    </row>
    <row r="65">
      <c r="A65" s="1" t="str">
        <v>VEN-005</v>
      </c>
      <c r="B65" s="1" t="str">
        <v>Vendor</v>
      </c>
      <c r="C65" s="1" t="str">
        <v>Primary Contact Details</v>
      </c>
      <c r="D65" s="1" t="str">
        <v>Add Primary Contact Person</v>
      </c>
      <c r="E65" s="1" t="str">
        <v>Critical</v>
      </c>
      <c r="F65" s="1" t="str">
        <v>Not Run</v>
      </c>
      <c r="G65" s="1" t="str">
        <v>Not Run</v>
      </c>
      <c r="H65" s="1" t="str">
        <v>Not Run</v>
      </c>
      <c r="I65" s="1" t="str">
        <v>Not Run</v>
      </c>
      <c r="J65" s="1" t="str">
        <v>Not Run</v>
      </c>
      <c r="K65" s="1" t="str">
        <v>Not Run</v>
      </c>
      <c r="L65" s="1">
        <f>COUNTA(F65:K65)</f>
        <v>6</v>
      </c>
      <c r="M65" s="1">
        <f>COUNTIF(F65:K65,"Pass")</f>
        <v>0</v>
      </c>
      <c r="N65" s="1">
        <f>COUNTIF(F65:K65,"Fail")</f>
        <v>0</v>
      </c>
      <c r="O65" s="1" t="str">
        <f>IF(M65=0,"-",M65/L65)</f>
        <v>-</v>
      </c>
    </row>
    <row r="66">
      <c r="A66" s="1" t="str">
        <v>VEN-006</v>
      </c>
      <c r="B66" s="1" t="str">
        <v>Vendor</v>
      </c>
      <c r="C66" s="1" t="str">
        <v>Primary Contact Details</v>
      </c>
      <c r="D66" s="1" t="str">
        <v>Valid phone number format in Mobile No field</v>
      </c>
      <c r="E66" s="1" t="str">
        <v>High</v>
      </c>
      <c r="F66" s="1" t="str">
        <v>Not Run</v>
      </c>
      <c r="G66" s="1" t="str">
        <v>Not Run</v>
      </c>
      <c r="H66" s="1" t="str">
        <v>Not Run</v>
      </c>
      <c r="I66" s="1" t="str">
        <v>Not Run</v>
      </c>
      <c r="J66" s="1" t="str">
        <v>Not Run</v>
      </c>
      <c r="K66" s="1" t="str">
        <v>Not Run</v>
      </c>
      <c r="L66" s="1">
        <f>COUNTA(F66:K66)</f>
        <v>6</v>
      </c>
      <c r="M66" s="1">
        <f>COUNTIF(F66:K66,"Pass")</f>
        <v>0</v>
      </c>
      <c r="N66" s="1">
        <f>COUNTIF(F66:K66,"Fail")</f>
        <v>0</v>
      </c>
      <c r="O66" s="1" t="str">
        <f>IF(M66=0,"-",M66/L66)</f>
        <v>-</v>
      </c>
    </row>
    <row r="67">
      <c r="A67" s="1" t="str">
        <v>VEN-007</v>
      </c>
      <c r="B67" s="1" t="str">
        <v>Vendor</v>
      </c>
      <c r="C67" s="1" t="str">
        <v>Primary Contact Details</v>
      </c>
      <c r="D67" s="1" t="str">
        <v>Invalid phone number format is rejected</v>
      </c>
      <c r="E67" s="1" t="str">
        <v>Critical</v>
      </c>
      <c r="F67" s="1" t="str">
        <v>Not Run</v>
      </c>
      <c r="G67" s="1" t="str">
        <v>Not Run</v>
      </c>
      <c r="H67" s="1" t="str">
        <v>Not Run</v>
      </c>
      <c r="I67" s="1" t="str">
        <v>Not Run</v>
      </c>
      <c r="J67" s="1" t="str">
        <v>Not Run</v>
      </c>
      <c r="K67" s="1" t="str">
        <v>Not Run</v>
      </c>
      <c r="L67" s="1">
        <f>COUNTA(F67:K67)</f>
        <v>6</v>
      </c>
      <c r="M67" s="1">
        <f>COUNTIF(F67:K67,"Pass")</f>
        <v>0</v>
      </c>
      <c r="N67" s="1">
        <f>COUNTIF(F67:K67,"Fail")</f>
        <v>0</v>
      </c>
      <c r="O67" s="1" t="str">
        <f>IF(M67=0,"-",M67/L67)</f>
        <v>-</v>
      </c>
    </row>
    <row r="68">
      <c r="A68" s="1" t="str">
        <v>VEN-008</v>
      </c>
      <c r="B68" s="1" t="str">
        <v>Vendor</v>
      </c>
      <c r="C68" s="1" t="str">
        <v>Primary Contact Details</v>
      </c>
      <c r="D68" s="1" t="str">
        <v>Valid email format is accepted</v>
      </c>
      <c r="E68" s="1" t="str">
        <v>High</v>
      </c>
      <c r="F68" s="1" t="str">
        <v>Not Run</v>
      </c>
      <c r="G68" s="1" t="str">
        <v>Not Run</v>
      </c>
      <c r="H68" s="1" t="str">
        <v>Not Run</v>
      </c>
      <c r="I68" s="1" t="str">
        <v>Not Run</v>
      </c>
      <c r="J68" s="1" t="str">
        <v>Not Run</v>
      </c>
      <c r="K68" s="1" t="str">
        <v>Not Run</v>
      </c>
      <c r="L68" s="1">
        <f>COUNTA(F68:K68)</f>
        <v>6</v>
      </c>
      <c r="M68" s="1">
        <f>COUNTIF(F68:K68,"Pass")</f>
        <v>0</v>
      </c>
      <c r="N68" s="1">
        <f>COUNTIF(F68:K68,"Fail")</f>
        <v>0</v>
      </c>
      <c r="O68" s="1" t="str">
        <f>IF(M68=0,"-",M68/L68)</f>
        <v>-</v>
      </c>
    </row>
    <row r="69">
      <c r="A69" s="1" t="str">
        <v>VEN-009</v>
      </c>
      <c r="B69" s="1" t="str">
        <v>Vendor</v>
      </c>
      <c r="C69" s="1" t="str">
        <v>Primary Contact Details</v>
      </c>
      <c r="D69" s="1" t="str">
        <v>Invalid email format is rejected with error message</v>
      </c>
      <c r="E69" s="1" t="str">
        <v>Critical</v>
      </c>
      <c r="F69" s="1" t="str">
        <v>Not Run</v>
      </c>
      <c r="G69" s="1" t="str">
        <v>Not Run</v>
      </c>
      <c r="H69" s="1" t="str">
        <v>Not Run</v>
      </c>
      <c r="I69" s="1" t="str">
        <v>Not Run</v>
      </c>
      <c r="J69" s="1" t="str">
        <v>Not Run</v>
      </c>
      <c r="K69" s="1" t="str">
        <v>Not Run</v>
      </c>
      <c r="L69" s="1">
        <f>COUNTA(F69:K69)</f>
        <v>6</v>
      </c>
      <c r="M69" s="1">
        <f>COUNTIF(F69:K69,"Pass")</f>
        <v>0</v>
      </c>
      <c r="N69" s="1">
        <f>COUNTIF(F69:K69,"Fail")</f>
        <v>0</v>
      </c>
      <c r="O69" s="1" t="str">
        <f>IF(M69=0,"-",M69/L69)</f>
        <v>-</v>
      </c>
    </row>
    <row r="70">
      <c r="A70" s="1" t="str">
        <v>VEN-010</v>
      </c>
      <c r="B70" s="1" t="str">
        <v>Vendor</v>
      </c>
      <c r="C70" s="1" t="str">
        <v>Tax Identification</v>
      </c>
      <c r="D70" s="1" t="str">
        <v>Valid PAN number format is accepted</v>
      </c>
      <c r="E70" s="1" t="str">
        <v>Critical</v>
      </c>
      <c r="F70" s="1" t="str">
        <v>Not Run</v>
      </c>
      <c r="G70" s="1" t="str">
        <v>Not Run</v>
      </c>
      <c r="H70" s="1" t="str">
        <v>Not Run</v>
      </c>
      <c r="I70" s="1" t="str">
        <v>Not Run</v>
      </c>
      <c r="J70" s="1" t="str">
        <v>Not Run</v>
      </c>
      <c r="K70" s="1" t="str">
        <v>Not Run</v>
      </c>
      <c r="L70" s="1">
        <f>COUNTA(F70:K70)</f>
        <v>6</v>
      </c>
      <c r="M70" s="1">
        <f>COUNTIF(F70:K70,"Pass")</f>
        <v>0</v>
      </c>
      <c r="N70" s="1">
        <f>COUNTIF(F70:K70,"Fail")</f>
        <v>0</v>
      </c>
      <c r="O70" s="1" t="str">
        <f>IF(M70=0,"-",M70/L70)</f>
        <v>-</v>
      </c>
    </row>
    <row r="71">
      <c r="A71" s="1" t="str">
        <v>VEN-011</v>
      </c>
      <c r="B71" s="1" t="str">
        <v>Vendor</v>
      </c>
      <c r="C71" s="1" t="str">
        <v>Tax Identification</v>
      </c>
      <c r="D71" s="1" t="str">
        <v>Invalid PAN format is rejected</v>
      </c>
      <c r="E71" s="1" t="str">
        <v>Critical</v>
      </c>
      <c r="F71" s="1" t="str">
        <v>Not Run</v>
      </c>
      <c r="G71" s="1" t="str">
        <v>Not Run</v>
      </c>
      <c r="H71" s="1" t="str">
        <v>Not Run</v>
      </c>
      <c r="I71" s="1" t="str">
        <v>Not Run</v>
      </c>
      <c r="J71" s="1" t="str">
        <v>Not Run</v>
      </c>
      <c r="K71" s="1" t="str">
        <v>Not Run</v>
      </c>
      <c r="L71" s="1">
        <f>COUNTA(F71:K71)</f>
        <v>6</v>
      </c>
      <c r="M71" s="1">
        <f>COUNTIF(F71:K71,"Pass")</f>
        <v>0</v>
      </c>
      <c r="N71" s="1">
        <f>COUNTIF(F71:K71,"Fail")</f>
        <v>0</v>
      </c>
      <c r="O71" s="1" t="str">
        <f>IF(M71=0,"-",M71/L71)</f>
        <v>-</v>
      </c>
    </row>
    <row r="72">
      <c r="A72" s="1" t="str">
        <v>VEN-012</v>
      </c>
      <c r="B72" s="1" t="str">
        <v>Vendor</v>
      </c>
      <c r="C72" s="1" t="str">
        <v>Tax Identification</v>
      </c>
      <c r="D72" s="1" t="str">
        <v>Duplicate PAN across two vendors is blocked</v>
      </c>
      <c r="E72" s="1" t="str">
        <v>Critical</v>
      </c>
      <c r="F72" s="1" t="str">
        <v>Not Run</v>
      </c>
      <c r="G72" s="1" t="str">
        <v>Not Run</v>
      </c>
      <c r="H72" s="1" t="str">
        <v>Not Run</v>
      </c>
      <c r="I72" s="1" t="str">
        <v>Not Run</v>
      </c>
      <c r="J72" s="1" t="str">
        <v>Not Run</v>
      </c>
      <c r="K72" s="1" t="str">
        <v>Not Run</v>
      </c>
      <c r="L72" s="1">
        <f>COUNTA(F72:K72)</f>
        <v>6</v>
      </c>
      <c r="M72" s="1">
        <f>COUNTIF(F72:K72,"Pass")</f>
        <v>0</v>
      </c>
      <c r="N72" s="1">
        <f>COUNTIF(F72:K72,"Fail")</f>
        <v>0</v>
      </c>
      <c r="O72" s="1" t="str">
        <f>IF(M72=0,"-",M72/L72)</f>
        <v>-</v>
      </c>
    </row>
    <row r="73">
      <c r="A73" s="1" t="str">
        <v>VEN-013</v>
      </c>
      <c r="B73" s="1" t="str">
        <v>Vendor</v>
      </c>
      <c r="C73" s="1" t="str">
        <v>Tax Identification</v>
      </c>
      <c r="D73" s="1" t="str">
        <v>PAN field can be left blank (optional)</v>
      </c>
      <c r="E73" s="1" t="str">
        <v>High</v>
      </c>
      <c r="F73" s="1" t="str">
        <v>Not Run</v>
      </c>
      <c r="G73" s="1" t="str">
        <v>Not Run</v>
      </c>
      <c r="H73" s="1" t="str">
        <v>Not Run</v>
      </c>
      <c r="I73" s="1" t="str">
        <v>Not Run</v>
      </c>
      <c r="J73" s="1" t="str">
        <v>Not Run</v>
      </c>
      <c r="K73" s="1" t="str">
        <v>Not Run</v>
      </c>
      <c r="L73" s="1">
        <f>COUNTA(F73:K73)</f>
        <v>6</v>
      </c>
      <c r="M73" s="1">
        <f>COUNTIF(F73:K73,"Pass")</f>
        <v>0</v>
      </c>
      <c r="N73" s="1">
        <f>COUNTIF(F73:K73,"Fail")</f>
        <v>0</v>
      </c>
      <c r="O73" s="1" t="str">
        <f>IF(M73=0,"-",M73/L73)</f>
        <v>-</v>
      </c>
    </row>
    <row r="74">
      <c r="A74" s="1" t="str">
        <v>VEN-014</v>
      </c>
      <c r="B74" s="1" t="str">
        <v>Vendor</v>
      </c>
      <c r="C74" s="1" t="str">
        <v>Registered Address</v>
      </c>
      <c r="D74" s="1" t="str">
        <v>Add Registered Address to Vendor</v>
      </c>
      <c r="E74" s="1" t="str">
        <v>High</v>
      </c>
      <c r="F74" s="1" t="str">
        <v>Not Run</v>
      </c>
      <c r="G74" s="1" t="str">
        <v>Not Run</v>
      </c>
      <c r="H74" s="1" t="str">
        <v>Not Run</v>
      </c>
      <c r="I74" s="1" t="str">
        <v>Not Run</v>
      </c>
      <c r="J74" s="1" t="str">
        <v>Not Run</v>
      </c>
      <c r="K74" s="1" t="str">
        <v>Not Run</v>
      </c>
      <c r="L74" s="1">
        <f>COUNTA(F74:K74)</f>
        <v>6</v>
      </c>
      <c r="M74" s="1">
        <f>COUNTIF(F74:K74,"Pass")</f>
        <v>0</v>
      </c>
      <c r="N74" s="1">
        <f>COUNTIF(F74:K74,"Fail")</f>
        <v>0</v>
      </c>
      <c r="O74" s="1" t="str">
        <f>IF(M74=0,"-",M74/L74)</f>
        <v>-</v>
      </c>
    </row>
    <row r="75">
      <c r="A75" s="1" t="str">
        <v>VEN-015</v>
      </c>
      <c r="B75" s="1" t="str">
        <v>Vendor</v>
      </c>
      <c r="C75" s="1" t="str">
        <v>Registered Address</v>
      </c>
      <c r="D75" s="1" t="str">
        <v>Registered Address text is saved correctly</v>
      </c>
      <c r="E75" s="1" t="str">
        <v>High</v>
      </c>
      <c r="F75" s="1" t="str">
        <v>Not Run</v>
      </c>
      <c r="G75" s="1" t="str">
        <v>Not Run</v>
      </c>
      <c r="H75" s="1" t="str">
        <v>Not Run</v>
      </c>
      <c r="I75" s="1" t="str">
        <v>Not Run</v>
      </c>
      <c r="J75" s="1" t="str">
        <v>Not Run</v>
      </c>
      <c r="K75" s="1" t="str">
        <v>Not Run</v>
      </c>
      <c r="L75" s="1">
        <f>COUNTA(F75:K75)</f>
        <v>6</v>
      </c>
      <c r="M75" s="1">
        <f>COUNTIF(F75:K75,"Pass")</f>
        <v>0</v>
      </c>
      <c r="N75" s="1">
        <f>COUNTIF(F75:K75,"Fail")</f>
        <v>0</v>
      </c>
      <c r="O75" s="1" t="str">
        <f>IF(M75=0,"-",M75/L75)</f>
        <v>-</v>
      </c>
    </row>
    <row r="76">
      <c r="A76" s="1" t="str">
        <v>VEN-016</v>
      </c>
      <c r="B76" s="1" t="str">
        <v>Vendor</v>
      </c>
      <c r="C76" s="1" t="str">
        <v>Registered Address</v>
      </c>
      <c r="D76" s="1" t="str">
        <v>Registered Address with special characters is accepted</v>
      </c>
      <c r="E76" s="1" t="str">
        <v>Medium</v>
      </c>
      <c r="F76" s="1" t="str">
        <v>Not Run</v>
      </c>
      <c r="G76" s="1" t="str">
        <v>Not Run</v>
      </c>
      <c r="H76" s="1" t="str">
        <v>Not Run</v>
      </c>
      <c r="I76" s="1" t="str">
        <v>Not Run</v>
      </c>
      <c r="J76" s="1" t="str">
        <v>Not Run</v>
      </c>
      <c r="K76" s="1" t="str">
        <v>Not Run</v>
      </c>
      <c r="L76" s="1">
        <f>COUNTA(F76:K76)</f>
        <v>6</v>
      </c>
      <c r="M76" s="1">
        <f>COUNTIF(F76:K76,"Pass")</f>
        <v>0</v>
      </c>
      <c r="N76" s="1">
        <f>COUNTIF(F76:K76,"Fail")</f>
        <v>0</v>
      </c>
      <c r="O76" s="1" t="str">
        <f>IF(M76=0,"-",M76/L76)</f>
        <v>-</v>
      </c>
    </row>
    <row r="77">
      <c r="A77" s="1" t="str">
        <v>VEN-017</v>
      </c>
      <c r="B77" s="1" t="str">
        <v>Vendor</v>
      </c>
      <c r="C77" s="1" t="str">
        <v>Address Table</v>
      </c>
      <c r="D77" s="1" t="str">
        <v>Add single address row to Vendor</v>
      </c>
      <c r="E77" s="1" t="str">
        <v>Critical</v>
      </c>
      <c r="F77" s="1" t="str">
        <v>Not Run</v>
      </c>
      <c r="G77" s="1" t="str">
        <v>Not Run</v>
      </c>
      <c r="H77" s="1" t="str">
        <v>Not Run</v>
      </c>
      <c r="I77" s="1" t="str">
        <v>Not Run</v>
      </c>
      <c r="J77" s="1" t="str">
        <v>Not Run</v>
      </c>
      <c r="K77" s="1" t="str">
        <v>Not Run</v>
      </c>
      <c r="L77" s="1">
        <f>COUNTA(F77:K77)</f>
        <v>6</v>
      </c>
      <c r="M77" s="1">
        <f>COUNTIF(F77:K77,"Pass")</f>
        <v>0</v>
      </c>
      <c r="N77" s="1">
        <f>COUNTIF(F77:K77,"Fail")</f>
        <v>0</v>
      </c>
      <c r="O77" s="1" t="str">
        <f>IF(M77=0,"-",M77/L77)</f>
        <v>-</v>
      </c>
    </row>
    <row r="78">
      <c r="A78" s="1" t="str">
        <v>VEN-018</v>
      </c>
      <c r="B78" s="1" t="str">
        <v>Vendor</v>
      </c>
      <c r="C78" s="1" t="str">
        <v>Address Table</v>
      </c>
      <c r="D78" s="1" t="str">
        <v>Add multiple address rows to same Vendor</v>
      </c>
      <c r="E78" s="1" t="str">
        <v>High</v>
      </c>
      <c r="F78" s="1" t="str">
        <v>Not Run</v>
      </c>
      <c r="G78" s="1" t="str">
        <v>Not Run</v>
      </c>
      <c r="H78" s="1" t="str">
        <v>Not Run</v>
      </c>
      <c r="I78" s="1" t="str">
        <v>Not Run</v>
      </c>
      <c r="J78" s="1" t="str">
        <v>Not Run</v>
      </c>
      <c r="K78" s="1" t="str">
        <v>Not Run</v>
      </c>
      <c r="L78" s="1">
        <f>COUNTA(F78:K78)</f>
        <v>6</v>
      </c>
      <c r="M78" s="1">
        <f>COUNTIF(F78:K78,"Pass")</f>
        <v>0</v>
      </c>
      <c r="N78" s="1">
        <f>COUNTIF(F78:K78,"Fail")</f>
        <v>0</v>
      </c>
      <c r="O78" s="1" t="str">
        <f>IF(M78=0,"-",M78/L78)</f>
        <v>-</v>
      </c>
    </row>
    <row r="79">
      <c r="A79" s="1" t="str">
        <v>VEN-019</v>
      </c>
      <c r="B79" s="1" t="str">
        <v>Vendor</v>
      </c>
      <c r="C79" s="1" t="str">
        <v>Address Table</v>
      </c>
      <c r="D79" s="1" t="str">
        <v>Delete address row from table</v>
      </c>
      <c r="E79" s="1" t="str">
        <v>Medium</v>
      </c>
      <c r="F79" s="1" t="str">
        <v>Not Run</v>
      </c>
      <c r="G79" s="1" t="str">
        <v>Not Run</v>
      </c>
      <c r="H79" s="1" t="str">
        <v>Not Run</v>
      </c>
      <c r="I79" s="1" t="str">
        <v>Not Run</v>
      </c>
      <c r="J79" s="1" t="str">
        <v>Not Run</v>
      </c>
      <c r="K79" s="1" t="str">
        <v>Not Run</v>
      </c>
      <c r="L79" s="1">
        <f>COUNTA(F79:K79)</f>
        <v>6</v>
      </c>
      <c r="M79" s="1">
        <f>COUNTIF(F79:K79,"Pass")</f>
        <v>0</v>
      </c>
      <c r="N79" s="1">
        <f>COUNTIF(F79:K79,"Fail")</f>
        <v>0</v>
      </c>
      <c r="O79" s="1" t="str">
        <f>IF(M79=0,"-",M79/L79)</f>
        <v>-</v>
      </c>
    </row>
    <row r="80">
      <c r="A80" s="1" t="str">
        <v>VEN-020</v>
      </c>
      <c r="B80" s="1" t="str">
        <v>Vendor</v>
      </c>
      <c r="C80" s="1" t="str">
        <v>Address Table</v>
      </c>
      <c r="D80" s="1" t="str">
        <v>Address row Name field is populated correctly</v>
      </c>
      <c r="E80" s="1" t="str">
        <v>High</v>
      </c>
      <c r="F80" s="1" t="str">
        <v>Not Run</v>
      </c>
      <c r="G80" s="1" t="str">
        <v>Not Run</v>
      </c>
      <c r="H80" s="1" t="str">
        <v>Not Run</v>
      </c>
      <c r="I80" s="1" t="str">
        <v>Not Run</v>
      </c>
      <c r="J80" s="1" t="str">
        <v>Not Run</v>
      </c>
      <c r="K80" s="1" t="str">
        <v>Not Run</v>
      </c>
      <c r="L80" s="1">
        <f>COUNTA(F80:K80)</f>
        <v>6</v>
      </c>
      <c r="M80" s="1">
        <f>COUNTIF(F80:K80,"Pass")</f>
        <v>0</v>
      </c>
      <c r="N80" s="1">
        <f>COUNTIF(F80:K80,"Fail")</f>
        <v>0</v>
      </c>
      <c r="O80" s="1" t="str">
        <f>IF(M80=0,"-",M80/L80)</f>
        <v>-</v>
      </c>
    </row>
    <row r="81">
      <c r="A81" s="1" t="str">
        <v>VEN-021</v>
      </c>
      <c r="B81" s="1" t="str">
        <v>Vendor</v>
      </c>
      <c r="C81" s="1" t="str">
        <v>Address Table</v>
      </c>
      <c r="D81" s="1" t="str">
        <v>Address row City field is populated correctly</v>
      </c>
      <c r="E81" s="1" t="str">
        <v>High</v>
      </c>
      <c r="F81" s="1" t="str">
        <v>Not Run</v>
      </c>
      <c r="G81" s="1" t="str">
        <v>Not Run</v>
      </c>
      <c r="H81" s="1" t="str">
        <v>Not Run</v>
      </c>
      <c r="I81" s="1" t="str">
        <v>Not Run</v>
      </c>
      <c r="J81" s="1" t="str">
        <v>Not Run</v>
      </c>
      <c r="K81" s="1" t="str">
        <v>Not Run</v>
      </c>
      <c r="L81" s="1">
        <f>COUNTA(F81:K81)</f>
        <v>6</v>
      </c>
      <c r="M81" s="1">
        <f>COUNTIF(F81:K81,"Pass")</f>
        <v>0</v>
      </c>
      <c r="N81" s="1">
        <f>COUNTIF(F81:K81,"Fail")</f>
        <v>0</v>
      </c>
      <c r="O81" s="1" t="str">
        <f>IF(M81=0,"-",M81/L81)</f>
        <v>-</v>
      </c>
    </row>
    <row r="82">
      <c r="A82" s="1" t="str">
        <v>VEN-022</v>
      </c>
      <c r="B82" s="1" t="str">
        <v>Vendor</v>
      </c>
      <c r="C82" s="1" t="str">
        <v>Address Table</v>
      </c>
      <c r="D82" s="1" t="str">
        <v>Address row State field is populated correctly</v>
      </c>
      <c r="E82" s="1" t="str">
        <v>High</v>
      </c>
      <c r="F82" s="1" t="str">
        <v>Not Run</v>
      </c>
      <c r="G82" s="1" t="str">
        <v>Not Run</v>
      </c>
      <c r="H82" s="1" t="str">
        <v>Not Run</v>
      </c>
      <c r="I82" s="1" t="str">
        <v>Not Run</v>
      </c>
      <c r="J82" s="1" t="str">
        <v>Not Run</v>
      </c>
      <c r="K82" s="1" t="str">
        <v>Not Run</v>
      </c>
      <c r="L82" s="1">
        <f>COUNTA(F82:K82)</f>
        <v>6</v>
      </c>
      <c r="M82" s="1">
        <f>COUNTIF(F82:K82,"Pass")</f>
        <v>0</v>
      </c>
      <c r="N82" s="1">
        <f>COUNTIF(F82:K82,"Fail")</f>
        <v>0</v>
      </c>
      <c r="O82" s="1" t="str">
        <f>IF(M82=0,"-",M82/L82)</f>
        <v>-</v>
      </c>
    </row>
    <row r="83">
      <c r="A83" s="1" t="str">
        <v>VEN-023</v>
      </c>
      <c r="B83" s="1" t="str">
        <v>Vendor</v>
      </c>
      <c r="C83" s="1" t="str">
        <v>Address Table</v>
      </c>
      <c r="D83" s="1" t="str">
        <v>Address row GST No is validated and accepted</v>
      </c>
      <c r="E83" s="1" t="str">
        <v>Critical</v>
      </c>
      <c r="F83" s="1" t="str">
        <v>Not Run</v>
      </c>
      <c r="G83" s="1" t="str">
        <v>Not Run</v>
      </c>
      <c r="H83" s="1" t="str">
        <v>Not Run</v>
      </c>
      <c r="I83" s="1" t="str">
        <v>Not Run</v>
      </c>
      <c r="J83" s="1" t="str">
        <v>Not Run</v>
      </c>
      <c r="K83" s="1" t="str">
        <v>Not Run</v>
      </c>
      <c r="L83" s="1">
        <f>COUNTA(F83:K83)</f>
        <v>6</v>
      </c>
      <c r="M83" s="1">
        <f>COUNTIF(F83:K83,"Pass")</f>
        <v>0</v>
      </c>
      <c r="N83" s="1">
        <f>COUNTIF(F83:K83,"Fail")</f>
        <v>0</v>
      </c>
      <c r="O83" s="1" t="str">
        <f>IF(M83=0,"-",M83/L83)</f>
        <v>-</v>
      </c>
    </row>
    <row r="84">
      <c r="A84" s="1" t="str">
        <v>VEN-024</v>
      </c>
      <c r="B84" s="1" t="str">
        <v>Vendor</v>
      </c>
      <c r="C84" s="1" t="str">
        <v>Address Table</v>
      </c>
      <c r="D84" s="1" t="str">
        <v>Invalid GST No in address row is rejected</v>
      </c>
      <c r="E84" s="1" t="str">
        <v>Critical</v>
      </c>
      <c r="F84" s="1" t="str">
        <v>Not Run</v>
      </c>
      <c r="G84" s="1" t="str">
        <v>Not Run</v>
      </c>
      <c r="H84" s="1" t="str">
        <v>Not Run</v>
      </c>
      <c r="I84" s="1" t="str">
        <v>Not Run</v>
      </c>
      <c r="J84" s="1" t="str">
        <v>Not Run</v>
      </c>
      <c r="K84" s="1" t="str">
        <v>Not Run</v>
      </c>
      <c r="L84" s="1">
        <f>COUNTA(F84:K84)</f>
        <v>6</v>
      </c>
      <c r="M84" s="1">
        <f>COUNTIF(F84:K84,"Pass")</f>
        <v>0</v>
      </c>
      <c r="N84" s="1">
        <f>COUNTIF(F84:K84,"Fail")</f>
        <v>0</v>
      </c>
      <c r="O84" s="1" t="str">
        <f>IF(M84=0,"-",M84/L84)</f>
        <v>-</v>
      </c>
    </row>
    <row r="85">
      <c r="A85" s="1" t="str">
        <v>VEN-025</v>
      </c>
      <c r="B85" s="1" t="str">
        <v>Vendor</v>
      </c>
      <c r="C85" s="1" t="str">
        <v>Address Table</v>
      </c>
      <c r="D85" s="1" t="str">
        <v>Address row Mobile No field validation</v>
      </c>
      <c r="E85" s="1" t="str">
        <v>High</v>
      </c>
      <c r="F85" s="1" t="str">
        <v>Not Run</v>
      </c>
      <c r="G85" s="1" t="str">
        <v>Not Run</v>
      </c>
      <c r="H85" s="1" t="str">
        <v>Not Run</v>
      </c>
      <c r="I85" s="1" t="str">
        <v>Not Run</v>
      </c>
      <c r="J85" s="1" t="str">
        <v>Not Run</v>
      </c>
      <c r="K85" s="1" t="str">
        <v>Not Run</v>
      </c>
      <c r="L85" s="1">
        <f>COUNTA(F85:K85)</f>
        <v>6</v>
      </c>
      <c r="M85" s="1">
        <f>COUNTIF(F85:K85,"Pass")</f>
        <v>0</v>
      </c>
      <c r="N85" s="1">
        <f>COUNTIF(F85:K85,"Fail")</f>
        <v>0</v>
      </c>
      <c r="O85" s="1" t="str">
        <f>IF(M85=0,"-",M85/L85)</f>
        <v>-</v>
      </c>
    </row>
    <row r="86">
      <c r="A86" s="1" t="str">
        <v>VEN-026</v>
      </c>
      <c r="B86" s="1" t="str">
        <v>Vendor</v>
      </c>
      <c r="C86" s="1" t="str">
        <v>Address Table</v>
      </c>
      <c r="D86" s="1" t="str">
        <v>Duplicate GST No across address rows is blocked</v>
      </c>
      <c r="E86" s="1" t="str">
        <v>Critical</v>
      </c>
      <c r="F86" s="1" t="str">
        <v>Not Run</v>
      </c>
      <c r="G86" s="1" t="str">
        <v>Not Run</v>
      </c>
      <c r="H86" s="1" t="str">
        <v>Not Run</v>
      </c>
      <c r="I86" s="1" t="str">
        <v>Not Run</v>
      </c>
      <c r="J86" s="1" t="str">
        <v>Not Run</v>
      </c>
      <c r="K86" s="1" t="str">
        <v>Not Run</v>
      </c>
      <c r="L86" s="1">
        <f>COUNTA(F86:K86)</f>
        <v>6</v>
      </c>
      <c r="M86" s="1">
        <f>COUNTIF(F86:K86,"Pass")</f>
        <v>0</v>
      </c>
      <c r="N86" s="1">
        <f>COUNTIF(F86:K86,"Fail")</f>
        <v>0</v>
      </c>
      <c r="O86" s="1" t="str">
        <f>IF(M86=0,"-",M86/L86)</f>
        <v>-</v>
      </c>
    </row>
    <row r="87">
      <c r="A87" s="1" t="str">
        <v>VEN-027</v>
      </c>
      <c r="B87" s="1" t="str">
        <v>Vendor</v>
      </c>
      <c r="C87" s="1" t="str">
        <v>Data Validation</v>
      </c>
      <c r="D87" s="1" t="str">
        <v>Vendor cannot be saved without Vendor Name</v>
      </c>
      <c r="E87" s="1" t="str">
        <v>Critical</v>
      </c>
      <c r="F87" s="1" t="str">
        <v>Not Run</v>
      </c>
      <c r="G87" s="1" t="str">
        <v>Not Run</v>
      </c>
      <c r="H87" s="1" t="str">
        <v>Not Run</v>
      </c>
      <c r="I87" s="1" t="str">
        <v>Not Run</v>
      </c>
      <c r="J87" s="1" t="str">
        <v>Not Run</v>
      </c>
      <c r="K87" s="1" t="str">
        <v>Not Run</v>
      </c>
      <c r="L87" s="1">
        <f>COUNTA(F87:K87)</f>
        <v>6</v>
      </c>
      <c r="M87" s="1">
        <f>COUNTIF(F87:K87,"Pass")</f>
        <v>0</v>
      </c>
      <c r="N87" s="1">
        <f>COUNTIF(F87:K87,"Fail")</f>
        <v>0</v>
      </c>
      <c r="O87" s="1" t="str">
        <f>IF(M87=0,"-",M87/L87)</f>
        <v>-</v>
      </c>
    </row>
    <row r="88">
      <c r="A88" s="1" t="str">
        <v>VEN-028</v>
      </c>
      <c r="B88" s="1" t="str">
        <v>Vendor</v>
      </c>
      <c r="C88" s="1" t="str">
        <v>Data Validation</v>
      </c>
      <c r="D88" s="1" t="str">
        <v>Vendor Name with special characters is accepted</v>
      </c>
      <c r="E88" s="1" t="str">
        <v>Medium</v>
      </c>
      <c r="F88" s="1" t="str">
        <v>Not Run</v>
      </c>
      <c r="G88" s="1" t="str">
        <v>Not Run</v>
      </c>
      <c r="H88" s="1" t="str">
        <v>Not Run</v>
      </c>
      <c r="I88" s="1" t="str">
        <v>Not Run</v>
      </c>
      <c r="J88" s="1" t="str">
        <v>Not Run</v>
      </c>
      <c r="K88" s="1" t="str">
        <v>Not Run</v>
      </c>
      <c r="L88" s="1">
        <f>COUNTA(F88:K88)</f>
        <v>6</v>
      </c>
      <c r="M88" s="1">
        <f>COUNTIF(F88:K88,"Pass")</f>
        <v>0</v>
      </c>
      <c r="N88" s="1">
        <f>COUNTIF(F88:K88,"Fail")</f>
        <v>0</v>
      </c>
      <c r="O88" s="1" t="str">
        <f>IF(M88=0,"-",M88/L88)</f>
        <v>-</v>
      </c>
    </row>
    <row r="89">
      <c r="A89" s="1" t="str">
        <v>VEN-029</v>
      </c>
      <c r="B89" s="1" t="str">
        <v>Vendor</v>
      </c>
      <c r="C89" s="1" t="str">
        <v>Data Validation</v>
      </c>
      <c r="D89" s="1" t="str">
        <v>Type field dropdown shows all available options</v>
      </c>
      <c r="E89" s="1" t="str">
        <v>Medium</v>
      </c>
      <c r="F89" s="1" t="str">
        <v>Not Run</v>
      </c>
      <c r="G89" s="1" t="str">
        <v>Not Run</v>
      </c>
      <c r="H89" s="1" t="str">
        <v>Not Run</v>
      </c>
      <c r="I89" s="1" t="str">
        <v>Not Run</v>
      </c>
      <c r="J89" s="1" t="str">
        <v>Not Run</v>
      </c>
      <c r="K89" s="1" t="str">
        <v>Not Run</v>
      </c>
      <c r="L89" s="1">
        <f>COUNTA(F89:K89)</f>
        <v>6</v>
      </c>
      <c r="M89" s="1">
        <f>COUNTIF(F89:K89,"Pass")</f>
        <v>0</v>
      </c>
      <c r="N89" s="1">
        <f>COUNTIF(F89:K89,"Fail")</f>
        <v>0</v>
      </c>
      <c r="O89" s="1" t="str">
        <f>IF(M89=0,"-",M89/L89)</f>
        <v>-</v>
      </c>
    </row>
    <row r="90">
      <c r="A90" s="1" t="str">
        <v>VEN-030</v>
      </c>
      <c r="B90" s="1" t="str">
        <v>Vendor</v>
      </c>
      <c r="C90" s="1" t="str">
        <v>Data Validation</v>
      </c>
      <c r="D90" s="1" t="str">
        <v>Empty Type field defaults to Company</v>
      </c>
      <c r="E90" s="1" t="str">
        <v>High</v>
      </c>
      <c r="F90" s="1" t="str">
        <v>Not Run</v>
      </c>
      <c r="G90" s="1" t="str">
        <v>Not Run</v>
      </c>
      <c r="H90" s="1" t="str">
        <v>Not Run</v>
      </c>
      <c r="I90" s="1" t="str">
        <v>Not Run</v>
      </c>
      <c r="J90" s="1" t="str">
        <v>Not Run</v>
      </c>
      <c r="K90" s="1" t="str">
        <v>Not Run</v>
      </c>
      <c r="L90" s="1">
        <f>COUNTA(F90:K90)</f>
        <v>6</v>
      </c>
      <c r="M90" s="1">
        <f>COUNTIF(F90:K90,"Pass")</f>
        <v>0</v>
      </c>
      <c r="N90" s="1">
        <f>COUNTIF(F90:K90,"Fail")</f>
        <v>0</v>
      </c>
      <c r="O90" s="1" t="str">
        <f>IF(M90=0,"-",M90/L90)</f>
        <v>-</v>
      </c>
    </row>
    <row r="91">
      <c r="A91" s="1" t="str">
        <v>VEN-031</v>
      </c>
      <c r="B91" s="1" t="str">
        <v>Vendor</v>
      </c>
      <c r="C91" s="1" t="str">
        <v>Editing &amp; Updates</v>
      </c>
      <c r="D91" s="1" t="str">
        <v>Edit existing Vendor Name</v>
      </c>
      <c r="E91" s="1" t="str">
        <v>High</v>
      </c>
      <c r="F91" s="1" t="str">
        <v>Not Run</v>
      </c>
      <c r="G91" s="1" t="str">
        <v>Not Run</v>
      </c>
      <c r="H91" s="1" t="str">
        <v>Not Run</v>
      </c>
      <c r="I91" s="1" t="str">
        <v>Not Run</v>
      </c>
      <c r="J91" s="1" t="str">
        <v>Not Run</v>
      </c>
      <c r="K91" s="1" t="str">
        <v>Not Run</v>
      </c>
      <c r="L91" s="1">
        <f>COUNTA(F91:K91)</f>
        <v>6</v>
      </c>
      <c r="M91" s="1">
        <f>COUNTIF(F91:K91,"Pass")</f>
        <v>0</v>
      </c>
      <c r="N91" s="1">
        <f>COUNTIF(F91:K91,"Fail")</f>
        <v>0</v>
      </c>
      <c r="O91" s="1" t="str">
        <f>IF(M91=0,"-",M91/L91)</f>
        <v>-</v>
      </c>
    </row>
    <row r="92">
      <c r="A92" s="1" t="str">
        <v>VEN-032</v>
      </c>
      <c r="B92" s="1" t="str">
        <v>Vendor</v>
      </c>
      <c r="C92" s="1" t="str">
        <v>Editing &amp; Updates</v>
      </c>
      <c r="D92" s="1" t="str">
        <v>Edit Primary Contact Person details</v>
      </c>
      <c r="E92" s="1" t="str">
        <v>High</v>
      </c>
      <c r="F92" s="1" t="str">
        <v>Not Run</v>
      </c>
      <c r="G92" s="1" t="str">
        <v>Not Run</v>
      </c>
      <c r="H92" s="1" t="str">
        <v>Not Run</v>
      </c>
      <c r="I92" s="1" t="str">
        <v>Not Run</v>
      </c>
      <c r="J92" s="1" t="str">
        <v>Not Run</v>
      </c>
      <c r="K92" s="1" t="str">
        <v>Not Run</v>
      </c>
      <c r="L92" s="1">
        <f>COUNTA(F92:K92)</f>
        <v>6</v>
      </c>
      <c r="M92" s="1">
        <f>COUNTIF(F92:K92,"Pass")</f>
        <v>0</v>
      </c>
      <c r="N92" s="1">
        <f>COUNTIF(F92:K92,"Fail")</f>
        <v>0</v>
      </c>
      <c r="O92" s="1" t="str">
        <f>IF(M92=0,"-",M92/L92)</f>
        <v>-</v>
      </c>
    </row>
    <row r="93">
      <c r="A93" s="1" t="str">
        <v>VEN-033</v>
      </c>
      <c r="B93" s="1" t="str">
        <v>Vendor</v>
      </c>
      <c r="C93" s="1" t="str">
        <v>Editing &amp; Updates</v>
      </c>
      <c r="D93" s="1" t="str">
        <v>Edit PAN number</v>
      </c>
      <c r="E93" s="1" t="str">
        <v>High</v>
      </c>
      <c r="F93" s="1" t="str">
        <v>Not Run</v>
      </c>
      <c r="G93" s="1" t="str">
        <v>Not Run</v>
      </c>
      <c r="H93" s="1" t="str">
        <v>Not Run</v>
      </c>
      <c r="I93" s="1" t="str">
        <v>Not Run</v>
      </c>
      <c r="J93" s="1" t="str">
        <v>Not Run</v>
      </c>
      <c r="K93" s="1" t="str">
        <v>Not Run</v>
      </c>
      <c r="L93" s="1">
        <f>COUNTA(F93:K93)</f>
        <v>6</v>
      </c>
      <c r="M93" s="1">
        <f>COUNTIF(F93:K93,"Pass")</f>
        <v>0</v>
      </c>
      <c r="N93" s="1">
        <f>COUNTIF(F93:K93,"Fail")</f>
        <v>0</v>
      </c>
      <c r="O93" s="1" t="str">
        <f>IF(M93=0,"-",M93/L93)</f>
        <v>-</v>
      </c>
    </row>
    <row r="94">
      <c r="A94" s="1" t="str">
        <v>VEN-034</v>
      </c>
      <c r="B94" s="1" t="str">
        <v>Vendor</v>
      </c>
      <c r="C94" s="1" t="str">
        <v>Editing &amp; Updates</v>
      </c>
      <c r="D94" s="1" t="str">
        <v>Edit Registered Address</v>
      </c>
      <c r="E94" s="1" t="str">
        <v>Medium</v>
      </c>
      <c r="F94" s="1" t="str">
        <v>Not Run</v>
      </c>
      <c r="G94" s="1" t="str">
        <v>Not Run</v>
      </c>
      <c r="H94" s="1" t="str">
        <v>Not Run</v>
      </c>
      <c r="I94" s="1" t="str">
        <v>Not Run</v>
      </c>
      <c r="J94" s="1" t="str">
        <v>Not Run</v>
      </c>
      <c r="K94" s="1" t="str">
        <v>Not Run</v>
      </c>
      <c r="L94" s="1">
        <f>COUNTA(F94:K94)</f>
        <v>6</v>
      </c>
      <c r="M94" s="1">
        <f>COUNTIF(F94:K94,"Pass")</f>
        <v>0</v>
      </c>
      <c r="N94" s="1">
        <f>COUNTIF(F94:K94,"Fail")</f>
        <v>0</v>
      </c>
      <c r="O94" s="1" t="str">
        <f>IF(M94=0,"-",M94/L94)</f>
        <v>-</v>
      </c>
    </row>
    <row r="95">
      <c r="A95" s="1" t="str">
        <v>VEN-035</v>
      </c>
      <c r="B95" s="1" t="str">
        <v>Vendor</v>
      </c>
      <c r="C95" s="1" t="str">
        <v>Editing &amp; Updates</v>
      </c>
      <c r="D95" s="1" t="str">
        <v>Edit address table rows</v>
      </c>
      <c r="E95" s="1" t="str">
        <v>Medium</v>
      </c>
      <c r="F95" s="1" t="str">
        <v>Not Run</v>
      </c>
      <c r="G95" s="1" t="str">
        <v>Not Run</v>
      </c>
      <c r="H95" s="1" t="str">
        <v>Not Run</v>
      </c>
      <c r="I95" s="1" t="str">
        <v>Not Run</v>
      </c>
      <c r="J95" s="1" t="str">
        <v>Not Run</v>
      </c>
      <c r="K95" s="1" t="str">
        <v>Not Run</v>
      </c>
      <c r="L95" s="1">
        <f>COUNTA(F95:K95)</f>
        <v>6</v>
      </c>
      <c r="M95" s="1">
        <f>COUNTIF(F95:K95,"Pass")</f>
        <v>0</v>
      </c>
      <c r="N95" s="1">
        <f>COUNTIF(F95:K95,"Fail")</f>
        <v>0</v>
      </c>
      <c r="O95" s="1" t="str">
        <f>IF(M95=0,"-",M95/L95)</f>
        <v>-</v>
      </c>
    </row>
    <row r="96">
      <c r="A96" s="1" t="str">
        <v>VEN-036</v>
      </c>
      <c r="B96" s="1" t="str">
        <v>Vendor</v>
      </c>
      <c r="C96" s="1" t="str">
        <v>Form Actions</v>
      </c>
      <c r="D96" s="1" t="str">
        <v>Save Vendor successfully</v>
      </c>
      <c r="E96" s="1" t="str">
        <v>Critical</v>
      </c>
      <c r="F96" s="1" t="str">
        <v>Not Run</v>
      </c>
      <c r="G96" s="1" t="str">
        <v>Not Run</v>
      </c>
      <c r="H96" s="1" t="str">
        <v>Not Run</v>
      </c>
      <c r="I96" s="1" t="str">
        <v>Not Run</v>
      </c>
      <c r="J96" s="1" t="str">
        <v>Not Run</v>
      </c>
      <c r="K96" s="1" t="str">
        <v>Not Run</v>
      </c>
      <c r="L96" s="1">
        <f>COUNTA(F96:K96)</f>
        <v>6</v>
      </c>
      <c r="M96" s="1">
        <f>COUNTIF(F96:K96,"Pass")</f>
        <v>0</v>
      </c>
      <c r="N96" s="1">
        <f>COUNTIF(F96:K96,"Fail")</f>
        <v>0</v>
      </c>
      <c r="O96" s="1" t="str">
        <f>IF(M96=0,"-",M96/L96)</f>
        <v>-</v>
      </c>
    </row>
    <row r="97">
      <c r="A97" s="1" t="str">
        <v>VEN-037</v>
      </c>
      <c r="B97" s="1" t="str">
        <v>Vendor</v>
      </c>
      <c r="C97" s="1" t="str">
        <v>Form Actions</v>
      </c>
      <c r="D97" s="1" t="str">
        <v>Form shows "Not Saved" status before save</v>
      </c>
      <c r="E97" s="1" t="str">
        <v>Medium</v>
      </c>
      <c r="F97" s="1" t="str">
        <v>Not Run</v>
      </c>
      <c r="G97" s="1" t="str">
        <v>Not Run</v>
      </c>
      <c r="H97" s="1" t="str">
        <v>Not Run</v>
      </c>
      <c r="I97" s="1" t="str">
        <v>Not Run</v>
      </c>
      <c r="J97" s="1" t="str">
        <v>Not Run</v>
      </c>
      <c r="K97" s="1" t="str">
        <v>Not Run</v>
      </c>
      <c r="L97" s="1">
        <f>COUNTA(F97:K97)</f>
        <v>6</v>
      </c>
      <c r="M97" s="1">
        <f>COUNTIF(F97:K97,"Pass")</f>
        <v>0</v>
      </c>
      <c r="N97" s="1">
        <f>COUNTIF(F97:K97,"Fail")</f>
        <v>0</v>
      </c>
      <c r="O97" s="1" t="str">
        <f>IF(M97=0,"-",M97/L97)</f>
        <v>-</v>
      </c>
    </row>
    <row r="98">
      <c r="A98" s="1" t="str">
        <v>VEN-038</v>
      </c>
      <c r="B98" s="1" t="str">
        <v>Vendor</v>
      </c>
      <c r="C98" s="1" t="str">
        <v>Form Actions</v>
      </c>
      <c r="D98" s="1" t="str">
        <v>Form shows "Saved" status after successful save</v>
      </c>
      <c r="E98" s="1" t="str">
        <v>Medium</v>
      </c>
      <c r="F98" s="1" t="str">
        <v>Not Run</v>
      </c>
      <c r="G98" s="1" t="str">
        <v>Not Run</v>
      </c>
      <c r="H98" s="1" t="str">
        <v>Not Run</v>
      </c>
      <c r="I98" s="1" t="str">
        <v>Not Run</v>
      </c>
      <c r="J98" s="1" t="str">
        <v>Not Run</v>
      </c>
      <c r="K98" s="1" t="str">
        <v>Not Run</v>
      </c>
      <c r="L98" s="1">
        <f>COUNTA(F98:K98)</f>
        <v>6</v>
      </c>
      <c r="M98" s="1">
        <f>COUNTIF(F98:K98,"Pass")</f>
        <v>0</v>
      </c>
      <c r="N98" s="1">
        <f>COUNTIF(F98:K98,"Fail")</f>
        <v>0</v>
      </c>
      <c r="O98" s="1" t="str">
        <f>IF(M98=0,"-",M98/L98)</f>
        <v>-</v>
      </c>
    </row>
    <row r="99">
      <c r="A99" s="1" t="str">
        <v>VEN-039</v>
      </c>
      <c r="B99" s="1" t="str">
        <v>Vendor</v>
      </c>
      <c r="C99" s="1" t="str">
        <v>Form Actions</v>
      </c>
      <c r="D99" s="1" t="str">
        <v>Duplicate existing Vendor</v>
      </c>
      <c r="E99" s="1" t="str">
        <v>High</v>
      </c>
      <c r="F99" s="1" t="str">
        <v>Not Run</v>
      </c>
      <c r="G99" s="1" t="str">
        <v>Not Run</v>
      </c>
      <c r="H99" s="1" t="str">
        <v>Not Run</v>
      </c>
      <c r="I99" s="1" t="str">
        <v>Not Run</v>
      </c>
      <c r="J99" s="1" t="str">
        <v>Not Run</v>
      </c>
      <c r="K99" s="1" t="str">
        <v>Not Run</v>
      </c>
      <c r="L99" s="1">
        <f>COUNTA(F99:K99)</f>
        <v>6</v>
      </c>
      <c r="M99" s="1">
        <f>COUNTIF(F99:K99,"Pass")</f>
        <v>0</v>
      </c>
      <c r="N99" s="1">
        <f>COUNTIF(F99:K99,"Fail")</f>
        <v>0</v>
      </c>
      <c r="O99" s="1" t="str">
        <f>IF(M99=0,"-",M99/L99)</f>
        <v>-</v>
      </c>
    </row>
    <row r="100">
      <c r="A100" s="1" t="str">
        <v>VEN-040</v>
      </c>
      <c r="B100" s="1" t="str">
        <v>Vendor</v>
      </c>
      <c r="C100" s="1" t="str">
        <v>Form Actions</v>
      </c>
      <c r="D100" s="1" t="str">
        <v>Delete Vendor (if permitted)</v>
      </c>
      <c r="E100" s="1" t="str">
        <v>High</v>
      </c>
      <c r="F100" s="1" t="str">
        <v>Not Run</v>
      </c>
      <c r="G100" s="1" t="str">
        <v>Not Run</v>
      </c>
      <c r="H100" s="1" t="str">
        <v>Not Run</v>
      </c>
      <c r="I100" s="1" t="str">
        <v>Not Run</v>
      </c>
      <c r="J100" s="1" t="str">
        <v>Not Run</v>
      </c>
      <c r="K100" s="1" t="str">
        <v>Not Run</v>
      </c>
      <c r="L100" s="1">
        <f>COUNTA(F100:K100)</f>
        <v>6</v>
      </c>
      <c r="M100" s="1">
        <f>COUNTIF(F100:K100,"Pass")</f>
        <v>0</v>
      </c>
      <c r="N100" s="1">
        <f>COUNTIF(F100:K100,"Fail")</f>
        <v>0</v>
      </c>
      <c r="O100" s="1" t="str">
        <f>IF(M100=0,"-",M100/L100)</f>
        <v>-</v>
      </c>
    </row>
    <row r="101">
      <c r="A101" s="1" t="str">
        <v>▌ Attendance</v>
      </c>
    </row>
    <row r="102">
      <c r="A102" s="1" t="str">
        <v>ATT-001</v>
      </c>
      <c r="B102" s="1" t="str">
        <v>Attendance</v>
      </c>
      <c r="C102" s="1" t="str">
        <v>Attendance Creation &amp; Basic Details</v>
      </c>
      <c r="D102" s="1" t="str">
        <v>Create Attendance with mandatory fields only (Employee, Status, Attendance Date)</v>
      </c>
      <c r="E102" s="1" t="str">
        <v>Critical</v>
      </c>
      <c r="F102" s="1" t="str">
        <v>Not Run</v>
      </c>
      <c r="G102" s="1" t="str">
        <v>Not Run</v>
      </c>
      <c r="H102" s="1" t="str">
        <v>Not Run</v>
      </c>
      <c r="I102" s="1" t="str">
        <v>Not Run</v>
      </c>
      <c r="J102" s="1" t="str">
        <v>Not Run</v>
      </c>
      <c r="K102" s="1" t="str">
        <v>Not Run</v>
      </c>
      <c r="L102" s="1">
        <f>COUNTA(F102:K102)</f>
        <v>6</v>
      </c>
      <c r="M102" s="1">
        <f>COUNTIF(F102:K102,"Pass")</f>
        <v>0</v>
      </c>
      <c r="N102" s="1">
        <f>COUNTIF(F102:K102,"Fail")</f>
        <v>0</v>
      </c>
      <c r="O102" s="1" t="str">
        <f>IF(M102=0,"-",M102/L102)</f>
        <v>-</v>
      </c>
    </row>
    <row r="103">
      <c r="A103" s="1" t="str">
        <v>ATT-002</v>
      </c>
      <c r="B103" s="1" t="str">
        <v>Attendance</v>
      </c>
      <c r="C103" s="1" t="str">
        <v>Attendance Creation &amp; Basic Details</v>
      </c>
      <c r="D103" s="1" t="str">
        <v>Create Attendance with all basic fields (Employee, Status, Date, Company, Shift)</v>
      </c>
      <c r="E103" s="1" t="str">
        <v>Critical</v>
      </c>
      <c r="F103" s="1" t="str">
        <v>Not Run</v>
      </c>
      <c r="G103" s="1" t="str">
        <v>Not Run</v>
      </c>
      <c r="H103" s="1" t="str">
        <v>Not Run</v>
      </c>
      <c r="I103" s="1" t="str">
        <v>Not Run</v>
      </c>
      <c r="J103" s="1" t="str">
        <v>Not Run</v>
      </c>
      <c r="K103" s="1" t="str">
        <v>Not Run</v>
      </c>
      <c r="L103" s="1">
        <f>COUNTA(F103:K103)</f>
        <v>6</v>
      </c>
      <c r="M103" s="1">
        <f>COUNTIF(F103:K103,"Pass")</f>
        <v>0</v>
      </c>
      <c r="N103" s="1">
        <f>COUNTIF(F103:K103,"Fail")</f>
        <v>0</v>
      </c>
      <c r="O103" s="1" t="str">
        <f>IF(M103=0,"-",M103/L103)</f>
        <v>-</v>
      </c>
    </row>
    <row r="104">
      <c r="A104" s="1" t="str">
        <v>ATT-003</v>
      </c>
      <c r="B104" s="1" t="str">
        <v>Attendance</v>
      </c>
      <c r="C104" s="1" t="str">
        <v>Attendance Creation &amp; Basic Details</v>
      </c>
      <c r="D104" s="1" t="str">
        <v>Create Attendance with Status as Present</v>
      </c>
      <c r="E104" s="1" t="str">
        <v>Critical</v>
      </c>
      <c r="F104" s="1" t="str">
        <v>Not Run</v>
      </c>
      <c r="G104" s="1" t="str">
        <v>Not Run</v>
      </c>
      <c r="H104" s="1" t="str">
        <v>Not Run</v>
      </c>
      <c r="I104" s="1" t="str">
        <v>Not Run</v>
      </c>
      <c r="J104" s="1" t="str">
        <v>Not Run</v>
      </c>
      <c r="K104" s="1" t="str">
        <v>Not Run</v>
      </c>
      <c r="L104" s="1">
        <f>COUNTA(F104:K104)</f>
        <v>6</v>
      </c>
      <c r="M104" s="1">
        <f>COUNTIF(F104:K104,"Pass")</f>
        <v>0</v>
      </c>
      <c r="N104" s="1">
        <f>COUNTIF(F104:K104,"Fail")</f>
        <v>0</v>
      </c>
      <c r="O104" s="1" t="str">
        <f>IF(M104=0,"-",M104/L104)</f>
        <v>-</v>
      </c>
    </row>
    <row r="105">
      <c r="A105" s="1" t="str">
        <v>ATT-004</v>
      </c>
      <c r="B105" s="1" t="str">
        <v>Attendance</v>
      </c>
      <c r="C105" s="1" t="str">
        <v>Attendance Creation &amp; Basic Details</v>
      </c>
      <c r="D105" s="1" t="str">
        <v>Create Attendance with Status as Absent</v>
      </c>
      <c r="E105" s="1" t="str">
        <v>Critical</v>
      </c>
      <c r="F105" s="1" t="str">
        <v>Not Run</v>
      </c>
      <c r="G105" s="1" t="str">
        <v>Not Run</v>
      </c>
      <c r="H105" s="1" t="str">
        <v>Not Run</v>
      </c>
      <c r="I105" s="1" t="str">
        <v>Not Run</v>
      </c>
      <c r="J105" s="1" t="str">
        <v>Not Run</v>
      </c>
      <c r="K105" s="1" t="str">
        <v>Not Run</v>
      </c>
      <c r="L105" s="1">
        <f>COUNTA(F105:K105)</f>
        <v>6</v>
      </c>
      <c r="M105" s="1">
        <f>COUNTIF(F105:K105,"Pass")</f>
        <v>0</v>
      </c>
      <c r="N105" s="1">
        <f>COUNTIF(F105:K105,"Fail")</f>
        <v>0</v>
      </c>
      <c r="O105" s="1" t="str">
        <f>IF(M105=0,"-",M105/L105)</f>
        <v>-</v>
      </c>
    </row>
    <row r="106">
      <c r="A106" s="1" t="str">
        <v>ATT-005</v>
      </c>
      <c r="B106" s="1" t="str">
        <v>Attendance</v>
      </c>
      <c r="C106" s="1" t="str">
        <v>Attendance Creation &amp; Basic Details</v>
      </c>
      <c r="D106" s="1" t="str">
        <v>Create Attendance with Status as Leave</v>
      </c>
      <c r="E106" s="1" t="str">
        <v>High</v>
      </c>
      <c r="F106" s="1" t="str">
        <v>Not Run</v>
      </c>
      <c r="G106" s="1" t="str">
        <v>Not Run</v>
      </c>
      <c r="H106" s="1" t="str">
        <v>Not Run</v>
      </c>
      <c r="I106" s="1" t="str">
        <v>Not Run</v>
      </c>
      <c r="J106" s="1" t="str">
        <v>Not Run</v>
      </c>
      <c r="K106" s="1" t="str">
        <v>Not Run</v>
      </c>
      <c r="L106" s="1">
        <f>COUNTA(F106:K106)</f>
        <v>6</v>
      </c>
      <c r="M106" s="1">
        <f>COUNTIF(F106:K106,"Pass")</f>
        <v>0</v>
      </c>
      <c r="N106" s="1">
        <f>COUNTIF(F106:K106,"Fail")</f>
        <v>0</v>
      </c>
      <c r="O106" s="1" t="str">
        <f>IF(M106=0,"-",M106/L106)</f>
        <v>-</v>
      </c>
    </row>
    <row r="107">
      <c r="A107" s="1" t="str">
        <v>ATT-006</v>
      </c>
      <c r="B107" s="1" t="str">
        <v>Attendance</v>
      </c>
      <c r="C107" s="1" t="str">
        <v>Attendance Creation &amp; Basic Details</v>
      </c>
      <c r="D107" s="1" t="str">
        <v>Create Attendance with Status as Half Day</v>
      </c>
      <c r="E107" s="1" t="str">
        <v>High</v>
      </c>
      <c r="F107" s="1" t="str">
        <v>Not Run</v>
      </c>
      <c r="G107" s="1" t="str">
        <v>Not Run</v>
      </c>
      <c r="H107" s="1" t="str">
        <v>Not Run</v>
      </c>
      <c r="I107" s="1" t="str">
        <v>Not Run</v>
      </c>
      <c r="J107" s="1" t="str">
        <v>Not Run</v>
      </c>
      <c r="K107" s="1" t="str">
        <v>Not Run</v>
      </c>
      <c r="L107" s="1">
        <f>COUNTA(F107:K107)</f>
        <v>6</v>
      </c>
      <c r="M107" s="1">
        <f>COUNTIF(F107:K107,"Pass")</f>
        <v>0</v>
      </c>
      <c r="N107" s="1">
        <f>COUNTIF(F107:K107,"Fail")</f>
        <v>0</v>
      </c>
      <c r="O107" s="1" t="str">
        <f>IF(M107=0,"-",M107/L107)</f>
        <v>-</v>
      </c>
    </row>
    <row r="108">
      <c r="A108" s="1" t="str">
        <v>ATT-007</v>
      </c>
      <c r="B108" s="1" t="str">
        <v>Attendance</v>
      </c>
      <c r="C108" s="1" t="str">
        <v>Series &amp; Auto-generation</v>
      </c>
      <c r="D108" s="1" t="str">
        <v>Series field is auto-generated in format HR-ATT-.YYYY.-</v>
      </c>
      <c r="E108" s="1" t="str">
        <v>Critical</v>
      </c>
      <c r="F108" s="1" t="str">
        <v>Not Run</v>
      </c>
      <c r="G108" s="1" t="str">
        <v>Not Run</v>
      </c>
      <c r="H108" s="1" t="str">
        <v>Not Run</v>
      </c>
      <c r="I108" s="1" t="str">
        <v>Not Run</v>
      </c>
      <c r="J108" s="1" t="str">
        <v>Not Run</v>
      </c>
      <c r="K108" s="1" t="str">
        <v>Not Run</v>
      </c>
      <c r="L108" s="1">
        <f>COUNTA(F108:K108)</f>
        <v>6</v>
      </c>
      <c r="M108" s="1">
        <f>COUNTIF(F108:K108,"Pass")</f>
        <v>0</v>
      </c>
      <c r="N108" s="1">
        <f>COUNTIF(F108:K108,"Fail")</f>
        <v>0</v>
      </c>
      <c r="O108" s="1" t="str">
        <f>IF(M108=0,"-",M108/L108)</f>
        <v>-</v>
      </c>
    </row>
    <row r="109">
      <c r="A109" s="1" t="str">
        <v>ATT-008</v>
      </c>
      <c r="B109" s="1" t="str">
        <v>Attendance</v>
      </c>
      <c r="C109" s="1" t="str">
        <v>Series &amp; Auto-generation</v>
      </c>
      <c r="D109" s="1" t="str">
        <v>Series field cannot be manually edited</v>
      </c>
      <c r="E109" s="1" t="str">
        <v>High</v>
      </c>
      <c r="F109" s="1" t="str">
        <v>Not Run</v>
      </c>
      <c r="G109" s="1" t="str">
        <v>Not Run</v>
      </c>
      <c r="H109" s="1" t="str">
        <v>Not Run</v>
      </c>
      <c r="I109" s="1" t="str">
        <v>Not Run</v>
      </c>
      <c r="J109" s="1" t="str">
        <v>Not Run</v>
      </c>
      <c r="K109" s="1" t="str">
        <v>Not Run</v>
      </c>
      <c r="L109" s="1">
        <f>COUNTA(F109:K109)</f>
        <v>6</v>
      </c>
      <c r="M109" s="1">
        <f>COUNTIF(F109:K109,"Pass")</f>
        <v>0</v>
      </c>
      <c r="N109" s="1">
        <f>COUNTIF(F109:K109,"Fail")</f>
        <v>0</v>
      </c>
      <c r="O109" s="1" t="str">
        <f>IF(M109=0,"-",M109/L109)</f>
        <v>-</v>
      </c>
    </row>
    <row r="110">
      <c r="A110" s="1" t="str">
        <v>ATT-009</v>
      </c>
      <c r="B110" s="1" t="str">
        <v>Attendance</v>
      </c>
      <c r="C110" s="1" t="str">
        <v>Series &amp; Auto-generation</v>
      </c>
      <c r="D110" s="1" t="str">
        <v>Unique Series is generated for each attendance record</v>
      </c>
      <c r="E110" s="1" t="str">
        <v>Critical</v>
      </c>
      <c r="F110" s="1" t="str">
        <v>Not Run</v>
      </c>
      <c r="G110" s="1" t="str">
        <v>Not Run</v>
      </c>
      <c r="H110" s="1" t="str">
        <v>Not Run</v>
      </c>
      <c r="I110" s="1" t="str">
        <v>Not Run</v>
      </c>
      <c r="J110" s="1" t="str">
        <v>Not Run</v>
      </c>
      <c r="K110" s="1" t="str">
        <v>Not Run</v>
      </c>
      <c r="L110" s="1">
        <f>COUNTA(F110:K110)</f>
        <v>6</v>
      </c>
      <c r="M110" s="1">
        <f>COUNTIF(F110:K110,"Pass")</f>
        <v>0</v>
      </c>
      <c r="N110" s="1">
        <f>COUNTIF(F110:K110,"Fail")</f>
        <v>0</v>
      </c>
      <c r="O110" s="1" t="str">
        <f>IF(M110=0,"-",M110/L110)</f>
        <v>-</v>
      </c>
    </row>
    <row r="111">
      <c r="A111" s="1" t="str">
        <v>ATT-010</v>
      </c>
      <c r="B111" s="1" t="str">
        <v>Attendance</v>
      </c>
      <c r="C111" s="1" t="str">
        <v>Employee Selection</v>
      </c>
      <c r="D111" s="1" t="str">
        <v>Valid employee can be selected from dropdown</v>
      </c>
      <c r="E111" s="1" t="str">
        <v>Critical</v>
      </c>
      <c r="F111" s="1" t="str">
        <v>Not Run</v>
      </c>
      <c r="G111" s="1" t="str">
        <v>Not Run</v>
      </c>
      <c r="H111" s="1" t="str">
        <v>Not Run</v>
      </c>
      <c r="I111" s="1" t="str">
        <v>Not Run</v>
      </c>
      <c r="J111" s="1" t="str">
        <v>Not Run</v>
      </c>
      <c r="K111" s="1" t="str">
        <v>Not Run</v>
      </c>
      <c r="L111" s="1">
        <f>COUNTA(F111:K111)</f>
        <v>6</v>
      </c>
      <c r="M111" s="1">
        <f>COUNTIF(F111:K111,"Pass")</f>
        <v>0</v>
      </c>
      <c r="N111" s="1">
        <f>COUNTIF(F111:K111,"Fail")</f>
        <v>0</v>
      </c>
      <c r="O111" s="1" t="str">
        <f>IF(M111=0,"-",M111/L111)</f>
        <v>-</v>
      </c>
    </row>
    <row r="112">
      <c r="A112" s="1" t="str">
        <v>ATT-011</v>
      </c>
      <c r="B112" s="1" t="str">
        <v>Attendance</v>
      </c>
      <c r="C112" s="1" t="str">
        <v>Employee Selection</v>
      </c>
      <c r="D112" s="1" t="str">
        <v>Invalid/non-existent employee is rejected</v>
      </c>
      <c r="E112" s="1" t="str">
        <v>Critical</v>
      </c>
      <c r="F112" s="1" t="str">
        <v>Not Run</v>
      </c>
      <c r="G112" s="1" t="str">
        <v>Not Run</v>
      </c>
      <c r="H112" s="1" t="str">
        <v>Not Run</v>
      </c>
      <c r="I112" s="1" t="str">
        <v>Not Run</v>
      </c>
      <c r="J112" s="1" t="str">
        <v>Not Run</v>
      </c>
      <c r="K112" s="1" t="str">
        <v>Not Run</v>
      </c>
      <c r="L112" s="1">
        <f>COUNTA(F112:K112)</f>
        <v>6</v>
      </c>
      <c r="M112" s="1">
        <f>COUNTIF(F112:K112,"Pass")</f>
        <v>0</v>
      </c>
      <c r="N112" s="1">
        <f>COUNTIF(F112:K112,"Fail")</f>
        <v>0</v>
      </c>
      <c r="O112" s="1" t="str">
        <f>IF(M112=0,"-",M112/L112)</f>
        <v>-</v>
      </c>
    </row>
    <row r="113">
      <c r="A113" s="1" t="str">
        <v>ATT-012</v>
      </c>
      <c r="B113" s="1" t="str">
        <v>Attendance</v>
      </c>
      <c r="C113" s="1" t="str">
        <v>Employee Selection</v>
      </c>
      <c r="D113" s="1" t="str">
        <v>Employee field is mandatory and cannot be left blank</v>
      </c>
      <c r="E113" s="1" t="str">
        <v>Critical</v>
      </c>
      <c r="F113" s="1" t="str">
        <v>Not Run</v>
      </c>
      <c r="G113" s="1" t="str">
        <v>Not Run</v>
      </c>
      <c r="H113" s="1" t="str">
        <v>Not Run</v>
      </c>
      <c r="I113" s="1" t="str">
        <v>Not Run</v>
      </c>
      <c r="J113" s="1" t="str">
        <v>Not Run</v>
      </c>
      <c r="K113" s="1" t="str">
        <v>Not Run</v>
      </c>
      <c r="L113" s="1">
        <f>COUNTA(F113:K113)</f>
        <v>6</v>
      </c>
      <c r="M113" s="1">
        <f>COUNTIF(F113:K113,"Pass")</f>
        <v>0</v>
      </c>
      <c r="N113" s="1">
        <f>COUNTIF(F113:K113,"Fail")</f>
        <v>0</v>
      </c>
      <c r="O113" s="1" t="str">
        <f>IF(M113=0,"-",M113/L113)</f>
        <v>-</v>
      </c>
    </row>
    <row r="114">
      <c r="A114" s="1" t="str">
        <v>ATT-013</v>
      </c>
      <c r="B114" s="1" t="str">
        <v>Attendance</v>
      </c>
      <c r="C114" s="1" t="str">
        <v>Employee Selection</v>
      </c>
      <c r="D114" s="1" t="str">
        <v>Duplicate attendance for same employee on same date is blocked</v>
      </c>
      <c r="E114" s="1" t="str">
        <v>Critical</v>
      </c>
      <c r="F114" s="1" t="str">
        <v>Not Run</v>
      </c>
      <c r="G114" s="1" t="str">
        <v>Not Run</v>
      </c>
      <c r="H114" s="1" t="str">
        <v>Not Run</v>
      </c>
      <c r="I114" s="1" t="str">
        <v>Not Run</v>
      </c>
      <c r="J114" s="1" t="str">
        <v>Not Run</v>
      </c>
      <c r="K114" s="1" t="str">
        <v>Not Run</v>
      </c>
      <c r="L114" s="1">
        <f>COUNTA(F114:K114)</f>
        <v>6</v>
      </c>
      <c r="M114" s="1">
        <f>COUNTIF(F114:K114,"Pass")</f>
        <v>0</v>
      </c>
      <c r="N114" s="1">
        <f>COUNTIF(F114:K114,"Fail")</f>
        <v>0</v>
      </c>
      <c r="O114" s="1" t="str">
        <f>IF(M114=0,"-",M114/L114)</f>
        <v>-</v>
      </c>
    </row>
    <row r="115">
      <c r="A115" s="1" t="str">
        <v>ATT-014</v>
      </c>
      <c r="B115" s="1" t="str">
        <v>Attendance</v>
      </c>
      <c r="C115" s="1" t="str">
        <v>Attendance Date</v>
      </c>
      <c r="D115" s="1" t="str">
        <v>Valid attendance date is accepted</v>
      </c>
      <c r="E115" s="1" t="str">
        <v>Critical</v>
      </c>
      <c r="F115" s="1" t="str">
        <v>Not Run</v>
      </c>
      <c r="G115" s="1" t="str">
        <v>Not Run</v>
      </c>
      <c r="H115" s="1" t="str">
        <v>Not Run</v>
      </c>
      <c r="I115" s="1" t="str">
        <v>Not Run</v>
      </c>
      <c r="J115" s="1" t="str">
        <v>Not Run</v>
      </c>
      <c r="K115" s="1" t="str">
        <v>Not Run</v>
      </c>
      <c r="L115" s="1">
        <f>COUNTA(F115:K115)</f>
        <v>6</v>
      </c>
      <c r="M115" s="1">
        <f>COUNTIF(F115:K115,"Pass")</f>
        <v>0</v>
      </c>
      <c r="N115" s="1">
        <f>COUNTIF(F115:K115,"Fail")</f>
        <v>0</v>
      </c>
      <c r="O115" s="1" t="str">
        <f>IF(M115=0,"-",M115/L115)</f>
        <v>-</v>
      </c>
    </row>
    <row r="116">
      <c r="A116" s="1" t="str">
        <v>ATT-015</v>
      </c>
      <c r="B116" s="1" t="str">
        <v>Attendance</v>
      </c>
      <c r="C116" s="1" t="str">
        <v>Attendance Date</v>
      </c>
      <c r="D116" s="1" t="str">
        <v>Attendance Date cannot be left blank (mandatory)</v>
      </c>
      <c r="E116" s="1" t="str">
        <v>Critical</v>
      </c>
      <c r="F116" s="1" t="str">
        <v>Not Run</v>
      </c>
      <c r="G116" s="1" t="str">
        <v>Not Run</v>
      </c>
      <c r="H116" s="1" t="str">
        <v>Not Run</v>
      </c>
      <c r="I116" s="1" t="str">
        <v>Not Run</v>
      </c>
      <c r="J116" s="1" t="str">
        <v>Not Run</v>
      </c>
      <c r="K116" s="1" t="str">
        <v>Not Run</v>
      </c>
      <c r="L116" s="1">
        <f>COUNTA(F116:K116)</f>
        <v>6</v>
      </c>
      <c r="M116" s="1">
        <f>COUNTIF(F116:K116,"Pass")</f>
        <v>0</v>
      </c>
      <c r="N116" s="1">
        <f>COUNTIF(F116:K116,"Fail")</f>
        <v>0</v>
      </c>
      <c r="O116" s="1" t="str">
        <f>IF(M116=0,"-",M116/L116)</f>
        <v>-</v>
      </c>
    </row>
    <row r="117">
      <c r="A117" s="1" t="str">
        <v>ATT-016</v>
      </c>
      <c r="B117" s="1" t="str">
        <v>Attendance</v>
      </c>
      <c r="C117" s="1" t="str">
        <v>Attendance Date</v>
      </c>
      <c r="D117" s="1" t="str">
        <v>Future attendance date is accepted</v>
      </c>
      <c r="E117" s="1" t="str">
        <v>Medium</v>
      </c>
      <c r="F117" s="1" t="str">
        <v>Not Run</v>
      </c>
      <c r="G117" s="1" t="str">
        <v>Not Run</v>
      </c>
      <c r="H117" s="1" t="str">
        <v>Not Run</v>
      </c>
      <c r="I117" s="1" t="str">
        <v>Not Run</v>
      </c>
      <c r="J117" s="1" t="str">
        <v>Not Run</v>
      </c>
      <c r="K117" s="1" t="str">
        <v>Not Run</v>
      </c>
      <c r="L117" s="1">
        <f>COUNTA(F117:K117)</f>
        <v>6</v>
      </c>
      <c r="M117" s="1">
        <f>COUNTIF(F117:K117,"Pass")</f>
        <v>0</v>
      </c>
      <c r="N117" s="1">
        <f>COUNTIF(F117:K117,"Fail")</f>
        <v>0</v>
      </c>
      <c r="O117" s="1" t="str">
        <f>IF(M117=0,"-",M117/L117)</f>
        <v>-</v>
      </c>
    </row>
    <row r="118">
      <c r="A118" s="1" t="str">
        <v>ATT-017</v>
      </c>
      <c r="B118" s="1" t="str">
        <v>Attendance</v>
      </c>
      <c r="C118" s="1" t="str">
        <v>Attendance Date</v>
      </c>
      <c r="D118" s="1" t="str">
        <v>Past attendance date is accepted</v>
      </c>
      <c r="E118" s="1" t="str">
        <v>High</v>
      </c>
      <c r="F118" s="1" t="str">
        <v>Not Run</v>
      </c>
      <c r="G118" s="1" t="str">
        <v>Not Run</v>
      </c>
      <c r="H118" s="1" t="str">
        <v>Not Run</v>
      </c>
      <c r="I118" s="1" t="str">
        <v>Not Run</v>
      </c>
      <c r="J118" s="1" t="str">
        <v>Not Run</v>
      </c>
      <c r="K118" s="1" t="str">
        <v>Not Run</v>
      </c>
      <c r="L118" s="1">
        <f>COUNTA(F118:K118)</f>
        <v>6</v>
      </c>
      <c r="M118" s="1">
        <f>COUNTIF(F118:K118,"Pass")</f>
        <v>0</v>
      </c>
      <c r="N118" s="1">
        <f>COUNTIF(F118:K118,"Fail")</f>
        <v>0</v>
      </c>
      <c r="O118" s="1" t="str">
        <f>IF(M118=0,"-",M118/L118)</f>
        <v>-</v>
      </c>
    </row>
    <row r="119">
      <c r="A119" s="1" t="str">
        <v>ATT-018</v>
      </c>
      <c r="B119" s="1" t="str">
        <v>Attendance</v>
      </c>
      <c r="C119" s="1" t="str">
        <v>Attendance Date</v>
      </c>
      <c r="D119" s="1" t="str">
        <v>Invalid date format is rejected</v>
      </c>
      <c r="E119" s="1" t="str">
        <v>Critical</v>
      </c>
      <c r="F119" s="1" t="str">
        <v>Not Run</v>
      </c>
      <c r="G119" s="1" t="str">
        <v>Not Run</v>
      </c>
      <c r="H119" s="1" t="str">
        <v>Not Run</v>
      </c>
      <c r="I119" s="1" t="str">
        <v>Not Run</v>
      </c>
      <c r="J119" s="1" t="str">
        <v>Not Run</v>
      </c>
      <c r="K119" s="1" t="str">
        <v>Not Run</v>
      </c>
      <c r="L119" s="1">
        <f>COUNTA(F119:K119)</f>
        <v>6</v>
      </c>
      <c r="M119" s="1">
        <f>COUNTIF(F119:K119,"Pass")</f>
        <v>0</v>
      </c>
      <c r="N119" s="1">
        <f>COUNTIF(F119:K119,"Fail")</f>
        <v>0</v>
      </c>
      <c r="O119" s="1" t="str">
        <f>IF(M119=0,"-",M119/L119)</f>
        <v>-</v>
      </c>
    </row>
    <row r="120">
      <c r="A120" s="1" t="str">
        <v>ATT-019</v>
      </c>
      <c r="B120" s="1" t="str">
        <v>Attendance</v>
      </c>
      <c r="C120" s="1" t="str">
        <v>Status Management</v>
      </c>
      <c r="D120" s="1" t="str">
        <v>Status dropdown shows all available options (Present, Absent, Leave, Half Day)</v>
      </c>
      <c r="E120" s="1" t="str">
        <v>High</v>
      </c>
      <c r="F120" s="1" t="str">
        <v>Not Run</v>
      </c>
      <c r="G120" s="1" t="str">
        <v>Not Run</v>
      </c>
      <c r="H120" s="1" t="str">
        <v>Not Run</v>
      </c>
      <c r="I120" s="1" t="str">
        <v>Not Run</v>
      </c>
      <c r="J120" s="1" t="str">
        <v>Not Run</v>
      </c>
      <c r="K120" s="1" t="str">
        <v>Not Run</v>
      </c>
      <c r="L120" s="1">
        <f>COUNTA(F120:K120)</f>
        <v>6</v>
      </c>
      <c r="M120" s="1">
        <f>COUNTIF(F120:K120,"Pass")</f>
        <v>0</v>
      </c>
      <c r="N120" s="1">
        <f>COUNTIF(F120:K120,"Fail")</f>
        <v>0</v>
      </c>
      <c r="O120" s="1" t="str">
        <f>IF(M120=0,"-",M120/L120)</f>
        <v>-</v>
      </c>
    </row>
    <row r="121">
      <c r="A121" s="1" t="str">
        <v>ATT-020</v>
      </c>
      <c r="B121" s="1" t="str">
        <v>Attendance</v>
      </c>
      <c r="C121" s="1" t="str">
        <v>Status Management</v>
      </c>
      <c r="D121" s="1" t="str">
        <v>Status cannot be left blank (mandatory)</v>
      </c>
      <c r="E121" s="1" t="str">
        <v>Critical</v>
      </c>
      <c r="F121" s="1" t="str">
        <v>Not Run</v>
      </c>
      <c r="G121" s="1" t="str">
        <v>Not Run</v>
      </c>
      <c r="H121" s="1" t="str">
        <v>Not Run</v>
      </c>
      <c r="I121" s="1" t="str">
        <v>Not Run</v>
      </c>
      <c r="J121" s="1" t="str">
        <v>Not Run</v>
      </c>
      <c r="K121" s="1" t="str">
        <v>Not Run</v>
      </c>
      <c r="L121" s="1">
        <f>COUNTA(F121:K121)</f>
        <v>6</v>
      </c>
      <c r="M121" s="1">
        <f>COUNTIF(F121:K121,"Pass")</f>
        <v>0</v>
      </c>
      <c r="N121" s="1">
        <f>COUNTIF(F121:K121,"Fail")</f>
        <v>0</v>
      </c>
      <c r="O121" s="1" t="str">
        <f>IF(M121=0,"-",M121/L121)</f>
        <v>-</v>
      </c>
    </row>
    <row r="122">
      <c r="A122" s="1" t="str">
        <v>ATT-021</v>
      </c>
      <c r="B122" s="1" t="str">
        <v>Attendance</v>
      </c>
      <c r="C122" s="1" t="str">
        <v>Status Management</v>
      </c>
      <c r="D122" s="1" t="str">
        <v>Status can be changed after creation</v>
      </c>
      <c r="E122" s="1" t="str">
        <v>High</v>
      </c>
      <c r="F122" s="1" t="str">
        <v>Not Run</v>
      </c>
      <c r="G122" s="1" t="str">
        <v>Not Run</v>
      </c>
      <c r="H122" s="1" t="str">
        <v>Not Run</v>
      </c>
      <c r="I122" s="1" t="str">
        <v>Not Run</v>
      </c>
      <c r="J122" s="1" t="str">
        <v>Not Run</v>
      </c>
      <c r="K122" s="1" t="str">
        <v>Not Run</v>
      </c>
      <c r="L122" s="1">
        <f>COUNTA(F122:K122)</f>
        <v>6</v>
      </c>
      <c r="M122" s="1">
        <f>COUNTIF(F122:K122,"Pass")</f>
        <v>0</v>
      </c>
      <c r="N122" s="1">
        <f>COUNTIF(F122:K122,"Fail")</f>
        <v>0</v>
      </c>
      <c r="O122" s="1" t="str">
        <f>IF(M122=0,"-",M122/L122)</f>
        <v>-</v>
      </c>
    </row>
    <row r="123">
      <c r="A123" s="1" t="str">
        <v>ATT-022</v>
      </c>
      <c r="B123" s="1" t="str">
        <v>Attendance</v>
      </c>
      <c r="C123" s="1" t="str">
        <v>Company Assignment</v>
      </c>
      <c r="D123" s="1" t="str">
        <v>Valid company is selected and displayed</v>
      </c>
      <c r="E123" s="1" t="str">
        <v>High</v>
      </c>
      <c r="F123" s="1" t="str">
        <v>Not Run</v>
      </c>
      <c r="G123" s="1" t="str">
        <v>Not Run</v>
      </c>
      <c r="H123" s="1" t="str">
        <v>Not Run</v>
      </c>
      <c r="I123" s="1" t="str">
        <v>Not Run</v>
      </c>
      <c r="J123" s="1" t="str">
        <v>Not Run</v>
      </c>
      <c r="K123" s="1" t="str">
        <v>Not Run</v>
      </c>
      <c r="L123" s="1">
        <f>COUNTA(F123:K123)</f>
        <v>6</v>
      </c>
      <c r="M123" s="1">
        <f>COUNTIF(F123:K123,"Pass")</f>
        <v>0</v>
      </c>
      <c r="N123" s="1">
        <f>COUNTIF(F123:K123,"Fail")</f>
        <v>0</v>
      </c>
      <c r="O123" s="1" t="str">
        <f>IF(M123=0,"-",M123/L123)</f>
        <v>-</v>
      </c>
    </row>
    <row r="124">
      <c r="A124" s="1" t="str">
        <v>ATT-023</v>
      </c>
      <c r="B124" s="1" t="str">
        <v>Attendance</v>
      </c>
      <c r="C124" s="1" t="str">
        <v>Company Assignment</v>
      </c>
      <c r="D124" s="1" t="str">
        <v>Company field is auto-populated based on employee</v>
      </c>
      <c r="E124" s="1" t="str">
        <v>High</v>
      </c>
      <c r="F124" s="1" t="str">
        <v>Not Run</v>
      </c>
      <c r="G124" s="1" t="str">
        <v>Not Run</v>
      </c>
      <c r="H124" s="1" t="str">
        <v>Not Run</v>
      </c>
      <c r="I124" s="1" t="str">
        <v>Not Run</v>
      </c>
      <c r="J124" s="1" t="str">
        <v>Not Run</v>
      </c>
      <c r="K124" s="1" t="str">
        <v>Not Run</v>
      </c>
      <c r="L124" s="1">
        <f>COUNTA(F124:K124)</f>
        <v>6</v>
      </c>
      <c r="M124" s="1">
        <f>COUNTIF(F124:K124,"Pass")</f>
        <v>0</v>
      </c>
      <c r="N124" s="1">
        <f>COUNTIF(F124:K124,"Fail")</f>
        <v>0</v>
      </c>
      <c r="O124" s="1" t="str">
        <f>IF(M124=0,"-",M124/L124)</f>
        <v>-</v>
      </c>
    </row>
    <row r="125">
      <c r="A125" s="1" t="str">
        <v>ATT-024</v>
      </c>
      <c r="B125" s="1" t="str">
        <v>Attendance</v>
      </c>
      <c r="C125" s="1" t="str">
        <v>Company Assignment</v>
      </c>
      <c r="D125" s="1" t="str">
        <v>Company field can be manually changed</v>
      </c>
      <c r="E125" s="1" t="str">
        <v>Medium</v>
      </c>
      <c r="F125" s="1" t="str">
        <v>Not Run</v>
      </c>
      <c r="G125" s="1" t="str">
        <v>Not Run</v>
      </c>
      <c r="H125" s="1" t="str">
        <v>Not Run</v>
      </c>
      <c r="I125" s="1" t="str">
        <v>Not Run</v>
      </c>
      <c r="J125" s="1" t="str">
        <v>Not Run</v>
      </c>
      <c r="K125" s="1" t="str">
        <v>Not Run</v>
      </c>
      <c r="L125" s="1">
        <f>COUNTA(F125:K125)</f>
        <v>6</v>
      </c>
      <c r="M125" s="1">
        <f>COUNTIF(F125:K125,"Pass")</f>
        <v>0</v>
      </c>
      <c r="N125" s="1">
        <f>COUNTIF(F125:K125,"Fail")</f>
        <v>0</v>
      </c>
      <c r="O125" s="1" t="str">
        <f>IF(M125=0,"-",M125/L125)</f>
        <v>-</v>
      </c>
    </row>
    <row r="126">
      <c r="A126" s="1" t="str">
        <v>ATT-025</v>
      </c>
      <c r="B126" s="1" t="str">
        <v>Attendance</v>
      </c>
      <c r="C126" s="1" t="str">
        <v>Shift Details</v>
      </c>
      <c r="D126" s="1" t="str">
        <v>Valid shift can be selected from dropdown</v>
      </c>
      <c r="E126" s="1" t="str">
        <v>High</v>
      </c>
      <c r="F126" s="1" t="str">
        <v>Not Run</v>
      </c>
      <c r="G126" s="1" t="str">
        <v>Not Run</v>
      </c>
      <c r="H126" s="1" t="str">
        <v>Not Run</v>
      </c>
      <c r="I126" s="1" t="str">
        <v>Not Run</v>
      </c>
      <c r="J126" s="1" t="str">
        <v>Not Run</v>
      </c>
      <c r="K126" s="1" t="str">
        <v>Not Run</v>
      </c>
      <c r="L126" s="1">
        <f>COUNTA(F126:K126)</f>
        <v>6</v>
      </c>
      <c r="M126" s="1">
        <f>COUNTIF(F126:K126,"Pass")</f>
        <v>0</v>
      </c>
      <c r="N126" s="1">
        <f>COUNTIF(F126:K126,"Fail")</f>
        <v>0</v>
      </c>
      <c r="O126" s="1" t="str">
        <f>IF(M126=0,"-",M126/L126)</f>
        <v>-</v>
      </c>
    </row>
    <row r="127">
      <c r="A127" s="1" t="str">
        <v>ATT-026</v>
      </c>
      <c r="B127" s="1" t="str">
        <v>Attendance</v>
      </c>
      <c r="C127" s="1" t="str">
        <v>Shift Details</v>
      </c>
      <c r="D127" s="1" t="str">
        <v>Shift field is optional and can be left blank</v>
      </c>
      <c r="E127" s="1" t="str">
        <v>Medium</v>
      </c>
      <c r="F127" s="1" t="str">
        <v>Not Run</v>
      </c>
      <c r="G127" s="1" t="str">
        <v>Not Run</v>
      </c>
      <c r="H127" s="1" t="str">
        <v>Not Run</v>
      </c>
      <c r="I127" s="1" t="str">
        <v>Not Run</v>
      </c>
      <c r="J127" s="1" t="str">
        <v>Not Run</v>
      </c>
      <c r="K127" s="1" t="str">
        <v>Not Run</v>
      </c>
      <c r="L127" s="1">
        <f>COUNTA(F127:K127)</f>
        <v>6</v>
      </c>
      <c r="M127" s="1">
        <f>COUNTIF(F127:K127,"Pass")</f>
        <v>0</v>
      </c>
      <c r="N127" s="1">
        <f>COUNTIF(F127:K127,"Fail")</f>
        <v>0</v>
      </c>
      <c r="O127" s="1" t="str">
        <f>IF(M127=0,"-",M127/L127)</f>
        <v>-</v>
      </c>
    </row>
    <row r="128">
      <c r="A128" s="1" t="str">
        <v>ATT-027</v>
      </c>
      <c r="B128" s="1" t="str">
        <v>Attendance</v>
      </c>
      <c r="C128" s="1" t="str">
        <v>Shift Details</v>
      </c>
      <c r="D128" s="1" t="str">
        <v>Shift auto-populates based on employee's assigned shift</v>
      </c>
      <c r="E128" s="1" t="str">
        <v>High</v>
      </c>
      <c r="F128" s="1" t="str">
        <v>Not Run</v>
      </c>
      <c r="G128" s="1" t="str">
        <v>Not Run</v>
      </c>
      <c r="H128" s="1" t="str">
        <v>Not Run</v>
      </c>
      <c r="I128" s="1" t="str">
        <v>Not Run</v>
      </c>
      <c r="J128" s="1" t="str">
        <v>Not Run</v>
      </c>
      <c r="K128" s="1" t="str">
        <v>Not Run</v>
      </c>
      <c r="L128" s="1">
        <f>COUNTA(F128:K128)</f>
        <v>6</v>
      </c>
      <c r="M128" s="1">
        <f>COUNTIF(F128:K128,"Pass")</f>
        <v>0</v>
      </c>
      <c r="N128" s="1">
        <f>COUNTIF(F128:K128,"Fail")</f>
        <v>0</v>
      </c>
      <c r="O128" s="1" t="str">
        <f>IF(M128=0,"-",M128/L128)</f>
        <v>-</v>
      </c>
    </row>
    <row r="129">
      <c r="A129" s="1" t="str">
        <v>ATT-028</v>
      </c>
      <c r="B129" s="1" t="str">
        <v>Attendance</v>
      </c>
      <c r="C129" s="1" t="str">
        <v>Shift Details</v>
      </c>
      <c r="D129" s="1" t="str">
        <v>Multiple shifts can be assigned to same employee on different dates</v>
      </c>
      <c r="E129" s="1" t="str">
        <v>Medium</v>
      </c>
      <c r="F129" s="1" t="str">
        <v>Not Run</v>
      </c>
      <c r="G129" s="1" t="str">
        <v>Not Run</v>
      </c>
      <c r="H129" s="1" t="str">
        <v>Not Run</v>
      </c>
      <c r="I129" s="1" t="str">
        <v>Not Run</v>
      </c>
      <c r="J129" s="1" t="str">
        <v>Not Run</v>
      </c>
      <c r="K129" s="1" t="str">
        <v>Not Run</v>
      </c>
      <c r="L129" s="1">
        <f>COUNTA(F129:K129)</f>
        <v>6</v>
      </c>
      <c r="M129" s="1">
        <f>COUNTIF(F129:K129,"Pass")</f>
        <v>0</v>
      </c>
      <c r="N129" s="1">
        <f>COUNTIF(F129:K129,"Fail")</f>
        <v>0</v>
      </c>
      <c r="O129" s="1" t="str">
        <f>IF(M129=0,"-",M129/L129)</f>
        <v>-</v>
      </c>
    </row>
    <row r="130">
      <c r="A130" s="1" t="str">
        <v>ATT-029</v>
      </c>
      <c r="B130" s="1" t="str">
        <v>Attendance</v>
      </c>
      <c r="C130" s="1" t="str">
        <v>Late Entry Tracking</v>
      </c>
      <c r="D130" s="1" t="str">
        <v>Late Entry checkbox can be marked</v>
      </c>
      <c r="E130" s="1" t="str">
        <v>High</v>
      </c>
      <c r="F130" s="1" t="str">
        <v>Not Run</v>
      </c>
      <c r="G130" s="1" t="str">
        <v>Not Run</v>
      </c>
      <c r="H130" s="1" t="str">
        <v>Not Run</v>
      </c>
      <c r="I130" s="1" t="str">
        <v>Not Run</v>
      </c>
      <c r="J130" s="1" t="str">
        <v>Not Run</v>
      </c>
      <c r="K130" s="1" t="str">
        <v>Not Run</v>
      </c>
      <c r="L130" s="1">
        <f>COUNTA(F130:K130)</f>
        <v>6</v>
      </c>
      <c r="M130" s="1">
        <f>COUNTIF(F130:K130,"Pass")</f>
        <v>0</v>
      </c>
      <c r="N130" s="1">
        <f>COUNTIF(F130:K130,"Fail")</f>
        <v>0</v>
      </c>
      <c r="O130" s="1" t="str">
        <f>IF(M130=0,"-",M130/L130)</f>
        <v>-</v>
      </c>
    </row>
    <row r="131">
      <c r="A131" s="1" t="str">
        <v>ATT-030</v>
      </c>
      <c r="B131" s="1" t="str">
        <v>Attendance</v>
      </c>
      <c r="C131" s="1" t="str">
        <v>Late Entry Tracking</v>
      </c>
      <c r="D131" s="1" t="str">
        <v>Late Entry is checked when employee arrives after scheduled time</v>
      </c>
      <c r="E131" s="1" t="str">
        <v>High</v>
      </c>
      <c r="F131" s="1" t="str">
        <v>Not Run</v>
      </c>
      <c r="G131" s="1" t="str">
        <v>Not Run</v>
      </c>
      <c r="H131" s="1" t="str">
        <v>Not Run</v>
      </c>
      <c r="I131" s="1" t="str">
        <v>Not Run</v>
      </c>
      <c r="J131" s="1" t="str">
        <v>Not Run</v>
      </c>
      <c r="K131" s="1" t="str">
        <v>Not Run</v>
      </c>
      <c r="L131" s="1">
        <f>COUNTA(F131:K131)</f>
        <v>6</v>
      </c>
      <c r="M131" s="1">
        <f>COUNTIF(F131:K131,"Pass")</f>
        <v>0</v>
      </c>
      <c r="N131" s="1">
        <f>COUNTIF(F131:K131,"Fail")</f>
        <v>0</v>
      </c>
      <c r="O131" s="1" t="str">
        <f>IF(M131=0,"-",M131/L131)</f>
        <v>-</v>
      </c>
    </row>
    <row r="132">
      <c r="A132" s="1" t="str">
        <v>ATT-031</v>
      </c>
      <c r="B132" s="1" t="str">
        <v>Attendance</v>
      </c>
      <c r="C132" s="1" t="str">
        <v>Late Entry Tracking</v>
      </c>
      <c r="D132" s="1" t="str">
        <v>Late Entry with Present status is valid</v>
      </c>
      <c r="E132" s="1" t="str">
        <v>Critical</v>
      </c>
      <c r="F132" s="1" t="str">
        <v>Not Run</v>
      </c>
      <c r="G132" s="1" t="str">
        <v>Not Run</v>
      </c>
      <c r="H132" s="1" t="str">
        <v>Not Run</v>
      </c>
      <c r="I132" s="1" t="str">
        <v>Not Run</v>
      </c>
      <c r="J132" s="1" t="str">
        <v>Not Run</v>
      </c>
      <c r="K132" s="1" t="str">
        <v>Not Run</v>
      </c>
      <c r="L132" s="1">
        <f>COUNTA(F132:K132)</f>
        <v>6</v>
      </c>
      <c r="M132" s="1">
        <f>COUNTIF(F132:K132,"Pass")</f>
        <v>0</v>
      </c>
      <c r="N132" s="1">
        <f>COUNTIF(F132:K132,"Fail")</f>
        <v>0</v>
      </c>
      <c r="O132" s="1" t="str">
        <f>IF(M132=0,"-",M132/L132)</f>
        <v>-</v>
      </c>
    </row>
    <row r="133">
      <c r="A133" s="1" t="str">
        <v>ATT-032</v>
      </c>
      <c r="B133" s="1" t="str">
        <v>Attendance</v>
      </c>
      <c r="C133" s="1" t="str">
        <v>Late Entry Tracking</v>
      </c>
      <c r="D133" s="1" t="str">
        <v>Late Entry with Absent status is invalid</v>
      </c>
      <c r="E133" s="1" t="str">
        <v>Critical</v>
      </c>
      <c r="F133" s="1" t="str">
        <v>Not Run</v>
      </c>
      <c r="G133" s="1" t="str">
        <v>Not Run</v>
      </c>
      <c r="H133" s="1" t="str">
        <v>Not Run</v>
      </c>
      <c r="I133" s="1" t="str">
        <v>Not Run</v>
      </c>
      <c r="J133" s="1" t="str">
        <v>Not Run</v>
      </c>
      <c r="K133" s="1" t="str">
        <v>Not Run</v>
      </c>
      <c r="L133" s="1">
        <f>COUNTA(F133:K133)</f>
        <v>6</v>
      </c>
      <c r="M133" s="1">
        <f>COUNTIF(F133:K133,"Pass")</f>
        <v>0</v>
      </c>
      <c r="N133" s="1">
        <f>COUNTIF(F133:K133,"Fail")</f>
        <v>0</v>
      </c>
      <c r="O133" s="1" t="str">
        <f>IF(M133=0,"-",M133/L133)</f>
        <v>-</v>
      </c>
    </row>
    <row r="134">
      <c r="A134" s="1" t="str">
        <v>ATT-033</v>
      </c>
      <c r="B134" s="1" t="str">
        <v>Attendance</v>
      </c>
      <c r="C134" s="1" t="str">
        <v>Late Entry Tracking</v>
      </c>
      <c r="D134" s="1" t="str">
        <v>Late Entry checkbox can be unchecked</v>
      </c>
      <c r="E134" s="1" t="str">
        <v>Medium</v>
      </c>
      <c r="F134" s="1" t="str">
        <v>Not Run</v>
      </c>
      <c r="G134" s="1" t="str">
        <v>Not Run</v>
      </c>
      <c r="H134" s="1" t="str">
        <v>Not Run</v>
      </c>
      <c r="I134" s="1" t="str">
        <v>Not Run</v>
      </c>
      <c r="J134" s="1" t="str">
        <v>Not Run</v>
      </c>
      <c r="K134" s="1" t="str">
        <v>Not Run</v>
      </c>
      <c r="L134" s="1">
        <f>COUNTA(F134:K134)</f>
        <v>6</v>
      </c>
      <c r="M134" s="1">
        <f>COUNTIF(F134:K134,"Pass")</f>
        <v>0</v>
      </c>
      <c r="N134" s="1">
        <f>COUNTIF(F134:K134,"Fail")</f>
        <v>0</v>
      </c>
      <c r="O134" s="1" t="str">
        <f>IF(M134=0,"-",M134/L134)</f>
        <v>-</v>
      </c>
    </row>
    <row r="135">
      <c r="A135" s="1" t="str">
        <v>ATT-034</v>
      </c>
      <c r="B135" s="1" t="str">
        <v>Attendance</v>
      </c>
      <c r="C135" s="1" t="str">
        <v>Early Exit Tracking</v>
      </c>
      <c r="D135" s="1" t="str">
        <v>Early Exit checkbox can be marked</v>
      </c>
      <c r="E135" s="1" t="str">
        <v>High</v>
      </c>
      <c r="F135" s="1" t="str">
        <v>Not Run</v>
      </c>
      <c r="G135" s="1" t="str">
        <v>Not Run</v>
      </c>
      <c r="H135" s="1" t="str">
        <v>Not Run</v>
      </c>
      <c r="I135" s="1" t="str">
        <v>Not Run</v>
      </c>
      <c r="J135" s="1" t="str">
        <v>Not Run</v>
      </c>
      <c r="K135" s="1" t="str">
        <v>Not Run</v>
      </c>
      <c r="L135" s="1">
        <f>COUNTA(F135:K135)</f>
        <v>6</v>
      </c>
      <c r="M135" s="1">
        <f>COUNTIF(F135:K135,"Pass")</f>
        <v>0</v>
      </c>
      <c r="N135" s="1">
        <f>COUNTIF(F135:K135,"Fail")</f>
        <v>0</v>
      </c>
      <c r="O135" s="1" t="str">
        <f>IF(M135=0,"-",M135/L135)</f>
        <v>-</v>
      </c>
    </row>
    <row r="136">
      <c r="A136" s="1" t="str">
        <v>ATT-035</v>
      </c>
      <c r="B136" s="1" t="str">
        <v>Attendance</v>
      </c>
      <c r="C136" s="1" t="str">
        <v>Early Exit Tracking</v>
      </c>
      <c r="D136" s="1" t="str">
        <v>Early Exit is checked when employee leaves before scheduled time</v>
      </c>
      <c r="E136" s="1" t="str">
        <v>High</v>
      </c>
      <c r="F136" s="1" t="str">
        <v>Not Run</v>
      </c>
      <c r="G136" s="1" t="str">
        <v>Not Run</v>
      </c>
      <c r="H136" s="1" t="str">
        <v>Not Run</v>
      </c>
      <c r="I136" s="1" t="str">
        <v>Not Run</v>
      </c>
      <c r="J136" s="1" t="str">
        <v>Not Run</v>
      </c>
      <c r="K136" s="1" t="str">
        <v>Not Run</v>
      </c>
      <c r="L136" s="1">
        <f>COUNTA(F136:K136)</f>
        <v>6</v>
      </c>
      <c r="M136" s="1">
        <f>COUNTIF(F136:K136,"Pass")</f>
        <v>0</v>
      </c>
      <c r="N136" s="1">
        <f>COUNTIF(F136:K136,"Fail")</f>
        <v>0</v>
      </c>
      <c r="O136" s="1" t="str">
        <f>IF(M136=0,"-",M136/L136)</f>
        <v>-</v>
      </c>
    </row>
    <row r="137">
      <c r="A137" s="1" t="str">
        <v>ATT-036</v>
      </c>
      <c r="B137" s="1" t="str">
        <v>Attendance</v>
      </c>
      <c r="C137" s="1" t="str">
        <v>Early Exit Tracking</v>
      </c>
      <c r="D137" s="1" t="str">
        <v>Early Exit with Present status is valid</v>
      </c>
      <c r="E137" s="1" t="str">
        <v>Critical</v>
      </c>
      <c r="F137" s="1" t="str">
        <v>Not Run</v>
      </c>
      <c r="G137" s="1" t="str">
        <v>Not Run</v>
      </c>
      <c r="H137" s="1" t="str">
        <v>Not Run</v>
      </c>
      <c r="I137" s="1" t="str">
        <v>Not Run</v>
      </c>
      <c r="J137" s="1" t="str">
        <v>Not Run</v>
      </c>
      <c r="K137" s="1" t="str">
        <v>Not Run</v>
      </c>
      <c r="L137" s="1">
        <f>COUNTA(F137:K137)</f>
        <v>6</v>
      </c>
      <c r="M137" s="1">
        <f>COUNTIF(F137:K137,"Pass")</f>
        <v>0</v>
      </c>
      <c r="N137" s="1">
        <f>COUNTIF(F137:K137,"Fail")</f>
        <v>0</v>
      </c>
      <c r="O137" s="1" t="str">
        <f>IF(M137=0,"-",M137/L137)</f>
        <v>-</v>
      </c>
    </row>
    <row r="138">
      <c r="A138" s="1" t="str">
        <v>ATT-037</v>
      </c>
      <c r="B138" s="1" t="str">
        <v>Attendance</v>
      </c>
      <c r="C138" s="1" t="str">
        <v>Early Exit Tracking</v>
      </c>
      <c r="D138" s="1" t="str">
        <v>Early Exit with Absent status is invalid</v>
      </c>
      <c r="E138" s="1" t="str">
        <v>Critical</v>
      </c>
      <c r="F138" s="1" t="str">
        <v>Not Run</v>
      </c>
      <c r="G138" s="1" t="str">
        <v>Not Run</v>
      </c>
      <c r="H138" s="1" t="str">
        <v>Not Run</v>
      </c>
      <c r="I138" s="1" t="str">
        <v>Not Run</v>
      </c>
      <c r="J138" s="1" t="str">
        <v>Not Run</v>
      </c>
      <c r="K138" s="1" t="str">
        <v>Not Run</v>
      </c>
      <c r="L138" s="1">
        <f>COUNTA(F138:K138)</f>
        <v>6</v>
      </c>
      <c r="M138" s="1">
        <f>COUNTIF(F138:K138,"Pass")</f>
        <v>0</v>
      </c>
      <c r="N138" s="1">
        <f>COUNTIF(F138:K138,"Fail")</f>
        <v>0</v>
      </c>
      <c r="O138" s="1" t="str">
        <f>IF(M138=0,"-",M138/L138)</f>
        <v>-</v>
      </c>
    </row>
    <row r="139">
      <c r="A139" s="1" t="str">
        <v>ATT-038</v>
      </c>
      <c r="B139" s="1" t="str">
        <v>Attendance</v>
      </c>
      <c r="C139" s="1" t="str">
        <v>Early Exit Tracking</v>
      </c>
      <c r="D139" s="1" t="str">
        <v>Early Exit checkbox can be unchecked</v>
      </c>
      <c r="E139" s="1" t="str">
        <v>Medium</v>
      </c>
      <c r="F139" s="1" t="str">
        <v>Not Run</v>
      </c>
      <c r="G139" s="1" t="str">
        <v>Not Run</v>
      </c>
      <c r="H139" s="1" t="str">
        <v>Not Run</v>
      </c>
      <c r="I139" s="1" t="str">
        <v>Not Run</v>
      </c>
      <c r="J139" s="1" t="str">
        <v>Not Run</v>
      </c>
      <c r="K139" s="1" t="str">
        <v>Not Run</v>
      </c>
      <c r="L139" s="1">
        <f>COUNTA(F139:K139)</f>
        <v>6</v>
      </c>
      <c r="M139" s="1">
        <f>COUNTIF(F139:K139,"Pass")</f>
        <v>0</v>
      </c>
      <c r="N139" s="1">
        <f>COUNTIF(F139:K139,"Fail")</f>
        <v>0</v>
      </c>
      <c r="O139" s="1" t="str">
        <f>IF(M139=0,"-",M139/L139)</f>
        <v>-</v>
      </c>
    </row>
    <row r="140">
      <c r="A140" s="1" t="str">
        <v>ATT-039</v>
      </c>
      <c r="B140" s="1" t="str">
        <v>Attendance</v>
      </c>
      <c r="C140" s="1" t="str">
        <v>Late Entry &amp; Early Exit Combination</v>
      </c>
      <c r="D140" s="1" t="str">
        <v>Both Late Entry and Early Exit can be checked together</v>
      </c>
      <c r="E140" s="1" t="str">
        <v>High</v>
      </c>
      <c r="F140" s="1" t="str">
        <v>Not Run</v>
      </c>
      <c r="G140" s="1" t="str">
        <v>Not Run</v>
      </c>
      <c r="H140" s="1" t="str">
        <v>Not Run</v>
      </c>
      <c r="I140" s="1" t="str">
        <v>Not Run</v>
      </c>
      <c r="J140" s="1" t="str">
        <v>Not Run</v>
      </c>
      <c r="K140" s="1" t="str">
        <v>Not Run</v>
      </c>
      <c r="L140" s="1">
        <f>COUNTA(F140:K140)</f>
        <v>6</v>
      </c>
      <c r="M140" s="1">
        <f>COUNTIF(F140:K140,"Pass")</f>
        <v>0</v>
      </c>
      <c r="N140" s="1">
        <f>COUNTIF(F140:K140,"Fail")</f>
        <v>0</v>
      </c>
      <c r="O140" s="1" t="str">
        <f>IF(M140=0,"-",M140/L140)</f>
        <v>-</v>
      </c>
    </row>
    <row r="141">
      <c r="A141" s="1" t="str">
        <v>ATT-040</v>
      </c>
      <c r="B141" s="1" t="str">
        <v>Attendance</v>
      </c>
      <c r="C141" s="1" t="str">
        <v>Late Entry &amp; Early Exit Combination</v>
      </c>
      <c r="D141" s="1" t="str">
        <v>Both Late Entry and Early Exit cannot be checked with Absent status</v>
      </c>
      <c r="E141" s="1" t="str">
        <v>Critical</v>
      </c>
      <c r="F141" s="1" t="str">
        <v>Not Run</v>
      </c>
      <c r="G141" s="1" t="str">
        <v>Not Run</v>
      </c>
      <c r="H141" s="1" t="str">
        <v>Not Run</v>
      </c>
      <c r="I141" s="1" t="str">
        <v>Not Run</v>
      </c>
      <c r="J141" s="1" t="str">
        <v>Not Run</v>
      </c>
      <c r="K141" s="1" t="str">
        <v>Not Run</v>
      </c>
      <c r="L141" s="1">
        <f>COUNTA(F141:K141)</f>
        <v>6</v>
      </c>
      <c r="M141" s="1">
        <f>COUNTIF(F141:K141,"Pass")</f>
        <v>0</v>
      </c>
      <c r="N141" s="1">
        <f>COUNTIF(F141:K141,"Fail")</f>
        <v>0</v>
      </c>
      <c r="O141" s="1" t="str">
        <f>IF(M141=0,"-",M141/L141)</f>
        <v>-</v>
      </c>
    </row>
    <row r="142">
      <c r="A142" s="1" t="str">
        <v>ATT-041</v>
      </c>
      <c r="B142" s="1" t="str">
        <v>Attendance</v>
      </c>
      <c r="C142" s="1" t="str">
        <v>Data Validation</v>
      </c>
      <c r="D142" s="1" t="str">
        <v>Attendance cannot be saved without Employee</v>
      </c>
      <c r="E142" s="1" t="str">
        <v>Critical</v>
      </c>
      <c r="F142" s="1" t="str">
        <v>Not Run</v>
      </c>
      <c r="G142" s="1" t="str">
        <v>Not Run</v>
      </c>
      <c r="H142" s="1" t="str">
        <v>Not Run</v>
      </c>
      <c r="I142" s="1" t="str">
        <v>Not Run</v>
      </c>
      <c r="J142" s="1" t="str">
        <v>Not Run</v>
      </c>
      <c r="K142" s="1" t="str">
        <v>Not Run</v>
      </c>
      <c r="L142" s="1">
        <f>COUNTA(F142:K142)</f>
        <v>6</v>
      </c>
      <c r="M142" s="1">
        <f>COUNTIF(F142:K142,"Pass")</f>
        <v>0</v>
      </c>
      <c r="N142" s="1">
        <f>COUNTIF(F142:K142,"Fail")</f>
        <v>0</v>
      </c>
      <c r="O142" s="1" t="str">
        <f>IF(M142=0,"-",M142/L142)</f>
        <v>-</v>
      </c>
    </row>
    <row r="143">
      <c r="A143" s="1" t="str">
        <v>ATT-042</v>
      </c>
      <c r="B143" s="1" t="str">
        <v>Attendance</v>
      </c>
      <c r="C143" s="1" t="str">
        <v>Data Validation</v>
      </c>
      <c r="D143" s="1" t="str">
        <v>Attendance cannot be saved without Status</v>
      </c>
      <c r="E143" s="1" t="str">
        <v>Critical</v>
      </c>
      <c r="F143" s="1" t="str">
        <v>Not Run</v>
      </c>
      <c r="G143" s="1" t="str">
        <v>Not Run</v>
      </c>
      <c r="H143" s="1" t="str">
        <v>Not Run</v>
      </c>
      <c r="I143" s="1" t="str">
        <v>Not Run</v>
      </c>
      <c r="J143" s="1" t="str">
        <v>Not Run</v>
      </c>
      <c r="K143" s="1" t="str">
        <v>Not Run</v>
      </c>
      <c r="L143" s="1">
        <f>COUNTA(F143:K143)</f>
        <v>6</v>
      </c>
      <c r="M143" s="1">
        <f>COUNTIF(F143:K143,"Pass")</f>
        <v>0</v>
      </c>
      <c r="N143" s="1">
        <f>COUNTIF(F143:K143,"Fail")</f>
        <v>0</v>
      </c>
      <c r="O143" s="1" t="str">
        <f>IF(M143=0,"-",M143/L143)</f>
        <v>-</v>
      </c>
    </row>
    <row r="144">
      <c r="A144" s="1" t="str">
        <v>ATT-043</v>
      </c>
      <c r="B144" s="1" t="str">
        <v>Attendance</v>
      </c>
      <c r="C144" s="1" t="str">
        <v>Data Validation</v>
      </c>
      <c r="D144" s="1" t="str">
        <v>Attendance cannot be saved without Attendance Date</v>
      </c>
      <c r="E144" s="1" t="str">
        <v>Critical</v>
      </c>
      <c r="F144" s="1" t="str">
        <v>Not Run</v>
      </c>
      <c r="G144" s="1" t="str">
        <v>Not Run</v>
      </c>
      <c r="H144" s="1" t="str">
        <v>Not Run</v>
      </c>
      <c r="I144" s="1" t="str">
        <v>Not Run</v>
      </c>
      <c r="J144" s="1" t="str">
        <v>Not Run</v>
      </c>
      <c r="K144" s="1" t="str">
        <v>Not Run</v>
      </c>
      <c r="L144" s="1">
        <f>COUNTA(F144:K144)</f>
        <v>6</v>
      </c>
      <c r="M144" s="1">
        <f>COUNTIF(F144:K144,"Pass")</f>
        <v>0</v>
      </c>
      <c r="N144" s="1">
        <f>COUNTIF(F144:K144,"Fail")</f>
        <v>0</v>
      </c>
      <c r="O144" s="1" t="str">
        <f>IF(M144=0,"-",M144/L144)</f>
        <v>-</v>
      </c>
    </row>
    <row r="145">
      <c r="A145" s="1" t="str">
        <v>ATT-044</v>
      </c>
      <c r="B145" s="1" t="str">
        <v>Attendance</v>
      </c>
      <c r="C145" s="1" t="str">
        <v>Editing &amp; Updates</v>
      </c>
      <c r="D145" s="1" t="str">
        <v>Edit existing Attendance Status</v>
      </c>
      <c r="E145" s="1" t="str">
        <v>High</v>
      </c>
      <c r="F145" s="1" t="str">
        <v>Not Run</v>
      </c>
      <c r="G145" s="1" t="str">
        <v>Not Run</v>
      </c>
      <c r="H145" s="1" t="str">
        <v>Not Run</v>
      </c>
      <c r="I145" s="1" t="str">
        <v>Not Run</v>
      </c>
      <c r="J145" s="1" t="str">
        <v>Not Run</v>
      </c>
      <c r="K145" s="1" t="str">
        <v>Not Run</v>
      </c>
      <c r="L145" s="1">
        <f>COUNTA(F145:K145)</f>
        <v>6</v>
      </c>
      <c r="M145" s="1">
        <f>COUNTIF(F145:K145,"Pass")</f>
        <v>0</v>
      </c>
      <c r="N145" s="1">
        <f>COUNTIF(F145:K145,"Fail")</f>
        <v>0</v>
      </c>
      <c r="O145" s="1" t="str">
        <f>IF(M145=0,"-",M145/L145)</f>
        <v>-</v>
      </c>
    </row>
    <row r="146">
      <c r="A146" s="1" t="str">
        <v>ATT-045</v>
      </c>
      <c r="B146" s="1" t="str">
        <v>Attendance</v>
      </c>
      <c r="C146" s="1" t="str">
        <v>Editing &amp; Updates</v>
      </c>
      <c r="D146" s="1" t="str">
        <v>Edit Employee in existing Attendance</v>
      </c>
      <c r="E146" s="1" t="str">
        <v>High</v>
      </c>
      <c r="F146" s="1" t="str">
        <v>Not Run</v>
      </c>
      <c r="G146" s="1" t="str">
        <v>Not Run</v>
      </c>
      <c r="H146" s="1" t="str">
        <v>Not Run</v>
      </c>
      <c r="I146" s="1" t="str">
        <v>Not Run</v>
      </c>
      <c r="J146" s="1" t="str">
        <v>Not Run</v>
      </c>
      <c r="K146" s="1" t="str">
        <v>Not Run</v>
      </c>
      <c r="L146" s="1">
        <f>COUNTA(F146:K146)</f>
        <v>6</v>
      </c>
      <c r="M146" s="1">
        <f>COUNTIF(F146:K146,"Pass")</f>
        <v>0</v>
      </c>
      <c r="N146" s="1">
        <f>COUNTIF(F146:K146,"Fail")</f>
        <v>0</v>
      </c>
      <c r="O146" s="1" t="str">
        <f>IF(M146=0,"-",M146/L146)</f>
        <v>-</v>
      </c>
    </row>
    <row r="147">
      <c r="A147" s="1" t="str">
        <v>ATT-046</v>
      </c>
      <c r="B147" s="1" t="str">
        <v>Attendance</v>
      </c>
      <c r="C147" s="1" t="str">
        <v>Editing &amp; Updates</v>
      </c>
      <c r="D147" s="1" t="str">
        <v>Edit Attendance Date</v>
      </c>
      <c r="E147" s="1" t="str">
        <v>High</v>
      </c>
      <c r="F147" s="1" t="str">
        <v>Not Run</v>
      </c>
      <c r="G147" s="1" t="str">
        <v>Not Run</v>
      </c>
      <c r="H147" s="1" t="str">
        <v>Not Run</v>
      </c>
      <c r="I147" s="1" t="str">
        <v>Not Run</v>
      </c>
      <c r="J147" s="1" t="str">
        <v>Not Run</v>
      </c>
      <c r="K147" s="1" t="str">
        <v>Not Run</v>
      </c>
      <c r="L147" s="1">
        <f>COUNTA(F147:K147)</f>
        <v>6</v>
      </c>
      <c r="M147" s="1">
        <f>COUNTIF(F147:K147,"Pass")</f>
        <v>0</v>
      </c>
      <c r="N147" s="1">
        <f>COUNTIF(F147:K147,"Fail")</f>
        <v>0</v>
      </c>
      <c r="O147" s="1" t="str">
        <f>IF(M147=0,"-",M147/L147)</f>
        <v>-</v>
      </c>
    </row>
    <row r="148">
      <c r="A148" s="1" t="str">
        <v>ATT-047</v>
      </c>
      <c r="B148" s="1" t="str">
        <v>Attendance</v>
      </c>
      <c r="C148" s="1" t="str">
        <v>Editing &amp; Updates</v>
      </c>
      <c r="D148" s="1" t="str">
        <v>Edit Shift details</v>
      </c>
      <c r="E148" s="1" t="str">
        <v>Medium</v>
      </c>
      <c r="F148" s="1" t="str">
        <v>Not Run</v>
      </c>
      <c r="G148" s="1" t="str">
        <v>Not Run</v>
      </c>
      <c r="H148" s="1" t="str">
        <v>Not Run</v>
      </c>
      <c r="I148" s="1" t="str">
        <v>Not Run</v>
      </c>
      <c r="J148" s="1" t="str">
        <v>Not Run</v>
      </c>
      <c r="K148" s="1" t="str">
        <v>Not Run</v>
      </c>
      <c r="L148" s="1">
        <f>COUNTA(F148:K148)</f>
        <v>6</v>
      </c>
      <c r="M148" s="1">
        <f>COUNTIF(F148:K148,"Pass")</f>
        <v>0</v>
      </c>
      <c r="N148" s="1">
        <f>COUNTIF(F148:K148,"Fail")</f>
        <v>0</v>
      </c>
      <c r="O148" s="1" t="str">
        <f>IF(M148=0,"-",M148/L148)</f>
        <v>-</v>
      </c>
    </row>
    <row r="149">
      <c r="A149" s="1" t="str">
        <v>ATT-048</v>
      </c>
      <c r="B149" s="1" t="str">
        <v>Attendance</v>
      </c>
      <c r="C149" s="1" t="str">
        <v>Editing &amp; Updates</v>
      </c>
      <c r="D149" s="1" t="str">
        <v>Toggle Late Entry checkbox</v>
      </c>
      <c r="E149" s="1" t="str">
        <v>Medium</v>
      </c>
      <c r="F149" s="1" t="str">
        <v>Not Run</v>
      </c>
      <c r="G149" s="1" t="str">
        <v>Not Run</v>
      </c>
      <c r="H149" s="1" t="str">
        <v>Not Run</v>
      </c>
      <c r="I149" s="1" t="str">
        <v>Not Run</v>
      </c>
      <c r="J149" s="1" t="str">
        <v>Not Run</v>
      </c>
      <c r="K149" s="1" t="str">
        <v>Not Run</v>
      </c>
      <c r="L149" s="1">
        <f>COUNTA(F149:K149)</f>
        <v>6</v>
      </c>
      <c r="M149" s="1">
        <f>COUNTIF(F149:K149,"Pass")</f>
        <v>0</v>
      </c>
      <c r="N149" s="1">
        <f>COUNTIF(F149:K149,"Fail")</f>
        <v>0</v>
      </c>
      <c r="O149" s="1" t="str">
        <f>IF(M149=0,"-",M149/L149)</f>
        <v>-</v>
      </c>
    </row>
    <row r="150">
      <c r="A150" s="1" t="str">
        <v>ATT-049</v>
      </c>
      <c r="B150" s="1" t="str">
        <v>Attendance</v>
      </c>
      <c r="C150" s="1" t="str">
        <v>Editing &amp; Updates</v>
      </c>
      <c r="D150" s="1" t="str">
        <v>Toggle Early Exit checkbox</v>
      </c>
      <c r="E150" s="1" t="str">
        <v>Medium</v>
      </c>
      <c r="F150" s="1" t="str">
        <v>Not Run</v>
      </c>
      <c r="G150" s="1" t="str">
        <v>Not Run</v>
      </c>
      <c r="H150" s="1" t="str">
        <v>Not Run</v>
      </c>
      <c r="I150" s="1" t="str">
        <v>Not Run</v>
      </c>
      <c r="J150" s="1" t="str">
        <v>Not Run</v>
      </c>
      <c r="K150" s="1" t="str">
        <v>Not Run</v>
      </c>
      <c r="L150" s="1">
        <f>COUNTA(F150:K150)</f>
        <v>6</v>
      </c>
      <c r="M150" s="1">
        <f>COUNTIF(F150:K150,"Pass")</f>
        <v>0</v>
      </c>
      <c r="N150" s="1">
        <f>COUNTIF(F150:K150,"Fail")</f>
        <v>0</v>
      </c>
      <c r="O150" s="1" t="str">
        <f>IF(M150=0,"-",M150/L150)</f>
        <v>-</v>
      </c>
    </row>
    <row r="151">
      <c r="A151" s="1" t="str">
        <v>ATT-050</v>
      </c>
      <c r="B151" s="1" t="str">
        <v>Attendance</v>
      </c>
      <c r="C151" s="1" t="str">
        <v>Form Actions</v>
      </c>
      <c r="D151" s="1" t="str">
        <v>Save Attendance successfully</v>
      </c>
      <c r="E151" s="1" t="str">
        <v>Critical</v>
      </c>
      <c r="F151" s="1" t="str">
        <v>Not Run</v>
      </c>
      <c r="G151" s="1" t="str">
        <v>Not Run</v>
      </c>
      <c r="H151" s="1" t="str">
        <v>Not Run</v>
      </c>
      <c r="I151" s="1" t="str">
        <v>Not Run</v>
      </c>
      <c r="J151" s="1" t="str">
        <v>Not Run</v>
      </c>
      <c r="K151" s="1" t="str">
        <v>Not Run</v>
      </c>
      <c r="L151" s="1">
        <f>COUNTA(F151:K151)</f>
        <v>6</v>
      </c>
      <c r="M151" s="1">
        <f>COUNTIF(F151:K151,"Pass")</f>
        <v>0</v>
      </c>
      <c r="N151" s="1">
        <f>COUNTIF(F151:K151,"Fail")</f>
        <v>0</v>
      </c>
      <c r="O151" s="1" t="str">
        <f>IF(M151=0,"-",M151/L151)</f>
        <v>-</v>
      </c>
    </row>
    <row r="152">
      <c r="A152" s="1" t="str">
        <v>ATT-051</v>
      </c>
      <c r="B152" s="1" t="str">
        <v>Attendance</v>
      </c>
      <c r="C152" s="1" t="str">
        <v>Form Actions</v>
      </c>
      <c r="D152" s="1" t="str">
        <v>Form shows "Not Saved" status before save</v>
      </c>
      <c r="E152" s="1" t="str">
        <v>Medium</v>
      </c>
      <c r="F152" s="1" t="str">
        <v>Not Run</v>
      </c>
      <c r="G152" s="1" t="str">
        <v>Not Run</v>
      </c>
      <c r="H152" s="1" t="str">
        <v>Not Run</v>
      </c>
      <c r="I152" s="1" t="str">
        <v>Not Run</v>
      </c>
      <c r="J152" s="1" t="str">
        <v>Not Run</v>
      </c>
      <c r="K152" s="1" t="str">
        <v>Not Run</v>
      </c>
      <c r="L152" s="1">
        <f>COUNTA(F152:K152)</f>
        <v>6</v>
      </c>
      <c r="M152" s="1">
        <f>COUNTIF(F152:K152,"Pass")</f>
        <v>0</v>
      </c>
      <c r="N152" s="1">
        <f>COUNTIF(F152:K152,"Fail")</f>
        <v>0</v>
      </c>
      <c r="O152" s="1" t="str">
        <f>IF(M152=0,"-",M152/L152)</f>
        <v>-</v>
      </c>
    </row>
    <row r="153">
      <c r="A153" s="1" t="str">
        <v>ATT-052</v>
      </c>
      <c r="B153" s="1" t="str">
        <v>Attendance</v>
      </c>
      <c r="C153" s="1" t="str">
        <v>Form Actions</v>
      </c>
      <c r="D153" s="1" t="str">
        <v>Form shows "Saved" status after successful save</v>
      </c>
      <c r="E153" s="1" t="str">
        <v>Medium</v>
      </c>
      <c r="F153" s="1" t="str">
        <v>Not Run</v>
      </c>
      <c r="G153" s="1" t="str">
        <v>Not Run</v>
      </c>
      <c r="H153" s="1" t="str">
        <v>Not Run</v>
      </c>
      <c r="I153" s="1" t="str">
        <v>Not Run</v>
      </c>
      <c r="J153" s="1" t="str">
        <v>Not Run</v>
      </c>
      <c r="K153" s="1" t="str">
        <v>Not Run</v>
      </c>
      <c r="L153" s="1">
        <f>COUNTA(F153:K153)</f>
        <v>6</v>
      </c>
      <c r="M153" s="1">
        <f>COUNTIF(F153:K153,"Pass")</f>
        <v>0</v>
      </c>
      <c r="N153" s="1">
        <f>COUNTIF(F153:K153,"Fail")</f>
        <v>0</v>
      </c>
      <c r="O153" s="1" t="str">
        <f>IF(M153=0,"-",M153/L153)</f>
        <v>-</v>
      </c>
    </row>
    <row r="154">
      <c r="A154" s="1" t="str">
        <v>▌ Expense Claim</v>
      </c>
    </row>
    <row r="155">
      <c r="A155" s="1" t="str">
        <v>EXP-001</v>
      </c>
      <c r="B155" s="1" t="str">
        <v>Expense Claim</v>
      </c>
      <c r="C155" s="1" t="str">
        <v>Expense Claim Creation &amp; Basic Details</v>
      </c>
      <c r="D155" s="1" t="str">
        <v>Create Expense Claim with mandatory fields only (From Employee, Expense Approver)</v>
      </c>
      <c r="E155" s="1" t="str">
        <v>Critical</v>
      </c>
      <c r="F155" s="1" t="str">
        <v>Not Run</v>
      </c>
      <c r="G155" s="1" t="str">
        <v>Not Run</v>
      </c>
      <c r="H155" s="1" t="str">
        <v>Not Run</v>
      </c>
      <c r="I155" s="1" t="str">
        <v>Not Run</v>
      </c>
      <c r="J155" s="1" t="str">
        <v>Not Run</v>
      </c>
      <c r="K155" s="1" t="str">
        <v>Not Run</v>
      </c>
      <c r="L155" s="1">
        <f>COUNTA(F155:K155)</f>
        <v>6</v>
      </c>
      <c r="M155" s="1">
        <f>COUNTIF(F155:K155,"Pass")</f>
        <v>0</v>
      </c>
      <c r="N155" s="1">
        <f>COUNTIF(F155:K155,"Fail")</f>
        <v>0</v>
      </c>
      <c r="O155" s="1" t="str">
        <f>IF(M155=0,"-",M155/L155)</f>
        <v>-</v>
      </c>
    </row>
    <row r="156">
      <c r="A156" s="1" t="str">
        <v>EXP-002</v>
      </c>
      <c r="B156" s="1" t="str">
        <v>Expense Claim</v>
      </c>
      <c r="C156" s="1" t="str">
        <v>Expense Claim Creation &amp; Basic Details</v>
      </c>
      <c r="D156" s="1" t="str">
        <v>Create Expense Claim with all basic fields (Employee, Department, Company, Approver)</v>
      </c>
      <c r="E156" s="1" t="str">
        <v>Critical</v>
      </c>
      <c r="F156" s="1" t="str">
        <v>Not Run</v>
      </c>
      <c r="G156" s="1" t="str">
        <v>Not Run</v>
      </c>
      <c r="H156" s="1" t="str">
        <v>Not Run</v>
      </c>
      <c r="I156" s="1" t="str">
        <v>Not Run</v>
      </c>
      <c r="J156" s="1" t="str">
        <v>Not Run</v>
      </c>
      <c r="K156" s="1" t="str">
        <v>Not Run</v>
      </c>
      <c r="L156" s="1">
        <f>COUNTA(F156:K156)</f>
        <v>6</v>
      </c>
      <c r="M156" s="1">
        <f>COUNTIF(F156:K156,"Pass")</f>
        <v>0</v>
      </c>
      <c r="N156" s="1">
        <f>COUNTIF(F156:K156,"Fail")</f>
        <v>0</v>
      </c>
      <c r="O156" s="1" t="str">
        <f>IF(M156=0,"-",M156/L156)</f>
        <v>-</v>
      </c>
    </row>
    <row r="157">
      <c r="A157" s="1" t="str">
        <v>EXP-003</v>
      </c>
      <c r="B157" s="1" t="str">
        <v>Expense Claim</v>
      </c>
      <c r="C157" s="1" t="str">
        <v>Series &amp; Auto-generation</v>
      </c>
      <c r="D157" s="1" t="str">
        <v>Series field is auto-generated in format HR-EXP-.YYYY.-</v>
      </c>
      <c r="E157" s="1" t="str">
        <v>Critical</v>
      </c>
      <c r="F157" s="1" t="str">
        <v>Not Run</v>
      </c>
      <c r="G157" s="1" t="str">
        <v>Not Run</v>
      </c>
      <c r="H157" s="1" t="str">
        <v>Not Run</v>
      </c>
      <c r="I157" s="1" t="str">
        <v>Not Run</v>
      </c>
      <c r="J157" s="1" t="str">
        <v>Not Run</v>
      </c>
      <c r="K157" s="1" t="str">
        <v>Not Run</v>
      </c>
      <c r="L157" s="1">
        <f>COUNTA(F157:K157)</f>
        <v>6</v>
      </c>
      <c r="M157" s="1">
        <f>COUNTIF(F157:K157,"Pass")</f>
        <v>0</v>
      </c>
      <c r="N157" s="1">
        <f>COUNTIF(F157:K157,"Fail")</f>
        <v>0</v>
      </c>
      <c r="O157" s="1" t="str">
        <f>IF(M157=0,"-",M157/L157)</f>
        <v>-</v>
      </c>
    </row>
    <row r="158">
      <c r="A158" s="1" t="str">
        <v>EXP-004</v>
      </c>
      <c r="B158" s="1" t="str">
        <v>Expense Claim</v>
      </c>
      <c r="C158" s="1" t="str">
        <v>Series &amp; Auto-generation</v>
      </c>
      <c r="D158" s="1" t="str">
        <v>Series field cannot be manually edited</v>
      </c>
      <c r="E158" s="1" t="str">
        <v>High</v>
      </c>
      <c r="F158" s="1" t="str">
        <v>Not Run</v>
      </c>
      <c r="G158" s="1" t="str">
        <v>Not Run</v>
      </c>
      <c r="H158" s="1" t="str">
        <v>Not Run</v>
      </c>
      <c r="I158" s="1" t="str">
        <v>Not Run</v>
      </c>
      <c r="J158" s="1" t="str">
        <v>Not Run</v>
      </c>
      <c r="K158" s="1" t="str">
        <v>Not Run</v>
      </c>
      <c r="L158" s="1">
        <f>COUNTA(F158:K158)</f>
        <v>6</v>
      </c>
      <c r="M158" s="1">
        <f>COUNTIF(F158:K158,"Pass")</f>
        <v>0</v>
      </c>
      <c r="N158" s="1">
        <f>COUNTIF(F158:K158,"Fail")</f>
        <v>0</v>
      </c>
      <c r="O158" s="1" t="str">
        <f>IF(M158=0,"-",M158/L158)</f>
        <v>-</v>
      </c>
    </row>
    <row r="159">
      <c r="A159" s="1" t="str">
        <v>EXP-005</v>
      </c>
      <c r="B159" s="1" t="str">
        <v>Expense Claim</v>
      </c>
      <c r="C159" s="1" t="str">
        <v>Series &amp; Auto-generation</v>
      </c>
      <c r="D159" s="1" t="str">
        <v>Unique Series is generated for each expense claim record</v>
      </c>
      <c r="E159" s="1" t="str">
        <v>Critical</v>
      </c>
      <c r="F159" s="1" t="str">
        <v>Not Run</v>
      </c>
      <c r="G159" s="1" t="str">
        <v>Not Run</v>
      </c>
      <c r="H159" s="1" t="str">
        <v>Not Run</v>
      </c>
      <c r="I159" s="1" t="str">
        <v>Not Run</v>
      </c>
      <c r="J159" s="1" t="str">
        <v>Not Run</v>
      </c>
      <c r="K159" s="1" t="str">
        <v>Not Run</v>
      </c>
      <c r="L159" s="1">
        <f>COUNTA(F159:K159)</f>
        <v>6</v>
      </c>
      <c r="M159" s="1">
        <f>COUNTIF(F159:K159,"Pass")</f>
        <v>0</v>
      </c>
      <c r="N159" s="1">
        <f>COUNTIF(F159:K159,"Fail")</f>
        <v>0</v>
      </c>
      <c r="O159" s="1" t="str">
        <f>IF(M159=0,"-",M159/L159)</f>
        <v>-</v>
      </c>
    </row>
    <row r="160">
      <c r="A160" s="1" t="str">
        <v>EXP-006</v>
      </c>
      <c r="B160" s="1" t="str">
        <v>Expense Claim</v>
      </c>
      <c r="C160" s="1" t="str">
        <v>Employee Selection</v>
      </c>
      <c r="D160" s="1" t="str">
        <v>Valid employee can be selected in From Employee field</v>
      </c>
      <c r="E160" s="1" t="str">
        <v>Critical</v>
      </c>
      <c r="F160" s="1" t="str">
        <v>Not Run</v>
      </c>
      <c r="G160" s="1" t="str">
        <v>Not Run</v>
      </c>
      <c r="H160" s="1" t="str">
        <v>Not Run</v>
      </c>
      <c r="I160" s="1" t="str">
        <v>Not Run</v>
      </c>
      <c r="J160" s="1" t="str">
        <v>Not Run</v>
      </c>
      <c r="K160" s="1" t="str">
        <v>Not Run</v>
      </c>
      <c r="L160" s="1">
        <f>COUNTA(F160:K160)</f>
        <v>6</v>
      </c>
      <c r="M160" s="1">
        <f>COUNTIF(F160:K160,"Pass")</f>
        <v>0</v>
      </c>
      <c r="N160" s="1">
        <f>COUNTIF(F160:K160,"Fail")</f>
        <v>0</v>
      </c>
      <c r="O160" s="1" t="str">
        <f>IF(M160=0,"-",M160/L160)</f>
        <v>-</v>
      </c>
    </row>
    <row r="161">
      <c r="A161" s="1" t="str">
        <v>EXP-007</v>
      </c>
      <c r="B161" s="1" t="str">
        <v>Expense Claim</v>
      </c>
      <c r="C161" s="1" t="str">
        <v>Employee Selection</v>
      </c>
      <c r="D161" s="1" t="str">
        <v>Invalid/non-existent employee is rejected</v>
      </c>
      <c r="E161" s="1" t="str">
        <v>Critical</v>
      </c>
      <c r="F161" s="1" t="str">
        <v>Not Run</v>
      </c>
      <c r="G161" s="1" t="str">
        <v>Not Run</v>
      </c>
      <c r="H161" s="1" t="str">
        <v>Not Run</v>
      </c>
      <c r="I161" s="1" t="str">
        <v>Not Run</v>
      </c>
      <c r="J161" s="1" t="str">
        <v>Not Run</v>
      </c>
      <c r="K161" s="1" t="str">
        <v>Not Run</v>
      </c>
      <c r="L161" s="1">
        <f>COUNTA(F161:K161)</f>
        <v>6</v>
      </c>
      <c r="M161" s="1">
        <f>COUNTIF(F161:K161,"Pass")</f>
        <v>0</v>
      </c>
      <c r="N161" s="1">
        <f>COUNTIF(F161:K161,"Fail")</f>
        <v>0</v>
      </c>
      <c r="O161" s="1" t="str">
        <f>IF(M161=0,"-",M161/L161)</f>
        <v>-</v>
      </c>
    </row>
    <row r="162">
      <c r="A162" s="1" t="str">
        <v>EXP-008</v>
      </c>
      <c r="B162" s="1" t="str">
        <v>Expense Claim</v>
      </c>
      <c r="C162" s="1" t="str">
        <v>Employee Selection</v>
      </c>
      <c r="D162" s="1" t="str">
        <v>From Employee field is mandatory and cannot be left blank</v>
      </c>
      <c r="E162" s="1" t="str">
        <v>Critical</v>
      </c>
      <c r="F162" s="1" t="str">
        <v>Not Run</v>
      </c>
      <c r="G162" s="1" t="str">
        <v>Not Run</v>
      </c>
      <c r="H162" s="1" t="str">
        <v>Not Run</v>
      </c>
      <c r="I162" s="1" t="str">
        <v>Not Run</v>
      </c>
      <c r="J162" s="1" t="str">
        <v>Not Run</v>
      </c>
      <c r="K162" s="1" t="str">
        <v>Not Run</v>
      </c>
      <c r="L162" s="1">
        <f>COUNTA(F162:K162)</f>
        <v>6</v>
      </c>
      <c r="M162" s="1">
        <f>COUNTIF(F162:K162,"Pass")</f>
        <v>0</v>
      </c>
      <c r="N162" s="1">
        <f>COUNTIF(F162:K162,"Fail")</f>
        <v>0</v>
      </c>
      <c r="O162" s="1" t="str">
        <f>IF(M162=0,"-",M162/L162)</f>
        <v>-</v>
      </c>
    </row>
    <row r="163">
      <c r="A163" s="1" t="str">
        <v>EXP-009</v>
      </c>
      <c r="B163" s="1" t="str">
        <v>Expense Claim</v>
      </c>
      <c r="C163" s="1" t="str">
        <v>Employee Selection</v>
      </c>
      <c r="D163" s="1" t="str">
        <v>Department auto-populates based on selected employee</v>
      </c>
      <c r="E163" s="1" t="str">
        <v>High</v>
      </c>
      <c r="F163" s="1" t="str">
        <v>Not Run</v>
      </c>
      <c r="G163" s="1" t="str">
        <v>Not Run</v>
      </c>
      <c r="H163" s="1" t="str">
        <v>Not Run</v>
      </c>
      <c r="I163" s="1" t="str">
        <v>Not Run</v>
      </c>
      <c r="J163" s="1" t="str">
        <v>Not Run</v>
      </c>
      <c r="K163" s="1" t="str">
        <v>Not Run</v>
      </c>
      <c r="L163" s="1">
        <f>COUNTA(F163:K163)</f>
        <v>6</v>
      </c>
      <c r="M163" s="1">
        <f>COUNTIF(F163:K163,"Pass")</f>
        <v>0</v>
      </c>
      <c r="N163" s="1">
        <f>COUNTIF(F163:K163,"Fail")</f>
        <v>0</v>
      </c>
      <c r="O163" s="1" t="str">
        <f>IF(M163=0,"-",M163/L163)</f>
        <v>-</v>
      </c>
    </row>
    <row r="164">
      <c r="A164" s="1" t="str">
        <v>EXP-010</v>
      </c>
      <c r="B164" s="1" t="str">
        <v>Expense Claim</v>
      </c>
      <c r="C164" s="1" t="str">
        <v>Company Details</v>
      </c>
      <c r="D164" s="1" t="str">
        <v>Valid company is selected and displayed</v>
      </c>
      <c r="E164" s="1" t="str">
        <v>Critical</v>
      </c>
      <c r="F164" s="1" t="str">
        <v>Not Run</v>
      </c>
      <c r="G164" s="1" t="str">
        <v>Not Run</v>
      </c>
      <c r="H164" s="1" t="str">
        <v>Not Run</v>
      </c>
      <c r="I164" s="1" t="str">
        <v>Not Run</v>
      </c>
      <c r="J164" s="1" t="str">
        <v>Not Run</v>
      </c>
      <c r="K164" s="1" t="str">
        <v>Not Run</v>
      </c>
      <c r="L164" s="1">
        <f>COUNTA(F164:K164)</f>
        <v>6</v>
      </c>
      <c r="M164" s="1">
        <f>COUNTIF(F164:K164,"Pass")</f>
        <v>0</v>
      </c>
      <c r="N164" s="1">
        <f>COUNTIF(F164:K164,"Fail")</f>
        <v>0</v>
      </c>
      <c r="O164" s="1" t="str">
        <f>IF(M164=0,"-",M164/L164)</f>
        <v>-</v>
      </c>
    </row>
    <row r="165">
      <c r="A165" s="1" t="str">
        <v>EXP-011</v>
      </c>
      <c r="B165" s="1" t="str">
        <v>Expense Claim</v>
      </c>
      <c r="C165" s="1" t="str">
        <v>Company Details</v>
      </c>
      <c r="D165" s="1" t="str">
        <v>Company field is mandatory</v>
      </c>
      <c r="E165" s="1" t="str">
        <v>Critical</v>
      </c>
      <c r="F165" s="1" t="str">
        <v>Not Run</v>
      </c>
      <c r="G165" s="1" t="str">
        <v>Not Run</v>
      </c>
      <c r="H165" s="1" t="str">
        <v>Not Run</v>
      </c>
      <c r="I165" s="1" t="str">
        <v>Not Run</v>
      </c>
      <c r="J165" s="1" t="str">
        <v>Not Run</v>
      </c>
      <c r="K165" s="1" t="str">
        <v>Not Run</v>
      </c>
      <c r="L165" s="1">
        <f>COUNTA(F165:K165)</f>
        <v>6</v>
      </c>
      <c r="M165" s="1">
        <f>COUNTIF(F165:K165,"Pass")</f>
        <v>0</v>
      </c>
      <c r="N165" s="1">
        <f>COUNTIF(F165:K165,"Fail")</f>
        <v>0</v>
      </c>
      <c r="O165" s="1" t="str">
        <f>IF(M165=0,"-",M165/L165)</f>
        <v>-</v>
      </c>
    </row>
    <row r="166">
      <c r="A166" s="1" t="str">
        <v>EXP-012</v>
      </c>
      <c r="B166" s="1" t="str">
        <v>Expense Claim</v>
      </c>
      <c r="C166" s="1" t="str">
        <v>Company Details</v>
      </c>
      <c r="D166" s="1" t="str">
        <v>Company GSTIN is auto-populated based on selected company</v>
      </c>
      <c r="E166" s="1" t="str">
        <v>High</v>
      </c>
      <c r="F166" s="1" t="str">
        <v>Not Run</v>
      </c>
      <c r="G166" s="1" t="str">
        <v>Not Run</v>
      </c>
      <c r="H166" s="1" t="str">
        <v>Not Run</v>
      </c>
      <c r="I166" s="1" t="str">
        <v>Not Run</v>
      </c>
      <c r="J166" s="1" t="str">
        <v>Not Run</v>
      </c>
      <c r="K166" s="1" t="str">
        <v>Not Run</v>
      </c>
      <c r="L166" s="1">
        <f>COUNTA(F166:K166)</f>
        <v>6</v>
      </c>
      <c r="M166" s="1">
        <f>COUNTIF(F166:K166,"Pass")</f>
        <v>0</v>
      </c>
      <c r="N166" s="1">
        <f>COUNTIF(F166:K166,"Fail")</f>
        <v>0</v>
      </c>
      <c r="O166" s="1" t="str">
        <f>IF(M166=0,"-",M166/L166)</f>
        <v>-</v>
      </c>
    </row>
    <row r="167">
      <c r="A167" s="1" t="str">
        <v>EXP-013</v>
      </c>
      <c r="B167" s="1" t="str">
        <v>Expense Claim</v>
      </c>
      <c r="C167" s="1" t="str">
        <v>Company Details</v>
      </c>
      <c r="D167" s="1" t="str">
        <v>Company GSTIN field is read-only</v>
      </c>
      <c r="E167" s="1" t="str">
        <v>High</v>
      </c>
      <c r="F167" s="1" t="str">
        <v>Not Run</v>
      </c>
      <c r="G167" s="1" t="str">
        <v>Not Run</v>
      </c>
      <c r="H167" s="1" t="str">
        <v>Not Run</v>
      </c>
      <c r="I167" s="1" t="str">
        <v>Not Run</v>
      </c>
      <c r="J167" s="1" t="str">
        <v>Not Run</v>
      </c>
      <c r="K167" s="1" t="str">
        <v>Not Run</v>
      </c>
      <c r="L167" s="1">
        <f>COUNTA(F167:K167)</f>
        <v>6</v>
      </c>
      <c r="M167" s="1">
        <f>COUNTIF(F167:K167,"Pass")</f>
        <v>0</v>
      </c>
      <c r="N167" s="1">
        <f>COUNTIF(F167:K167,"Fail")</f>
        <v>0</v>
      </c>
      <c r="O167" s="1" t="str">
        <f>IF(M167=0,"-",M167/L167)</f>
        <v>-</v>
      </c>
    </row>
    <row r="168">
      <c r="A168" s="1" t="str">
        <v>EXP-014</v>
      </c>
      <c r="B168" s="1" t="str">
        <v>Expense Claim</v>
      </c>
      <c r="C168" s="1" t="str">
        <v>Expense Approver</v>
      </c>
      <c r="D168" s="1" t="str">
        <v>Valid expense approver can be selected</v>
      </c>
      <c r="E168" s="1" t="str">
        <v>Critical</v>
      </c>
      <c r="F168" s="1" t="str">
        <v>Not Run</v>
      </c>
      <c r="G168" s="1" t="str">
        <v>Not Run</v>
      </c>
      <c r="H168" s="1" t="str">
        <v>Not Run</v>
      </c>
      <c r="I168" s="1" t="str">
        <v>Not Run</v>
      </c>
      <c r="J168" s="1" t="str">
        <v>Not Run</v>
      </c>
      <c r="K168" s="1" t="str">
        <v>Not Run</v>
      </c>
      <c r="L168" s="1">
        <f>COUNTA(F168:K168)</f>
        <v>6</v>
      </c>
      <c r="M168" s="1">
        <f>COUNTIF(F168:K168,"Pass")</f>
        <v>0</v>
      </c>
      <c r="N168" s="1">
        <f>COUNTIF(F168:K168,"Fail")</f>
        <v>0</v>
      </c>
      <c r="O168" s="1" t="str">
        <f>IF(M168=0,"-",M168/L168)</f>
        <v>-</v>
      </c>
    </row>
    <row r="169">
      <c r="A169" s="1" t="str">
        <v>EXP-015</v>
      </c>
      <c r="B169" s="1" t="str">
        <v>Expense Claim</v>
      </c>
      <c r="C169" s="1" t="str">
        <v>Expense Approver</v>
      </c>
      <c r="D169" s="1" t="str">
        <v>Invalid approver is rejected</v>
      </c>
      <c r="E169" s="1" t="str">
        <v>Critical</v>
      </c>
      <c r="F169" s="1" t="str">
        <v>Not Run</v>
      </c>
      <c r="G169" s="1" t="str">
        <v>Not Run</v>
      </c>
      <c r="H169" s="1" t="str">
        <v>Not Run</v>
      </c>
      <c r="I169" s="1" t="str">
        <v>Not Run</v>
      </c>
      <c r="J169" s="1" t="str">
        <v>Not Run</v>
      </c>
      <c r="K169" s="1" t="str">
        <v>Not Run</v>
      </c>
      <c r="L169" s="1">
        <f>COUNTA(F169:K169)</f>
        <v>6</v>
      </c>
      <c r="M169" s="1">
        <f>COUNTIF(F169:K169,"Pass")</f>
        <v>0</v>
      </c>
      <c r="N169" s="1">
        <f>COUNTIF(F169:K169,"Fail")</f>
        <v>0</v>
      </c>
      <c r="O169" s="1" t="str">
        <f>IF(M169=0,"-",M169/L169)</f>
        <v>-</v>
      </c>
    </row>
    <row r="170">
      <c r="A170" s="1" t="str">
        <v>EXP-016</v>
      </c>
      <c r="B170" s="1" t="str">
        <v>Expense Claim</v>
      </c>
      <c r="C170" s="1" t="str">
        <v>Expense Approver</v>
      </c>
      <c r="D170" s="1" t="str">
        <v>Expense Approver field is mandatory</v>
      </c>
      <c r="E170" s="1" t="str">
        <v>Critical</v>
      </c>
      <c r="F170" s="1" t="str">
        <v>Not Run</v>
      </c>
      <c r="G170" s="1" t="str">
        <v>Not Run</v>
      </c>
      <c r="H170" s="1" t="str">
        <v>Not Run</v>
      </c>
      <c r="I170" s="1" t="str">
        <v>Not Run</v>
      </c>
      <c r="J170" s="1" t="str">
        <v>Not Run</v>
      </c>
      <c r="K170" s="1" t="str">
        <v>Not Run</v>
      </c>
      <c r="L170" s="1">
        <f>COUNTA(F170:K170)</f>
        <v>6</v>
      </c>
      <c r="M170" s="1">
        <f>COUNTIF(F170:K170,"Pass")</f>
        <v>0</v>
      </c>
      <c r="N170" s="1">
        <f>COUNTIF(F170:K170,"Fail")</f>
        <v>0</v>
      </c>
      <c r="O170" s="1" t="str">
        <f>IF(M170=0,"-",M170/L170)</f>
        <v>-</v>
      </c>
    </row>
    <row r="171">
      <c r="A171" s="1" t="str">
        <v>EXP-017</v>
      </c>
      <c r="B171" s="1" t="str">
        <v>Expense Claim</v>
      </c>
      <c r="C171" s="1" t="str">
        <v>Approval Status</v>
      </c>
      <c r="D171" s="1" t="str">
        <v>Approval Status defaults to Draft on creation</v>
      </c>
      <c r="E171" s="1" t="str">
        <v>Critical</v>
      </c>
      <c r="F171" s="1" t="str">
        <v>Not Run</v>
      </c>
      <c r="G171" s="1" t="str">
        <v>Not Run</v>
      </c>
      <c r="H171" s="1" t="str">
        <v>Not Run</v>
      </c>
      <c r="I171" s="1" t="str">
        <v>Not Run</v>
      </c>
      <c r="J171" s="1" t="str">
        <v>Not Run</v>
      </c>
      <c r="K171" s="1" t="str">
        <v>Not Run</v>
      </c>
      <c r="L171" s="1">
        <f>COUNTA(F171:K171)</f>
        <v>6</v>
      </c>
      <c r="M171" s="1">
        <f>COUNTIF(F171:K171,"Pass")</f>
        <v>0</v>
      </c>
      <c r="N171" s="1">
        <f>COUNTIF(F171:K171,"Fail")</f>
        <v>0</v>
      </c>
      <c r="O171" s="1" t="str">
        <f>IF(M171=0,"-",M171/L171)</f>
        <v>-</v>
      </c>
    </row>
    <row r="172">
      <c r="A172" s="1" t="str">
        <v>EXP-018</v>
      </c>
      <c r="B172" s="1" t="str">
        <v>Expense Claim</v>
      </c>
      <c r="C172" s="1" t="str">
        <v>Approval Status</v>
      </c>
      <c r="D172" s="1" t="str">
        <v>Approval Status can be changed to Approved</v>
      </c>
      <c r="E172" s="1" t="str">
        <v>Critical</v>
      </c>
      <c r="F172" s="1" t="str">
        <v>Not Run</v>
      </c>
      <c r="G172" s="1" t="str">
        <v>Not Run</v>
      </c>
      <c r="H172" s="1" t="str">
        <v>Not Run</v>
      </c>
      <c r="I172" s="1" t="str">
        <v>Not Run</v>
      </c>
      <c r="J172" s="1" t="str">
        <v>Not Run</v>
      </c>
      <c r="K172" s="1" t="str">
        <v>Not Run</v>
      </c>
      <c r="L172" s="1">
        <f>COUNTA(F172:K172)</f>
        <v>6</v>
      </c>
      <c r="M172" s="1">
        <f>COUNTIF(F172:K172,"Pass")</f>
        <v>0</v>
      </c>
      <c r="N172" s="1">
        <f>COUNTIF(F172:K172,"Fail")</f>
        <v>0</v>
      </c>
      <c r="O172" s="1" t="str">
        <f>IF(M172=0,"-",M172/L172)</f>
        <v>-</v>
      </c>
    </row>
    <row r="173">
      <c r="A173" s="1" t="str">
        <v>EXP-019</v>
      </c>
      <c r="B173" s="1" t="str">
        <v>Expense Claim</v>
      </c>
      <c r="C173" s="1" t="str">
        <v>Approval Status</v>
      </c>
      <c r="D173" s="1" t="str">
        <v>Approval Status can be changed to Rejected</v>
      </c>
      <c r="E173" s="1" t="str">
        <v>Critical</v>
      </c>
      <c r="F173" s="1" t="str">
        <v>Not Run</v>
      </c>
      <c r="G173" s="1" t="str">
        <v>Not Run</v>
      </c>
      <c r="H173" s="1" t="str">
        <v>Not Run</v>
      </c>
      <c r="I173" s="1" t="str">
        <v>Not Run</v>
      </c>
      <c r="J173" s="1" t="str">
        <v>Not Run</v>
      </c>
      <c r="K173" s="1" t="str">
        <v>Not Run</v>
      </c>
      <c r="L173" s="1">
        <f>COUNTA(F173:K173)</f>
        <v>6</v>
      </c>
      <c r="M173" s="1">
        <f>COUNTIF(F173:K173,"Pass")</f>
        <v>0</v>
      </c>
      <c r="N173" s="1">
        <f>COUNTIF(F173:K173,"Fail")</f>
        <v>0</v>
      </c>
      <c r="O173" s="1" t="str">
        <f>IF(M173=0,"-",M173/L173)</f>
        <v>-</v>
      </c>
    </row>
    <row r="174">
      <c r="A174" s="1" t="str">
        <v>EXP-020</v>
      </c>
      <c r="B174" s="1" t="str">
        <v>Expense Claim</v>
      </c>
      <c r="C174" s="1" t="str">
        <v>Approval Status</v>
      </c>
      <c r="D174" s="1" t="str">
        <v>Approval Status can be changed to Returned</v>
      </c>
      <c r="E174" s="1" t="str">
        <v>High</v>
      </c>
      <c r="F174" s="1" t="str">
        <v>Not Run</v>
      </c>
      <c r="G174" s="1" t="str">
        <v>Not Run</v>
      </c>
      <c r="H174" s="1" t="str">
        <v>Not Run</v>
      </c>
      <c r="I174" s="1" t="str">
        <v>Not Run</v>
      </c>
      <c r="J174" s="1" t="str">
        <v>Not Run</v>
      </c>
      <c r="K174" s="1" t="str">
        <v>Not Run</v>
      </c>
      <c r="L174" s="1">
        <f>COUNTA(F174:K174)</f>
        <v>6</v>
      </c>
      <c r="M174" s="1">
        <f>COUNTIF(F174:K174,"Pass")</f>
        <v>0</v>
      </c>
      <c r="N174" s="1">
        <f>COUNTIF(F174:K174,"Fail")</f>
        <v>0</v>
      </c>
      <c r="O174" s="1" t="str">
        <f>IF(M174=0,"-",M174/L174)</f>
        <v>-</v>
      </c>
    </row>
    <row r="175">
      <c r="A175" s="1" t="str">
        <v>EXP-021</v>
      </c>
      <c r="B175" s="1" t="str">
        <v>Expense Claim</v>
      </c>
      <c r="C175" s="1" t="str">
        <v>Expenses Table</v>
      </c>
      <c r="D175" s="1" t="str">
        <v>Add single expense row to claim</v>
      </c>
      <c r="E175" s="1" t="str">
        <v>Critical</v>
      </c>
      <c r="F175" s="1" t="str">
        <v>Not Run</v>
      </c>
      <c r="G175" s="1" t="str">
        <v>Not Run</v>
      </c>
      <c r="H175" s="1" t="str">
        <v>Not Run</v>
      </c>
      <c r="I175" s="1" t="str">
        <v>Not Run</v>
      </c>
      <c r="J175" s="1" t="str">
        <v>Not Run</v>
      </c>
      <c r="K175" s="1" t="str">
        <v>Not Run</v>
      </c>
      <c r="L175" s="1">
        <f>COUNTA(F175:K175)</f>
        <v>6</v>
      </c>
      <c r="M175" s="1">
        <f>COUNTIF(F175:K175,"Pass")</f>
        <v>0</v>
      </c>
      <c r="N175" s="1">
        <f>COUNTIF(F175:K175,"Fail")</f>
        <v>0</v>
      </c>
      <c r="O175" s="1" t="str">
        <f>IF(M175=0,"-",M175/L175)</f>
        <v>-</v>
      </c>
    </row>
    <row r="176">
      <c r="A176" s="1" t="str">
        <v>EXP-022</v>
      </c>
      <c r="B176" s="1" t="str">
        <v>Expense Claim</v>
      </c>
      <c r="C176" s="1" t="str">
        <v>Expenses Table</v>
      </c>
      <c r="D176" s="1" t="str">
        <v>Add multiple expense rows to same claim</v>
      </c>
      <c r="E176" s="1" t="str">
        <v>High</v>
      </c>
      <c r="F176" s="1" t="str">
        <v>Not Run</v>
      </c>
      <c r="G176" s="1" t="str">
        <v>Not Run</v>
      </c>
      <c r="H176" s="1" t="str">
        <v>Not Run</v>
      </c>
      <c r="I176" s="1" t="str">
        <v>Not Run</v>
      </c>
      <c r="J176" s="1" t="str">
        <v>Not Run</v>
      </c>
      <c r="K176" s="1" t="str">
        <v>Not Run</v>
      </c>
      <c r="L176" s="1">
        <f>COUNTA(F176:K176)</f>
        <v>6</v>
      </c>
      <c r="M176" s="1">
        <f>COUNTIF(F176:K176,"Pass")</f>
        <v>0</v>
      </c>
      <c r="N176" s="1">
        <f>COUNTIF(F176:K176,"Fail")</f>
        <v>0</v>
      </c>
      <c r="O176" s="1" t="str">
        <f>IF(M176=0,"-",M176/L176)</f>
        <v>-</v>
      </c>
    </row>
    <row r="177">
      <c r="A177" s="1" t="str">
        <v>EXP-023</v>
      </c>
      <c r="B177" s="1" t="str">
        <v>Expense Claim</v>
      </c>
      <c r="C177" s="1" t="str">
        <v>Expenses Table</v>
      </c>
      <c r="D177" s="1" t="str">
        <v>Delete expense row from table</v>
      </c>
      <c r="E177" s="1" t="str">
        <v>Medium</v>
      </c>
      <c r="F177" s="1" t="str">
        <v>Not Run</v>
      </c>
      <c r="G177" s="1" t="str">
        <v>Not Run</v>
      </c>
      <c r="H177" s="1" t="str">
        <v>Not Run</v>
      </c>
      <c r="I177" s="1" t="str">
        <v>Not Run</v>
      </c>
      <c r="J177" s="1" t="str">
        <v>Not Run</v>
      </c>
      <c r="K177" s="1" t="str">
        <v>Not Run</v>
      </c>
      <c r="L177" s="1">
        <f>COUNTA(F177:K177)</f>
        <v>6</v>
      </c>
      <c r="M177" s="1">
        <f>COUNTIF(F177:K177,"Pass")</f>
        <v>0</v>
      </c>
      <c r="N177" s="1">
        <f>COUNTIF(F177:K177,"Fail")</f>
        <v>0</v>
      </c>
      <c r="O177" s="1" t="str">
        <f>IF(M177=0,"-",M177/L177)</f>
        <v>-</v>
      </c>
    </row>
    <row r="178">
      <c r="A178" s="1" t="str">
        <v>EXP-024</v>
      </c>
      <c r="B178" s="1" t="str">
        <v>Expense Claim</v>
      </c>
      <c r="C178" s="1" t="str">
        <v>Expenses Table</v>
      </c>
      <c r="D178" s="1" t="str">
        <v>Expense Date is populated and validated</v>
      </c>
      <c r="E178" s="1" t="str">
        <v>Critical</v>
      </c>
      <c r="F178" s="1" t="str">
        <v>Not Run</v>
      </c>
      <c r="G178" s="1" t="str">
        <v>Not Run</v>
      </c>
      <c r="H178" s="1" t="str">
        <v>Not Run</v>
      </c>
      <c r="I178" s="1" t="str">
        <v>Not Run</v>
      </c>
      <c r="J178" s="1" t="str">
        <v>Not Run</v>
      </c>
      <c r="K178" s="1" t="str">
        <v>Not Run</v>
      </c>
      <c r="L178" s="1">
        <f>COUNTA(F178:K178)</f>
        <v>6</v>
      </c>
      <c r="M178" s="1">
        <f>COUNTIF(F178:K178,"Pass")</f>
        <v>0</v>
      </c>
      <c r="N178" s="1">
        <f>COUNTIF(F178:K178,"Fail")</f>
        <v>0</v>
      </c>
      <c r="O178" s="1" t="str">
        <f>IF(M178=0,"-",M178/L178)</f>
        <v>-</v>
      </c>
    </row>
    <row r="179">
      <c r="A179" s="1" t="str">
        <v>EXP-025</v>
      </c>
      <c r="B179" s="1" t="str">
        <v>Expense Claim</v>
      </c>
      <c r="C179" s="1" t="str">
        <v>Expenses Table</v>
      </c>
      <c r="D179" s="1" t="str">
        <v>Expense Claim Type dropdown shows valid options</v>
      </c>
      <c r="E179" s="1" t="str">
        <v>High</v>
      </c>
      <c r="F179" s="1" t="str">
        <v>Not Run</v>
      </c>
      <c r="G179" s="1" t="str">
        <v>Not Run</v>
      </c>
      <c r="H179" s="1" t="str">
        <v>Not Run</v>
      </c>
      <c r="I179" s="1" t="str">
        <v>Not Run</v>
      </c>
      <c r="J179" s="1" t="str">
        <v>Not Run</v>
      </c>
      <c r="K179" s="1" t="str">
        <v>Not Run</v>
      </c>
      <c r="L179" s="1">
        <f>COUNTA(F179:K179)</f>
        <v>6</v>
      </c>
      <c r="M179" s="1">
        <f>COUNTIF(F179:K179,"Pass")</f>
        <v>0</v>
      </c>
      <c r="N179" s="1">
        <f>COUNTIF(F179:K179,"Fail")</f>
        <v>0</v>
      </c>
      <c r="O179" s="1" t="str">
        <f>IF(M179=0,"-",M179/L179)</f>
        <v>-</v>
      </c>
    </row>
    <row r="180">
      <c r="A180" s="1" t="str">
        <v>EXP-026</v>
      </c>
      <c r="B180" s="1" t="str">
        <v>Expense Claim</v>
      </c>
      <c r="C180" s="1" t="str">
        <v>Expenses Table</v>
      </c>
      <c r="D180" s="1" t="str">
        <v>Expense Claim Type field is mandatory</v>
      </c>
      <c r="E180" s="1" t="str">
        <v>Critical</v>
      </c>
      <c r="F180" s="1" t="str">
        <v>Not Run</v>
      </c>
      <c r="G180" s="1" t="str">
        <v>Not Run</v>
      </c>
      <c r="H180" s="1" t="str">
        <v>Not Run</v>
      </c>
      <c r="I180" s="1" t="str">
        <v>Not Run</v>
      </c>
      <c r="J180" s="1" t="str">
        <v>Not Run</v>
      </c>
      <c r="K180" s="1" t="str">
        <v>Not Run</v>
      </c>
      <c r="L180" s="1">
        <f>COUNTA(F180:K180)</f>
        <v>6</v>
      </c>
      <c r="M180" s="1">
        <f>COUNTIF(F180:K180,"Pass")</f>
        <v>0</v>
      </c>
      <c r="N180" s="1">
        <f>COUNTIF(F180:K180,"Fail")</f>
        <v>0</v>
      </c>
      <c r="O180" s="1" t="str">
        <f>IF(M180=0,"-",M180/L180)</f>
        <v>-</v>
      </c>
    </row>
    <row r="181">
      <c r="A181" s="1" t="str">
        <v>EXP-027</v>
      </c>
      <c r="B181" s="1" t="str">
        <v>Expense Claim</v>
      </c>
      <c r="C181" s="1" t="str">
        <v>Expenses Table</v>
      </c>
      <c r="D181" s="1" t="str">
        <v>Description field is optional</v>
      </c>
      <c r="E181" s="1" t="str">
        <v>Medium</v>
      </c>
      <c r="F181" s="1" t="str">
        <v>Not Run</v>
      </c>
      <c r="G181" s="1" t="str">
        <v>Not Run</v>
      </c>
      <c r="H181" s="1" t="str">
        <v>Not Run</v>
      </c>
      <c r="I181" s="1" t="str">
        <v>Not Run</v>
      </c>
      <c r="J181" s="1" t="str">
        <v>Not Run</v>
      </c>
      <c r="K181" s="1" t="str">
        <v>Not Run</v>
      </c>
      <c r="L181" s="1">
        <f>COUNTA(F181:K181)</f>
        <v>6</v>
      </c>
      <c r="M181" s="1">
        <f>COUNTIF(F181:K181,"Pass")</f>
        <v>0</v>
      </c>
      <c r="N181" s="1">
        <f>COUNTIF(F181:K181,"Fail")</f>
        <v>0</v>
      </c>
      <c r="O181" s="1" t="str">
        <f>IF(M181=0,"-",M181/L181)</f>
        <v>-</v>
      </c>
    </row>
    <row r="182">
      <c r="A182" s="1" t="str">
        <v>EXP-028</v>
      </c>
      <c r="B182" s="1" t="str">
        <v>Expense Claim</v>
      </c>
      <c r="C182" s="1" t="str">
        <v>Expenses Table</v>
      </c>
      <c r="D182" s="1" t="str">
        <v>Amount field is mandatory</v>
      </c>
      <c r="E182" s="1" t="str">
        <v>Critical</v>
      </c>
      <c r="F182" s="1" t="str">
        <v>Not Run</v>
      </c>
      <c r="G182" s="1" t="str">
        <v>Not Run</v>
      </c>
      <c r="H182" s="1" t="str">
        <v>Not Run</v>
      </c>
      <c r="I182" s="1" t="str">
        <v>Not Run</v>
      </c>
      <c r="J182" s="1" t="str">
        <v>Not Run</v>
      </c>
      <c r="K182" s="1" t="str">
        <v>Not Run</v>
      </c>
      <c r="L182" s="1">
        <f>COUNTA(F182:K182)</f>
        <v>6</v>
      </c>
      <c r="M182" s="1">
        <f>COUNTIF(F182:K182,"Pass")</f>
        <v>0</v>
      </c>
      <c r="N182" s="1">
        <f>COUNTIF(F182:K182,"Fail")</f>
        <v>0</v>
      </c>
      <c r="O182" s="1" t="str">
        <f>IF(M182=0,"-",M182/L182)</f>
        <v>-</v>
      </c>
    </row>
    <row r="183">
      <c r="A183" s="1" t="str">
        <v>EXP-029</v>
      </c>
      <c r="B183" s="1" t="str">
        <v>Expense Claim</v>
      </c>
      <c r="C183" s="1" t="str">
        <v>Expenses Table</v>
      </c>
      <c r="D183" s="1" t="str">
        <v>Amount field accepts decimal values</v>
      </c>
      <c r="E183" s="1" t="str">
        <v>High</v>
      </c>
      <c r="F183" s="1" t="str">
        <v>Not Run</v>
      </c>
      <c r="G183" s="1" t="str">
        <v>Not Run</v>
      </c>
      <c r="H183" s="1" t="str">
        <v>Not Run</v>
      </c>
      <c r="I183" s="1" t="str">
        <v>Not Run</v>
      </c>
      <c r="J183" s="1" t="str">
        <v>Not Run</v>
      </c>
      <c r="K183" s="1" t="str">
        <v>Not Run</v>
      </c>
      <c r="L183" s="1">
        <f>COUNTA(F183:K183)</f>
        <v>6</v>
      </c>
      <c r="M183" s="1">
        <f>COUNTIF(F183:K183,"Pass")</f>
        <v>0</v>
      </c>
      <c r="N183" s="1">
        <f>COUNTIF(F183:K183,"Fail")</f>
        <v>0</v>
      </c>
      <c r="O183" s="1" t="str">
        <f>IF(M183=0,"-",M183/L183)</f>
        <v>-</v>
      </c>
    </row>
    <row r="184">
      <c r="A184" s="1" t="str">
        <v>EXP-030</v>
      </c>
      <c r="B184" s="1" t="str">
        <v>Expense Claim</v>
      </c>
      <c r="C184" s="1" t="str">
        <v>Expenses Table</v>
      </c>
      <c r="D184" s="1" t="str">
        <v>Negative amount is rejected</v>
      </c>
      <c r="E184" s="1" t="str">
        <v>Critical</v>
      </c>
      <c r="F184" s="1" t="str">
        <v>Not Run</v>
      </c>
      <c r="G184" s="1" t="str">
        <v>Not Run</v>
      </c>
      <c r="H184" s="1" t="str">
        <v>Not Run</v>
      </c>
      <c r="I184" s="1" t="str">
        <v>Not Run</v>
      </c>
      <c r="J184" s="1" t="str">
        <v>Not Run</v>
      </c>
      <c r="K184" s="1" t="str">
        <v>Not Run</v>
      </c>
      <c r="L184" s="1">
        <f>COUNTA(F184:K184)</f>
        <v>6</v>
      </c>
      <c r="M184" s="1">
        <f>COUNTIF(F184:K184,"Pass")</f>
        <v>0</v>
      </c>
      <c r="N184" s="1">
        <f>COUNTIF(F184:K184,"Fail")</f>
        <v>0</v>
      </c>
      <c r="O184" s="1" t="str">
        <f>IF(M184=0,"-",M184/L184)</f>
        <v>-</v>
      </c>
    </row>
    <row r="185">
      <c r="A185" s="1" t="str">
        <v>EXP-031</v>
      </c>
      <c r="B185" s="1" t="str">
        <v>Expense Claim</v>
      </c>
      <c r="C185" s="1" t="str">
        <v>Expenses Table</v>
      </c>
      <c r="D185" s="1" t="str">
        <v>Sanctioned Amount is auto-populated or manually entered</v>
      </c>
      <c r="E185" s="1" t="str">
        <v>High</v>
      </c>
      <c r="F185" s="1" t="str">
        <v>Not Run</v>
      </c>
      <c r="G185" s="1" t="str">
        <v>Not Run</v>
      </c>
      <c r="H185" s="1" t="str">
        <v>Not Run</v>
      </c>
      <c r="I185" s="1" t="str">
        <v>Not Run</v>
      </c>
      <c r="J185" s="1" t="str">
        <v>Not Run</v>
      </c>
      <c r="K185" s="1" t="str">
        <v>Not Run</v>
      </c>
      <c r="L185" s="1">
        <f>COUNTA(F185:K185)</f>
        <v>6</v>
      </c>
      <c r="M185" s="1">
        <f>COUNTIF(F185:K185,"Pass")</f>
        <v>0</v>
      </c>
      <c r="N185" s="1">
        <f>COUNTIF(F185:K185,"Fail")</f>
        <v>0</v>
      </c>
      <c r="O185" s="1" t="str">
        <f>IF(M185=0,"-",M185/L185)</f>
        <v>-</v>
      </c>
    </row>
    <row r="186">
      <c r="A186" s="1" t="str">
        <v>EXP-032</v>
      </c>
      <c r="B186" s="1" t="str">
        <v>Expense Claim</v>
      </c>
      <c r="C186" s="1" t="str">
        <v>Expenses Table</v>
      </c>
      <c r="D186" s="1" t="str">
        <v>Sanctioned Amount cannot exceed Amount</v>
      </c>
      <c r="E186" s="1" t="str">
        <v>Critical</v>
      </c>
      <c r="F186" s="1" t="str">
        <v>Not Run</v>
      </c>
      <c r="G186" s="1" t="str">
        <v>Not Run</v>
      </c>
      <c r="H186" s="1" t="str">
        <v>Not Run</v>
      </c>
      <c r="I186" s="1" t="str">
        <v>Not Run</v>
      </c>
      <c r="J186" s="1" t="str">
        <v>Not Run</v>
      </c>
      <c r="K186" s="1" t="str">
        <v>Not Run</v>
      </c>
      <c r="L186" s="1">
        <f>COUNTA(F186:K186)</f>
        <v>6</v>
      </c>
      <c r="M186" s="1">
        <f>COUNTIF(F186:K186,"Pass")</f>
        <v>0</v>
      </c>
      <c r="N186" s="1">
        <f>COUNTIF(F186:K186,"Fail")</f>
        <v>0</v>
      </c>
      <c r="O186" s="1" t="str">
        <f>IF(M186=0,"-",M186/L186)</f>
        <v>-</v>
      </c>
    </row>
    <row r="187">
      <c r="A187" s="1" t="str">
        <v>EXP-033</v>
      </c>
      <c r="B187" s="1" t="str">
        <v>Expense Claim</v>
      </c>
      <c r="C187" s="1" t="str">
        <v>Expenses Table</v>
      </c>
      <c r="D187" s="1" t="str">
        <v>Total claim amount is calculated from all expense rows</v>
      </c>
      <c r="E187" s="1" t="str">
        <v>Critical</v>
      </c>
      <c r="F187" s="1" t="str">
        <v>Not Run</v>
      </c>
      <c r="G187" s="1" t="str">
        <v>Not Run</v>
      </c>
      <c r="H187" s="1" t="str">
        <v>Not Run</v>
      </c>
      <c r="I187" s="1" t="str">
        <v>Not Run</v>
      </c>
      <c r="J187" s="1" t="str">
        <v>Not Run</v>
      </c>
      <c r="K187" s="1" t="str">
        <v>Not Run</v>
      </c>
      <c r="L187" s="1">
        <f>COUNTA(F187:K187)</f>
        <v>6</v>
      </c>
      <c r="M187" s="1">
        <f>COUNTIF(F187:K187,"Pass")</f>
        <v>0</v>
      </c>
      <c r="N187" s="1">
        <f>COUNTIF(F187:K187,"Fail")</f>
        <v>0</v>
      </c>
      <c r="O187" s="1" t="str">
        <f>IF(M187=0,"-",M187/L187)</f>
        <v>-</v>
      </c>
    </row>
    <row r="188">
      <c r="A188" s="1" t="str">
        <v>EXP-034</v>
      </c>
      <c r="B188" s="1" t="str">
        <v>Expense Claim</v>
      </c>
      <c r="C188" s="1" t="str">
        <v>Taxes &amp; Charges</v>
      </c>
      <c r="D188" s="1" t="str">
        <v>Add single tax row to expense claim</v>
      </c>
      <c r="E188" s="1" t="str">
        <v>High</v>
      </c>
      <c r="F188" s="1" t="str">
        <v>Not Run</v>
      </c>
      <c r="G188" s="1" t="str">
        <v>Not Run</v>
      </c>
      <c r="H188" s="1" t="str">
        <v>Not Run</v>
      </c>
      <c r="I188" s="1" t="str">
        <v>Not Run</v>
      </c>
      <c r="J188" s="1" t="str">
        <v>Not Run</v>
      </c>
      <c r="K188" s="1" t="str">
        <v>Not Run</v>
      </c>
      <c r="L188" s="1">
        <f>COUNTA(F188:K188)</f>
        <v>6</v>
      </c>
      <c r="M188" s="1">
        <f>COUNTIF(F188:K188,"Pass")</f>
        <v>0</v>
      </c>
      <c r="N188" s="1">
        <f>COUNTIF(F188:K188,"Fail")</f>
        <v>0</v>
      </c>
      <c r="O188" s="1" t="str">
        <f>IF(M188=0,"-",M188/L188)</f>
        <v>-</v>
      </c>
    </row>
    <row r="189">
      <c r="A189" s="1" t="str">
        <v>EXP-035</v>
      </c>
      <c r="B189" s="1" t="str">
        <v>Expense Claim</v>
      </c>
      <c r="C189" s="1" t="str">
        <v>Taxes &amp; Charges</v>
      </c>
      <c r="D189" s="1" t="str">
        <v>Add multiple tax rows to expense claim</v>
      </c>
      <c r="E189" s="1" t="str">
        <v>High</v>
      </c>
      <c r="F189" s="1" t="str">
        <v>Not Run</v>
      </c>
      <c r="G189" s="1" t="str">
        <v>Not Run</v>
      </c>
      <c r="H189" s="1" t="str">
        <v>Not Run</v>
      </c>
      <c r="I189" s="1" t="str">
        <v>Not Run</v>
      </c>
      <c r="J189" s="1" t="str">
        <v>Not Run</v>
      </c>
      <c r="K189" s="1" t="str">
        <v>Not Run</v>
      </c>
      <c r="L189" s="1">
        <f>COUNTA(F189:K189)</f>
        <v>6</v>
      </c>
      <c r="M189" s="1">
        <f>COUNTIF(F189:K189,"Pass")</f>
        <v>0</v>
      </c>
      <c r="N189" s="1">
        <f>COUNTIF(F189:K189,"Fail")</f>
        <v>0</v>
      </c>
      <c r="O189" s="1" t="str">
        <f>IF(M189=0,"-",M189/L189)</f>
        <v>-</v>
      </c>
    </row>
    <row r="190">
      <c r="A190" s="1" t="str">
        <v>EXP-036</v>
      </c>
      <c r="B190" s="1" t="str">
        <v>Expense Claim</v>
      </c>
      <c r="C190" s="1" t="str">
        <v>Taxes &amp; Charges</v>
      </c>
      <c r="D190" s="1" t="str">
        <v>Delete tax row from table</v>
      </c>
      <c r="E190" s="1" t="str">
        <v>Medium</v>
      </c>
      <c r="F190" s="1" t="str">
        <v>Not Run</v>
      </c>
      <c r="G190" s="1" t="str">
        <v>Not Run</v>
      </c>
      <c r="H190" s="1" t="str">
        <v>Not Run</v>
      </c>
      <c r="I190" s="1" t="str">
        <v>Not Run</v>
      </c>
      <c r="J190" s="1" t="str">
        <v>Not Run</v>
      </c>
      <c r="K190" s="1" t="str">
        <v>Not Run</v>
      </c>
      <c r="L190" s="1">
        <f>COUNTA(F190:K190)</f>
        <v>6</v>
      </c>
      <c r="M190" s="1">
        <f>COUNTIF(F190:K190,"Pass")</f>
        <v>0</v>
      </c>
      <c r="N190" s="1">
        <f>COUNTIF(F190:K190,"Fail")</f>
        <v>0</v>
      </c>
      <c r="O190" s="1" t="str">
        <f>IF(M190=0,"-",M190/L190)</f>
        <v>-</v>
      </c>
    </row>
    <row r="191">
      <c r="A191" s="1" t="str">
        <v>EXP-037</v>
      </c>
      <c r="B191" s="1" t="str">
        <v>Expense Claim</v>
      </c>
      <c r="C191" s="1" t="str">
        <v>Taxes &amp; Charges</v>
      </c>
      <c r="D191" s="1" t="str">
        <v>Tax Account Head is mandatory in tax row</v>
      </c>
      <c r="E191" s="1" t="str">
        <v>Critical</v>
      </c>
      <c r="F191" s="1" t="str">
        <v>Not Run</v>
      </c>
      <c r="G191" s="1" t="str">
        <v>Not Run</v>
      </c>
      <c r="H191" s="1" t="str">
        <v>Not Run</v>
      </c>
      <c r="I191" s="1" t="str">
        <v>Not Run</v>
      </c>
      <c r="J191" s="1" t="str">
        <v>Not Run</v>
      </c>
      <c r="K191" s="1" t="str">
        <v>Not Run</v>
      </c>
      <c r="L191" s="1">
        <f>COUNTA(F191:K191)</f>
        <v>6</v>
      </c>
      <c r="M191" s="1">
        <f>COUNTIF(F191:K191,"Pass")</f>
        <v>0</v>
      </c>
      <c r="N191" s="1">
        <f>COUNTIF(F191:K191,"Fail")</f>
        <v>0</v>
      </c>
      <c r="O191" s="1" t="str">
        <f>IF(M191=0,"-",M191/L191)</f>
        <v>-</v>
      </c>
    </row>
    <row r="192">
      <c r="A192" s="1" t="str">
        <v>EXP-038</v>
      </c>
      <c r="B192" s="1" t="str">
        <v>Expense Claim</v>
      </c>
      <c r="C192" s="1" t="str">
        <v>Taxes &amp; Charges</v>
      </c>
      <c r="D192" s="1" t="str">
        <v>Tax Amount is mandatory in tax row</v>
      </c>
      <c r="E192" s="1" t="str">
        <v>Critical</v>
      </c>
      <c r="F192" s="1" t="str">
        <v>Not Run</v>
      </c>
      <c r="G192" s="1" t="str">
        <v>Not Run</v>
      </c>
      <c r="H192" s="1" t="str">
        <v>Not Run</v>
      </c>
      <c r="I192" s="1" t="str">
        <v>Not Run</v>
      </c>
      <c r="J192" s="1" t="str">
        <v>Not Run</v>
      </c>
      <c r="K192" s="1" t="str">
        <v>Not Run</v>
      </c>
      <c r="L192" s="1">
        <f>COUNTA(F192:K192)</f>
        <v>6</v>
      </c>
      <c r="M192" s="1">
        <f>COUNTIF(F192:K192,"Pass")</f>
        <v>0</v>
      </c>
      <c r="N192" s="1">
        <f>COUNTIF(F192:K192,"Fail")</f>
        <v>0</v>
      </c>
      <c r="O192" s="1" t="str">
        <f>IF(M192=0,"-",M192/L192)</f>
        <v>-</v>
      </c>
    </row>
    <row r="193">
      <c r="A193" s="1" t="str">
        <v>EXP-039</v>
      </c>
      <c r="B193" s="1" t="str">
        <v>Expense Claim</v>
      </c>
      <c r="C193" s="1" t="str">
        <v>Taxes &amp; Charges</v>
      </c>
      <c r="D193" s="1" t="str">
        <v>Total taxes calculated correctly from all tax rows</v>
      </c>
      <c r="E193" s="1" t="str">
        <v>Critical</v>
      </c>
      <c r="F193" s="1" t="str">
        <v>Not Run</v>
      </c>
      <c r="G193" s="1" t="str">
        <v>Not Run</v>
      </c>
      <c r="H193" s="1" t="str">
        <v>Not Run</v>
      </c>
      <c r="I193" s="1" t="str">
        <v>Not Run</v>
      </c>
      <c r="J193" s="1" t="str">
        <v>Not Run</v>
      </c>
      <c r="K193" s="1" t="str">
        <v>Not Run</v>
      </c>
      <c r="L193" s="1">
        <f>COUNTA(F193:K193)</f>
        <v>6</v>
      </c>
      <c r="M193" s="1">
        <f>COUNTIF(F193:K193,"Pass")</f>
        <v>0</v>
      </c>
      <c r="N193" s="1">
        <f>COUNTIF(F193:K193,"Fail")</f>
        <v>0</v>
      </c>
      <c r="O193" s="1" t="str">
        <f>IF(M193=0,"-",M193/L193)</f>
        <v>-</v>
      </c>
    </row>
    <row r="194">
      <c r="A194" s="1" t="str">
        <v>EXP-040</v>
      </c>
      <c r="B194" s="1" t="str">
        <v>Expense Claim</v>
      </c>
      <c r="C194" s="1" t="str">
        <v>Taxes &amp; Charges</v>
      </c>
      <c r="D194" s="1" t="str">
        <v>Grand Total includes taxes and sanctioned amount</v>
      </c>
      <c r="E194" s="1" t="str">
        <v>Critical</v>
      </c>
      <c r="F194" s="1" t="str">
        <v>Not Run</v>
      </c>
      <c r="G194" s="1" t="str">
        <v>Not Run</v>
      </c>
      <c r="H194" s="1" t="str">
        <v>Not Run</v>
      </c>
      <c r="I194" s="1" t="str">
        <v>Not Run</v>
      </c>
      <c r="J194" s="1" t="str">
        <v>Not Run</v>
      </c>
      <c r="K194" s="1" t="str">
        <v>Not Run</v>
      </c>
      <c r="L194" s="1">
        <f>COUNTA(F194:K194)</f>
        <v>6</v>
      </c>
      <c r="M194" s="1">
        <f>COUNTIF(F194:K194,"Pass")</f>
        <v>0</v>
      </c>
      <c r="N194" s="1">
        <f>COUNTIF(F194:K194,"Fail")</f>
        <v>0</v>
      </c>
      <c r="O194" s="1" t="str">
        <f>IF(M194=0,"-",M194/L194)</f>
        <v>-</v>
      </c>
    </row>
    <row r="195">
      <c r="A195" s="1" t="str">
        <v>EXP-041</v>
      </c>
      <c r="B195" s="1" t="str">
        <v>Expense Claim</v>
      </c>
      <c r="C195" s="1" t="str">
        <v>Accounting Details</v>
      </c>
      <c r="D195" s="1" t="str">
        <v>Cost Center field can be selected</v>
      </c>
      <c r="E195" s="1" t="str">
        <v>High</v>
      </c>
      <c r="F195" s="1" t="str">
        <v>Not Run</v>
      </c>
      <c r="G195" s="1" t="str">
        <v>Not Run</v>
      </c>
      <c r="H195" s="1" t="str">
        <v>Not Run</v>
      </c>
      <c r="I195" s="1" t="str">
        <v>Not Run</v>
      </c>
      <c r="J195" s="1" t="str">
        <v>Not Run</v>
      </c>
      <c r="K195" s="1" t="str">
        <v>Not Run</v>
      </c>
      <c r="L195" s="1">
        <f>COUNTA(F195:K195)</f>
        <v>6</v>
      </c>
      <c r="M195" s="1">
        <f>COUNTIF(F195:K195,"Pass")</f>
        <v>0</v>
      </c>
      <c r="N195" s="1">
        <f>COUNTIF(F195:K195,"Fail")</f>
        <v>0</v>
      </c>
      <c r="O195" s="1" t="str">
        <f>IF(M195=0,"-",M195/L195)</f>
        <v>-</v>
      </c>
    </row>
    <row r="196">
      <c r="A196" s="1" t="str">
        <v>EXP-042</v>
      </c>
      <c r="B196" s="1" t="str">
        <v>Expense Claim</v>
      </c>
      <c r="C196" s="1" t="str">
        <v>Accounting Details</v>
      </c>
      <c r="D196" s="1" t="str">
        <v>Project field can be linked to expense claim</v>
      </c>
      <c r="E196" s="1" t="str">
        <v>Medium</v>
      </c>
      <c r="F196" s="1" t="str">
        <v>Not Run</v>
      </c>
      <c r="G196" s="1" t="str">
        <v>Not Run</v>
      </c>
      <c r="H196" s="1" t="str">
        <v>Not Run</v>
      </c>
      <c r="I196" s="1" t="str">
        <v>Not Run</v>
      </c>
      <c r="J196" s="1" t="str">
        <v>Not Run</v>
      </c>
      <c r="K196" s="1" t="str">
        <v>Not Run</v>
      </c>
      <c r="L196" s="1">
        <f>COUNTA(F196:K196)</f>
        <v>6</v>
      </c>
      <c r="M196" s="1">
        <f>COUNTIF(F196:K196,"Pass")</f>
        <v>0</v>
      </c>
      <c r="N196" s="1">
        <f>COUNTIF(F196:K196,"Fail")</f>
        <v>0</v>
      </c>
      <c r="O196" s="1" t="str">
        <f>IF(M196=0,"-",M196/L196)</f>
        <v>-</v>
      </c>
    </row>
    <row r="197">
      <c r="A197" s="1" t="str">
        <v>EXP-043</v>
      </c>
      <c r="B197" s="1" t="str">
        <v>Expense Claim</v>
      </c>
      <c r="C197" s="1" t="str">
        <v>Accounting Details</v>
      </c>
      <c r="D197" s="1" t="str">
        <v>Payable Account is auto-populated</v>
      </c>
      <c r="E197" s="1" t="str">
        <v>Critical</v>
      </c>
      <c r="F197" s="1" t="str">
        <v>Not Run</v>
      </c>
      <c r="G197" s="1" t="str">
        <v>Not Run</v>
      </c>
      <c r="H197" s="1" t="str">
        <v>Not Run</v>
      </c>
      <c r="I197" s="1" t="str">
        <v>Not Run</v>
      </c>
      <c r="J197" s="1" t="str">
        <v>Not Run</v>
      </c>
      <c r="K197" s="1" t="str">
        <v>Not Run</v>
      </c>
      <c r="L197" s="1">
        <f>COUNTA(F197:K197)</f>
        <v>6</v>
      </c>
      <c r="M197" s="1">
        <f>COUNTIF(F197:K197,"Pass")</f>
        <v>0</v>
      </c>
      <c r="N197" s="1">
        <f>COUNTIF(F197:K197,"Fail")</f>
        <v>0</v>
      </c>
      <c r="O197" s="1" t="str">
        <f>IF(M197=0,"-",M197/L197)</f>
        <v>-</v>
      </c>
    </row>
    <row r="198">
      <c r="A198" s="1" t="str">
        <v>EXP-044</v>
      </c>
      <c r="B198" s="1" t="str">
        <v>Expense Claim</v>
      </c>
      <c r="C198" s="1" t="str">
        <v>Accounting Details</v>
      </c>
      <c r="D198" s="1" t="str">
        <v>Payable Account can be manually changed</v>
      </c>
      <c r="E198" s="1" t="str">
        <v>High</v>
      </c>
      <c r="F198" s="1" t="str">
        <v>Not Run</v>
      </c>
      <c r="G198" s="1" t="str">
        <v>Not Run</v>
      </c>
      <c r="H198" s="1" t="str">
        <v>Not Run</v>
      </c>
      <c r="I198" s="1" t="str">
        <v>Not Run</v>
      </c>
      <c r="J198" s="1" t="str">
        <v>Not Run</v>
      </c>
      <c r="K198" s="1" t="str">
        <v>Not Run</v>
      </c>
      <c r="L198" s="1">
        <f>COUNTA(F198:K198)</f>
        <v>6</v>
      </c>
      <c r="M198" s="1">
        <f>COUNTIF(F198:K198,"Pass")</f>
        <v>0</v>
      </c>
      <c r="N198" s="1">
        <f>COUNTIF(F198:K198,"Fail")</f>
        <v>0</v>
      </c>
      <c r="O198" s="1" t="str">
        <f>IF(M198=0,"-",M198/L198)</f>
        <v>-</v>
      </c>
    </row>
    <row r="199">
      <c r="A199" s="1" t="str">
        <v>EXP-045</v>
      </c>
      <c r="B199" s="1" t="str">
        <v>Expense Claim</v>
      </c>
      <c r="C199" s="1" t="str">
        <v>Accounting Details</v>
      </c>
      <c r="D199" s="1" t="str">
        <v>Mode of Payment can be selected</v>
      </c>
      <c r="E199" s="1" t="str">
        <v>High</v>
      </c>
      <c r="F199" s="1" t="str">
        <v>Not Run</v>
      </c>
      <c r="G199" s="1" t="str">
        <v>Not Run</v>
      </c>
      <c r="H199" s="1" t="str">
        <v>Not Run</v>
      </c>
      <c r="I199" s="1" t="str">
        <v>Not Run</v>
      </c>
      <c r="J199" s="1" t="str">
        <v>Not Run</v>
      </c>
      <c r="K199" s="1" t="str">
        <v>Not Run</v>
      </c>
      <c r="L199" s="1">
        <f>COUNTA(F199:K199)</f>
        <v>6</v>
      </c>
      <c r="M199" s="1">
        <f>COUNTIF(F199:K199,"Pass")</f>
        <v>0</v>
      </c>
      <c r="N199" s="1">
        <f>COUNTIF(F199:K199,"Fail")</f>
        <v>0</v>
      </c>
      <c r="O199" s="1" t="str">
        <f>IF(M199=0,"-",M199/L199)</f>
        <v>-</v>
      </c>
    </row>
    <row r="200">
      <c r="A200" s="1" t="str">
        <v>EXP-046</v>
      </c>
      <c r="B200" s="1" t="str">
        <v>Expense Claim</v>
      </c>
      <c r="C200" s="1" t="str">
        <v>Accounting Details</v>
      </c>
      <c r="D200" s="1" t="str">
        <v>Total Advance Amount is displayed if advance exists</v>
      </c>
      <c r="E200" s="1" t="str">
        <v>High</v>
      </c>
      <c r="F200" s="1" t="str">
        <v>Not Run</v>
      </c>
      <c r="G200" s="1" t="str">
        <v>Not Run</v>
      </c>
      <c r="H200" s="1" t="str">
        <v>Not Run</v>
      </c>
      <c r="I200" s="1" t="str">
        <v>Not Run</v>
      </c>
      <c r="J200" s="1" t="str">
        <v>Not Run</v>
      </c>
      <c r="K200" s="1" t="str">
        <v>Not Run</v>
      </c>
      <c r="L200" s="1">
        <f>COUNTA(F200:K200)</f>
        <v>6</v>
      </c>
      <c r="M200" s="1">
        <f>COUNTIF(F200:K200,"Pass")</f>
        <v>0</v>
      </c>
      <c r="N200" s="1">
        <f>COUNTIF(F200:K200,"Fail")</f>
        <v>0</v>
      </c>
      <c r="O200" s="1" t="str">
        <f>IF(M200=0,"-",M200/L200)</f>
        <v>-</v>
      </c>
    </row>
    <row r="201">
      <c r="A201" s="1" t="str">
        <v>EXP-047</v>
      </c>
      <c r="B201" s="1" t="str">
        <v>Expense Claim</v>
      </c>
      <c r="C201" s="1" t="str">
        <v>Data Validation</v>
      </c>
      <c r="D201" s="1" t="str">
        <v>Expense Claim cannot be saved without From Employee</v>
      </c>
      <c r="E201" s="1" t="str">
        <v>Critical</v>
      </c>
      <c r="F201" s="1" t="str">
        <v>Not Run</v>
      </c>
      <c r="G201" s="1" t="str">
        <v>Not Run</v>
      </c>
      <c r="H201" s="1" t="str">
        <v>Not Run</v>
      </c>
      <c r="I201" s="1" t="str">
        <v>Not Run</v>
      </c>
      <c r="J201" s="1" t="str">
        <v>Not Run</v>
      </c>
      <c r="K201" s="1" t="str">
        <v>Not Run</v>
      </c>
      <c r="L201" s="1">
        <f>COUNTA(F201:K201)</f>
        <v>6</v>
      </c>
      <c r="M201" s="1">
        <f>COUNTIF(F201:K201,"Pass")</f>
        <v>0</v>
      </c>
      <c r="N201" s="1">
        <f>COUNTIF(F201:K201,"Fail")</f>
        <v>0</v>
      </c>
      <c r="O201" s="1" t="str">
        <f>IF(M201=0,"-",M201/L201)</f>
        <v>-</v>
      </c>
    </row>
    <row r="202">
      <c r="A202" s="1" t="str">
        <v>EXP-048</v>
      </c>
      <c r="B202" s="1" t="str">
        <v>Expense Claim</v>
      </c>
      <c r="C202" s="1" t="str">
        <v>Data Validation</v>
      </c>
      <c r="D202" s="1" t="str">
        <v>Expense Claim cannot be saved without Company</v>
      </c>
      <c r="E202" s="1" t="str">
        <v>Critical</v>
      </c>
      <c r="F202" s="1" t="str">
        <v>Not Run</v>
      </c>
      <c r="G202" s="1" t="str">
        <v>Not Run</v>
      </c>
      <c r="H202" s="1" t="str">
        <v>Not Run</v>
      </c>
      <c r="I202" s="1" t="str">
        <v>Not Run</v>
      </c>
      <c r="J202" s="1" t="str">
        <v>Not Run</v>
      </c>
      <c r="K202" s="1" t="str">
        <v>Not Run</v>
      </c>
      <c r="L202" s="1">
        <f>COUNTA(F202:K202)</f>
        <v>6</v>
      </c>
      <c r="M202" s="1">
        <f>COUNTIF(F202:K202,"Pass")</f>
        <v>0</v>
      </c>
      <c r="N202" s="1">
        <f>COUNTIF(F202:K202,"Fail")</f>
        <v>0</v>
      </c>
      <c r="O202" s="1" t="str">
        <f>IF(M202=0,"-",M202/L202)</f>
        <v>-</v>
      </c>
    </row>
    <row r="203">
      <c r="A203" s="1" t="str">
        <v>EXP-049</v>
      </c>
      <c r="B203" s="1" t="str">
        <v>Expense Claim</v>
      </c>
      <c r="C203" s="1" t="str">
        <v>Data Validation</v>
      </c>
      <c r="D203" s="1" t="str">
        <v>Expense Claim cannot be saved without Expense Approver</v>
      </c>
      <c r="E203" s="1" t="str">
        <v>Critical</v>
      </c>
      <c r="F203" s="1" t="str">
        <v>Not Run</v>
      </c>
      <c r="G203" s="1" t="str">
        <v>Not Run</v>
      </c>
      <c r="H203" s="1" t="str">
        <v>Not Run</v>
      </c>
      <c r="I203" s="1" t="str">
        <v>Not Run</v>
      </c>
      <c r="J203" s="1" t="str">
        <v>Not Run</v>
      </c>
      <c r="K203" s="1" t="str">
        <v>Not Run</v>
      </c>
      <c r="L203" s="1">
        <f>COUNTA(F203:K203)</f>
        <v>6</v>
      </c>
      <c r="M203" s="1">
        <f>COUNTIF(F203:K203,"Pass")</f>
        <v>0</v>
      </c>
      <c r="N203" s="1">
        <f>COUNTIF(F203:K203,"Fail")</f>
        <v>0</v>
      </c>
      <c r="O203" s="1" t="str">
        <f>IF(M203=0,"-",M203/L203)</f>
        <v>-</v>
      </c>
    </row>
    <row r="204">
      <c r="A204" s="1" t="str">
        <v>EXP-050</v>
      </c>
      <c r="B204" s="1" t="str">
        <v>Expense Claim</v>
      </c>
      <c r="C204" s="1" t="str">
        <v>Data Validation</v>
      </c>
      <c r="D204" s="1" t="str">
        <v>Expense Claim cannot be submitted without expense rows</v>
      </c>
      <c r="E204" s="1" t="str">
        <v>Critical</v>
      </c>
      <c r="F204" s="1" t="str">
        <v>Not Run</v>
      </c>
      <c r="G204" s="1" t="str">
        <v>Not Run</v>
      </c>
      <c r="H204" s="1" t="str">
        <v>Not Run</v>
      </c>
      <c r="I204" s="1" t="str">
        <v>Not Run</v>
      </c>
      <c r="J204" s="1" t="str">
        <v>Not Run</v>
      </c>
      <c r="K204" s="1" t="str">
        <v>Not Run</v>
      </c>
      <c r="L204" s="1">
        <f>COUNTA(F204:K204)</f>
        <v>6</v>
      </c>
      <c r="M204" s="1">
        <f>COUNTIF(F204:K204,"Pass")</f>
        <v>0</v>
      </c>
      <c r="N204" s="1">
        <f>COUNTIF(F204:K204,"Fail")</f>
        <v>0</v>
      </c>
      <c r="O204" s="1" t="str">
        <f>IF(M204=0,"-",M204/L204)</f>
        <v>-</v>
      </c>
    </row>
    <row r="205">
      <c r="A205" s="1" t="str">
        <v>EXP-051</v>
      </c>
      <c r="B205" s="1" t="str">
        <v>Expense Claim</v>
      </c>
      <c r="C205" s="1" t="str">
        <v>Editing &amp; Updates</v>
      </c>
      <c r="D205" s="1" t="str">
        <v>Edit expense row amount on existing claim</v>
      </c>
      <c r="E205" s="1" t="str">
        <v>High</v>
      </c>
      <c r="F205" s="1" t="str">
        <v>Not Run</v>
      </c>
      <c r="G205" s="1" t="str">
        <v>Not Run</v>
      </c>
      <c r="H205" s="1" t="str">
        <v>Not Run</v>
      </c>
      <c r="I205" s="1" t="str">
        <v>Not Run</v>
      </c>
      <c r="J205" s="1" t="str">
        <v>Not Run</v>
      </c>
      <c r="K205" s="1" t="str">
        <v>Not Run</v>
      </c>
      <c r="L205" s="1">
        <f>COUNTA(F205:K205)</f>
        <v>6</v>
      </c>
      <c r="M205" s="1">
        <f>COUNTIF(F205:K205,"Pass")</f>
        <v>0</v>
      </c>
      <c r="N205" s="1">
        <f>COUNTIF(F205:K205,"Fail")</f>
        <v>0</v>
      </c>
      <c r="O205" s="1" t="str">
        <f>IF(M205=0,"-",M205/L205)</f>
        <v>-</v>
      </c>
    </row>
    <row r="206">
      <c r="A206" s="1" t="str">
        <v>EXP-052</v>
      </c>
      <c r="B206" s="1" t="str">
        <v>Expense Claim</v>
      </c>
      <c r="C206" s="1" t="str">
        <v>Editing &amp; Updates</v>
      </c>
      <c r="D206" s="1" t="str">
        <v>Edit expense claim type on existing row</v>
      </c>
      <c r="E206" s="1" t="str">
        <v>High</v>
      </c>
      <c r="F206" s="1" t="str">
        <v>Not Run</v>
      </c>
      <c r="G206" s="1" t="str">
        <v>Not Run</v>
      </c>
      <c r="H206" s="1" t="str">
        <v>Not Run</v>
      </c>
      <c r="I206" s="1" t="str">
        <v>Not Run</v>
      </c>
      <c r="J206" s="1" t="str">
        <v>Not Run</v>
      </c>
      <c r="K206" s="1" t="str">
        <v>Not Run</v>
      </c>
      <c r="L206" s="1">
        <f>COUNTA(F206:K206)</f>
        <v>6</v>
      </c>
      <c r="M206" s="1">
        <f>COUNTIF(F206:K206,"Pass")</f>
        <v>0</v>
      </c>
      <c r="N206" s="1">
        <f>COUNTIF(F206:K206,"Fail")</f>
        <v>0</v>
      </c>
      <c r="O206" s="1" t="str">
        <f>IF(M206=0,"-",M206/L206)</f>
        <v>-</v>
      </c>
    </row>
    <row r="207">
      <c r="A207" s="1" t="str">
        <v>EXP-053</v>
      </c>
      <c r="B207" s="1" t="str">
        <v>Expense Claim</v>
      </c>
      <c r="C207" s="1" t="str">
        <v>Editing &amp; Updates</v>
      </c>
      <c r="D207" s="1" t="str">
        <v>Edit expense approver before submission</v>
      </c>
      <c r="E207" s="1" t="str">
        <v>High</v>
      </c>
      <c r="F207" s="1" t="str">
        <v>Not Run</v>
      </c>
      <c r="G207" s="1" t="str">
        <v>Not Run</v>
      </c>
      <c r="H207" s="1" t="str">
        <v>Not Run</v>
      </c>
      <c r="I207" s="1" t="str">
        <v>Not Run</v>
      </c>
      <c r="J207" s="1" t="str">
        <v>Not Run</v>
      </c>
      <c r="K207" s="1" t="str">
        <v>Not Run</v>
      </c>
      <c r="L207" s="1">
        <f>COUNTA(F207:K207)</f>
        <v>6</v>
      </c>
      <c r="M207" s="1">
        <f>COUNTIF(F207:K207,"Pass")</f>
        <v>0</v>
      </c>
      <c r="N207" s="1">
        <f>COUNTIF(F207:K207,"Fail")</f>
        <v>0</v>
      </c>
      <c r="O207" s="1" t="str">
        <f>IF(M207=0,"-",M207/L207)</f>
        <v>-</v>
      </c>
    </row>
    <row r="208">
      <c r="A208" s="1" t="str">
        <v>EXP-054</v>
      </c>
      <c r="B208" s="1" t="str">
        <v>Expense Claim</v>
      </c>
      <c r="C208" s="1" t="str">
        <v>Editing &amp; Updates</v>
      </c>
      <c r="D208" s="1" t="str">
        <v>Edit is restricted after Approval Status is Approved</v>
      </c>
      <c r="E208" s="1" t="str">
        <v>Critical</v>
      </c>
      <c r="F208" s="1" t="str">
        <v>Not Run</v>
      </c>
      <c r="G208" s="1" t="str">
        <v>Not Run</v>
      </c>
      <c r="H208" s="1" t="str">
        <v>Not Run</v>
      </c>
      <c r="I208" s="1" t="str">
        <v>Not Run</v>
      </c>
      <c r="J208" s="1" t="str">
        <v>Not Run</v>
      </c>
      <c r="K208" s="1" t="str">
        <v>Not Run</v>
      </c>
      <c r="L208" s="1">
        <f>COUNTA(F208:K208)</f>
        <v>6</v>
      </c>
      <c r="M208" s="1">
        <f>COUNTIF(F208:K208,"Pass")</f>
        <v>0</v>
      </c>
      <c r="N208" s="1">
        <f>COUNTIF(F208:K208,"Fail")</f>
        <v>0</v>
      </c>
      <c r="O208" s="1" t="str">
        <f>IF(M208=0,"-",M208/L208)</f>
        <v>-</v>
      </c>
    </row>
    <row r="209">
      <c r="A209" s="1" t="str">
        <v>EXP-055</v>
      </c>
      <c r="B209" s="1" t="str">
        <v>Expense Claim</v>
      </c>
      <c r="C209" s="1" t="str">
        <v>Form Actions</v>
      </c>
      <c r="D209" s="1" t="str">
        <v>Save Expense Claim successfully</v>
      </c>
      <c r="E209" s="1" t="str">
        <v>Critical</v>
      </c>
      <c r="F209" s="1" t="str">
        <v>Not Run</v>
      </c>
      <c r="G209" s="1" t="str">
        <v>Not Run</v>
      </c>
      <c r="H209" s="1" t="str">
        <v>Not Run</v>
      </c>
      <c r="I209" s="1" t="str">
        <v>Not Run</v>
      </c>
      <c r="J209" s="1" t="str">
        <v>Not Run</v>
      </c>
      <c r="K209" s="1" t="str">
        <v>Not Run</v>
      </c>
      <c r="L209" s="1">
        <f>COUNTA(F209:K209)</f>
        <v>6</v>
      </c>
      <c r="M209" s="1">
        <f>COUNTIF(F209:K209,"Pass")</f>
        <v>0</v>
      </c>
      <c r="N209" s="1">
        <f>COUNTIF(F209:K209,"Fail")</f>
        <v>0</v>
      </c>
      <c r="O209" s="1" t="str">
        <f>IF(M209=0,"-",M209/L209)</f>
        <v>-</v>
      </c>
    </row>
    <row r="210">
      <c r="A210" s="1" t="str">
        <v>EXP-056</v>
      </c>
      <c r="B210" s="1" t="str">
        <v>Expense Claim</v>
      </c>
      <c r="C210" s="1" t="str">
        <v>Form Actions</v>
      </c>
      <c r="D210" s="1" t="str">
        <v>Submit Expense Claim successfully</v>
      </c>
      <c r="E210" s="1" t="str">
        <v>Critical</v>
      </c>
      <c r="F210" s="1" t="str">
        <v>Not Run</v>
      </c>
      <c r="G210" s="1" t="str">
        <v>Not Run</v>
      </c>
      <c r="H210" s="1" t="str">
        <v>Not Run</v>
      </c>
      <c r="I210" s="1" t="str">
        <v>Not Run</v>
      </c>
      <c r="J210" s="1" t="str">
        <v>Not Run</v>
      </c>
      <c r="K210" s="1" t="str">
        <v>Not Run</v>
      </c>
      <c r="L210" s="1">
        <f>COUNTA(F210:K210)</f>
        <v>6</v>
      </c>
      <c r="M210" s="1">
        <f>COUNTIF(F210:K210,"Pass")</f>
        <v>0</v>
      </c>
      <c r="N210" s="1">
        <f>COUNTIF(F210:K210,"Fail")</f>
        <v>0</v>
      </c>
      <c r="O210" s="1" t="str">
        <f>IF(M210=0,"-",M210/L210)</f>
        <v>-</v>
      </c>
    </row>
    <row r="211">
      <c r="A211" s="1" t="str">
        <v>EXP-057</v>
      </c>
      <c r="B211" s="1" t="str">
        <v>Expense Claim</v>
      </c>
      <c r="C211" s="1" t="str">
        <v>Form Actions</v>
      </c>
      <c r="D211" s="1" t="str">
        <v>Form shows "Not Saved" status before save</v>
      </c>
      <c r="E211" s="1" t="str">
        <v>Medium</v>
      </c>
      <c r="F211" s="1" t="str">
        <v>Not Run</v>
      </c>
      <c r="G211" s="1" t="str">
        <v>Not Run</v>
      </c>
      <c r="H211" s="1" t="str">
        <v>Not Run</v>
      </c>
      <c r="I211" s="1" t="str">
        <v>Not Run</v>
      </c>
      <c r="J211" s="1" t="str">
        <v>Not Run</v>
      </c>
      <c r="K211" s="1" t="str">
        <v>Not Run</v>
      </c>
      <c r="L211" s="1">
        <f>COUNTA(F211:K211)</f>
        <v>6</v>
      </c>
      <c r="M211" s="1">
        <f>COUNTIF(F211:K211,"Pass")</f>
        <v>0</v>
      </c>
      <c r="N211" s="1">
        <f>COUNTIF(F211:K211,"Fail")</f>
        <v>0</v>
      </c>
      <c r="O211" s="1" t="str">
        <f>IF(M211=0,"-",M211/L211)</f>
        <v>-</v>
      </c>
    </row>
    <row r="212">
      <c r="A212" s="1" t="str">
        <v>EXP-058</v>
      </c>
      <c r="B212" s="1" t="str">
        <v>Expense Claim</v>
      </c>
      <c r="C212" s="1" t="str">
        <v>Form Actions</v>
      </c>
      <c r="D212" s="1" t="str">
        <v>Form shows "Saved" status after successful save</v>
      </c>
      <c r="E212" s="1" t="str">
        <v>Medium</v>
      </c>
      <c r="F212" s="1" t="str">
        <v>Not Run</v>
      </c>
      <c r="G212" s="1" t="str">
        <v>Not Run</v>
      </c>
      <c r="H212" s="1" t="str">
        <v>Not Run</v>
      </c>
      <c r="I212" s="1" t="str">
        <v>Not Run</v>
      </c>
      <c r="J212" s="1" t="str">
        <v>Not Run</v>
      </c>
      <c r="K212" s="1" t="str">
        <v>Not Run</v>
      </c>
      <c r="L212" s="1">
        <f>COUNTA(F212:K212)</f>
        <v>6</v>
      </c>
      <c r="M212" s="1">
        <f>COUNTIF(F212:K212,"Pass")</f>
        <v>0</v>
      </c>
      <c r="N212" s="1">
        <f>COUNTIF(F212:K212,"Fail")</f>
        <v>0</v>
      </c>
      <c r="O212" s="1" t="str">
        <f>IF(M212=0,"-",M212/L212)</f>
        <v>-</v>
      </c>
    </row>
    <row r="213">
      <c r="A213" s="1" t="str">
        <v>EXP-059</v>
      </c>
      <c r="B213" s="1" t="str">
        <v>Expense Claim</v>
      </c>
      <c r="C213" s="1" t="str">
        <v>Form Actions</v>
      </c>
      <c r="D213" s="1" t="str">
        <v>Duplicate existing Expense Claim</v>
      </c>
      <c r="E213" s="1" t="str">
        <v>High</v>
      </c>
      <c r="F213" s="1" t="str">
        <v>Not Run</v>
      </c>
      <c r="G213" s="1" t="str">
        <v>Not Run</v>
      </c>
      <c r="H213" s="1" t="str">
        <v>Not Run</v>
      </c>
      <c r="I213" s="1" t="str">
        <v>Not Run</v>
      </c>
      <c r="J213" s="1" t="str">
        <v>Not Run</v>
      </c>
      <c r="K213" s="1" t="str">
        <v>Not Run</v>
      </c>
      <c r="L213" s="1">
        <f>COUNTA(F213:K213)</f>
        <v>6</v>
      </c>
      <c r="M213" s="1">
        <f>COUNTIF(F213:K213,"Pass")</f>
        <v>0</v>
      </c>
      <c r="N213" s="1">
        <f>COUNTIF(F213:K213,"Fail")</f>
        <v>0</v>
      </c>
      <c r="O213" s="1" t="str">
        <f>IF(M213=0,"-",M213/L213)</f>
        <v>-</v>
      </c>
    </row>
    <row r="214">
      <c r="A214" s="1" t="str">
        <v>EXP-060</v>
      </c>
      <c r="B214" s="1" t="str">
        <v>Expense Claim</v>
      </c>
      <c r="C214" s="1" t="str">
        <v>Form Actions</v>
      </c>
      <c r="D214" s="1" t="str">
        <v>Cancel submitted Expense Claim</v>
      </c>
      <c r="E214" s="1" t="str">
        <v>Critical</v>
      </c>
      <c r="F214" s="1" t="str">
        <v>Not Run</v>
      </c>
      <c r="G214" s="1" t="str">
        <v>Not Run</v>
      </c>
      <c r="H214" s="1" t="str">
        <v>Not Run</v>
      </c>
      <c r="I214" s="1" t="str">
        <v>Not Run</v>
      </c>
      <c r="J214" s="1" t="str">
        <v>Not Run</v>
      </c>
      <c r="K214" s="1" t="str">
        <v>Not Run</v>
      </c>
      <c r="L214" s="1">
        <f>COUNTA(F214:K214)</f>
        <v>6</v>
      </c>
      <c r="M214" s="1">
        <f>COUNTIF(F214:K214,"Pass")</f>
        <v>0</v>
      </c>
      <c r="N214" s="1">
        <f>COUNTIF(F214:K214,"Fail")</f>
        <v>0</v>
      </c>
      <c r="O214" s="1" t="str">
        <f>IF(M214=0,"-",M214/L214)</f>
        <v>-</v>
      </c>
    </row>
    <row r="215">
      <c r="A215" s="1" t="str">
        <v>▌ Leave Application</v>
      </c>
    </row>
    <row r="216">
      <c r="A216" s="1" t="str">
        <v>LEA-001</v>
      </c>
      <c r="B216" s="1" t="str">
        <v>Leave Application</v>
      </c>
      <c r="C216" s="1" t="str">
        <v>Leave Application Creation &amp; Basic Details</v>
      </c>
      <c r="D216" s="1" t="str">
        <v>Create Leave Application with mandatory fields only (Employee, Leave Type, From Date, To Date)</v>
      </c>
      <c r="E216" s="1" t="str">
        <v>Critical</v>
      </c>
      <c r="F216" s="1" t="str">
        <v>Not Run</v>
      </c>
      <c r="G216" s="1" t="str">
        <v>Not Run</v>
      </c>
      <c r="H216" s="1" t="str">
        <v>Not Run</v>
      </c>
      <c r="I216" s="1" t="str">
        <v>Not Run</v>
      </c>
      <c r="J216" s="1" t="str">
        <v>Not Run</v>
      </c>
      <c r="K216" s="1" t="str">
        <v>Not Run</v>
      </c>
      <c r="L216" s="1">
        <f>COUNTA(F216:K216)</f>
        <v>6</v>
      </c>
      <c r="M216" s="1">
        <f>COUNTIF(F216:K216,"Pass")</f>
        <v>0</v>
      </c>
      <c r="N216" s="1">
        <f>COUNTIF(F216:K216,"Fail")</f>
        <v>0</v>
      </c>
      <c r="O216" s="1" t="str">
        <f>IF(M216=0,"-",M216/L216)</f>
        <v>-</v>
      </c>
    </row>
    <row r="217">
      <c r="A217" s="1" t="str">
        <v>LEA-002</v>
      </c>
      <c r="B217" s="1" t="str">
        <v>Leave Application</v>
      </c>
      <c r="C217" s="1" t="str">
        <v>Leave Application Creation &amp; Basic Details</v>
      </c>
      <c r="D217" s="1" t="str">
        <v>Create Leave Application with all basic fields (Employee, Leave Type, Dates, Company, Approver)</v>
      </c>
      <c r="E217" s="1" t="str">
        <v>Critical</v>
      </c>
      <c r="F217" s="1" t="str">
        <v>Not Run</v>
      </c>
      <c r="G217" s="1" t="str">
        <v>Not Run</v>
      </c>
      <c r="H217" s="1" t="str">
        <v>Not Run</v>
      </c>
      <c r="I217" s="1" t="str">
        <v>Not Run</v>
      </c>
      <c r="J217" s="1" t="str">
        <v>Not Run</v>
      </c>
      <c r="K217" s="1" t="str">
        <v>Not Run</v>
      </c>
      <c r="L217" s="1">
        <f>COUNTA(F217:K217)</f>
        <v>6</v>
      </c>
      <c r="M217" s="1">
        <f>COUNTIF(F217:K217,"Pass")</f>
        <v>0</v>
      </c>
      <c r="N217" s="1">
        <f>COUNTIF(F217:K217,"Fail")</f>
        <v>0</v>
      </c>
      <c r="O217" s="1" t="str">
        <f>IF(M217=0,"-",M217/L217)</f>
        <v>-</v>
      </c>
    </row>
    <row r="218">
      <c r="A218" s="1" t="str">
        <v>LEA-003</v>
      </c>
      <c r="B218" s="1" t="str">
        <v>Leave Application</v>
      </c>
      <c r="C218" s="1" t="str">
        <v>Series &amp; Auto-generation</v>
      </c>
      <c r="D218" s="1" t="str">
        <v>Series field is auto-generated in format HR-LAP-.YYYY.-</v>
      </c>
      <c r="E218" s="1" t="str">
        <v>Critical</v>
      </c>
      <c r="F218" s="1" t="str">
        <v>Not Run</v>
      </c>
      <c r="G218" s="1" t="str">
        <v>Not Run</v>
      </c>
      <c r="H218" s="1" t="str">
        <v>Not Run</v>
      </c>
      <c r="I218" s="1" t="str">
        <v>Not Run</v>
      </c>
      <c r="J218" s="1" t="str">
        <v>Not Run</v>
      </c>
      <c r="K218" s="1" t="str">
        <v>Not Run</v>
      </c>
      <c r="L218" s="1">
        <f>COUNTA(F218:K218)</f>
        <v>6</v>
      </c>
      <c r="M218" s="1">
        <f>COUNTIF(F218:K218,"Pass")</f>
        <v>0</v>
      </c>
      <c r="N218" s="1">
        <f>COUNTIF(F218:K218,"Fail")</f>
        <v>0</v>
      </c>
      <c r="O218" s="1" t="str">
        <f>IF(M218=0,"-",M218/L218)</f>
        <v>-</v>
      </c>
    </row>
    <row r="219">
      <c r="A219" s="1" t="str">
        <v>LEA-004</v>
      </c>
      <c r="B219" s="1" t="str">
        <v>Leave Application</v>
      </c>
      <c r="C219" s="1" t="str">
        <v>Series &amp; Auto-generation</v>
      </c>
      <c r="D219" s="1" t="str">
        <v>Series field cannot be manually edited</v>
      </c>
      <c r="E219" s="1" t="str">
        <v>High</v>
      </c>
      <c r="F219" s="1" t="str">
        <v>Not Run</v>
      </c>
      <c r="G219" s="1" t="str">
        <v>Not Run</v>
      </c>
      <c r="H219" s="1" t="str">
        <v>Not Run</v>
      </c>
      <c r="I219" s="1" t="str">
        <v>Not Run</v>
      </c>
      <c r="J219" s="1" t="str">
        <v>Not Run</v>
      </c>
      <c r="K219" s="1" t="str">
        <v>Not Run</v>
      </c>
      <c r="L219" s="1">
        <f>COUNTA(F219:K219)</f>
        <v>6</v>
      </c>
      <c r="M219" s="1">
        <f>COUNTIF(F219:K219,"Pass")</f>
        <v>0</v>
      </c>
      <c r="N219" s="1">
        <f>COUNTIF(F219:K219,"Fail")</f>
        <v>0</v>
      </c>
      <c r="O219" s="1" t="str">
        <f>IF(M219=0,"-",M219/L219)</f>
        <v>-</v>
      </c>
    </row>
    <row r="220">
      <c r="A220" s="1" t="str">
        <v>LEA-005</v>
      </c>
      <c r="B220" s="1" t="str">
        <v>Leave Application</v>
      </c>
      <c r="C220" s="1" t="str">
        <v>Series &amp; Auto-generation</v>
      </c>
      <c r="D220" s="1" t="str">
        <v>Unique Series is generated for each leave application</v>
      </c>
      <c r="E220" s="1" t="str">
        <v>Critical</v>
      </c>
      <c r="F220" s="1" t="str">
        <v>Not Run</v>
      </c>
      <c r="G220" s="1" t="str">
        <v>Not Run</v>
      </c>
      <c r="H220" s="1" t="str">
        <v>Not Run</v>
      </c>
      <c r="I220" s="1" t="str">
        <v>Not Run</v>
      </c>
      <c r="J220" s="1" t="str">
        <v>Not Run</v>
      </c>
      <c r="K220" s="1" t="str">
        <v>Not Run</v>
      </c>
      <c r="L220" s="1">
        <f>COUNTA(F220:K220)</f>
        <v>6</v>
      </c>
      <c r="M220" s="1">
        <f>COUNTIF(F220:K220,"Pass")</f>
        <v>0</v>
      </c>
      <c r="N220" s="1">
        <f>COUNTIF(F220:K220,"Fail")</f>
        <v>0</v>
      </c>
      <c r="O220" s="1" t="str">
        <f>IF(M220=0,"-",M220/L220)</f>
        <v>-</v>
      </c>
    </row>
    <row r="221">
      <c r="A221" s="1" t="str">
        <v>LEA-006</v>
      </c>
      <c r="B221" s="1" t="str">
        <v>Leave Application</v>
      </c>
      <c r="C221" s="1" t="str">
        <v>Employee Selection</v>
      </c>
      <c r="D221" s="1" t="str">
        <v>Valid employee can be selected in Employee field</v>
      </c>
      <c r="E221" s="1" t="str">
        <v>Critical</v>
      </c>
      <c r="F221" s="1" t="str">
        <v>Not Run</v>
      </c>
      <c r="G221" s="1" t="str">
        <v>Not Run</v>
      </c>
      <c r="H221" s="1" t="str">
        <v>Not Run</v>
      </c>
      <c r="I221" s="1" t="str">
        <v>Not Run</v>
      </c>
      <c r="J221" s="1" t="str">
        <v>Not Run</v>
      </c>
      <c r="K221" s="1" t="str">
        <v>Not Run</v>
      </c>
      <c r="L221" s="1">
        <f>COUNTA(F221:K221)</f>
        <v>6</v>
      </c>
      <c r="M221" s="1">
        <f>COUNTIF(F221:K221,"Pass")</f>
        <v>0</v>
      </c>
      <c r="N221" s="1">
        <f>COUNTIF(F221:K221,"Fail")</f>
        <v>0</v>
      </c>
      <c r="O221" s="1" t="str">
        <f>IF(M221=0,"-",M221/L221)</f>
        <v>-</v>
      </c>
    </row>
    <row r="222">
      <c r="A222" s="1" t="str">
        <v>LEA-007</v>
      </c>
      <c r="B222" s="1" t="str">
        <v>Leave Application</v>
      </c>
      <c r="C222" s="1" t="str">
        <v>Employee Selection</v>
      </c>
      <c r="D222" s="1" t="str">
        <v>Invalid/non-existent employee is rejected</v>
      </c>
      <c r="E222" s="1" t="str">
        <v>Critical</v>
      </c>
      <c r="F222" s="1" t="str">
        <v>Not Run</v>
      </c>
      <c r="G222" s="1" t="str">
        <v>Not Run</v>
      </c>
      <c r="H222" s="1" t="str">
        <v>Not Run</v>
      </c>
      <c r="I222" s="1" t="str">
        <v>Not Run</v>
      </c>
      <c r="J222" s="1" t="str">
        <v>Not Run</v>
      </c>
      <c r="K222" s="1" t="str">
        <v>Not Run</v>
      </c>
      <c r="L222" s="1">
        <f>COUNTA(F222:K222)</f>
        <v>6</v>
      </c>
      <c r="M222" s="1">
        <f>COUNTIF(F222:K222,"Pass")</f>
        <v>0</v>
      </c>
      <c r="N222" s="1">
        <f>COUNTIF(F222:K222,"Fail")</f>
        <v>0</v>
      </c>
      <c r="O222" s="1" t="str">
        <f>IF(M222=0,"-",M222/L222)</f>
        <v>-</v>
      </c>
    </row>
    <row r="223">
      <c r="A223" s="1" t="str">
        <v>LEA-008</v>
      </c>
      <c r="B223" s="1" t="str">
        <v>Leave Application</v>
      </c>
      <c r="C223" s="1" t="str">
        <v>Employee Selection</v>
      </c>
      <c r="D223" s="1" t="str">
        <v>Employee field is mandatory and cannot be left blank</v>
      </c>
      <c r="E223" s="1" t="str">
        <v>Critical</v>
      </c>
      <c r="F223" s="1" t="str">
        <v>Not Run</v>
      </c>
      <c r="G223" s="1" t="str">
        <v>Not Run</v>
      </c>
      <c r="H223" s="1" t="str">
        <v>Not Run</v>
      </c>
      <c r="I223" s="1" t="str">
        <v>Not Run</v>
      </c>
      <c r="J223" s="1" t="str">
        <v>Not Run</v>
      </c>
      <c r="K223" s="1" t="str">
        <v>Not Run</v>
      </c>
      <c r="L223" s="1">
        <f>COUNTA(F223:K223)</f>
        <v>6</v>
      </c>
      <c r="M223" s="1">
        <f>COUNTIF(F223:K223,"Pass")</f>
        <v>0</v>
      </c>
      <c r="N223" s="1">
        <f>COUNTIF(F223:K223,"Fail")</f>
        <v>0</v>
      </c>
      <c r="O223" s="1" t="str">
        <f>IF(M223=0,"-",M223/L223)</f>
        <v>-</v>
      </c>
    </row>
    <row r="224">
      <c r="A224" s="1" t="str">
        <v>LEA-009</v>
      </c>
      <c r="B224" s="1" t="str">
        <v>Leave Application</v>
      </c>
      <c r="C224" s="1" t="str">
        <v>Leave Type Selection</v>
      </c>
      <c r="D224" s="1" t="str">
        <v>Valid leave type can be selected from dropdown</v>
      </c>
      <c r="E224" s="1" t="str">
        <v>Critical</v>
      </c>
      <c r="F224" s="1" t="str">
        <v>Not Run</v>
      </c>
      <c r="G224" s="1" t="str">
        <v>Not Run</v>
      </c>
      <c r="H224" s="1" t="str">
        <v>Not Run</v>
      </c>
      <c r="I224" s="1" t="str">
        <v>Not Run</v>
      </c>
      <c r="J224" s="1" t="str">
        <v>Not Run</v>
      </c>
      <c r="K224" s="1" t="str">
        <v>Not Run</v>
      </c>
      <c r="L224" s="1">
        <f>COUNTA(F224:K224)</f>
        <v>6</v>
      </c>
      <c r="M224" s="1">
        <f>COUNTIF(F224:K224,"Pass")</f>
        <v>0</v>
      </c>
      <c r="N224" s="1">
        <f>COUNTIF(F224:K224,"Fail")</f>
        <v>0</v>
      </c>
      <c r="O224" s="1" t="str">
        <f>IF(M224=0,"-",M224/L224)</f>
        <v>-</v>
      </c>
    </row>
    <row r="225">
      <c r="A225" s="1" t="str">
        <v>LEA-010</v>
      </c>
      <c r="B225" s="1" t="str">
        <v>Leave Application</v>
      </c>
      <c r="C225" s="1" t="str">
        <v>Leave Type Selection</v>
      </c>
      <c r="D225" s="1" t="str">
        <v>Leave Type field is mandatory and cannot be left blank</v>
      </c>
      <c r="E225" s="1" t="str">
        <v>Critical</v>
      </c>
      <c r="F225" s="1" t="str">
        <v>Not Run</v>
      </c>
      <c r="G225" s="1" t="str">
        <v>Not Run</v>
      </c>
      <c r="H225" s="1" t="str">
        <v>Not Run</v>
      </c>
      <c r="I225" s="1" t="str">
        <v>Not Run</v>
      </c>
      <c r="J225" s="1" t="str">
        <v>Not Run</v>
      </c>
      <c r="K225" s="1" t="str">
        <v>Not Run</v>
      </c>
      <c r="L225" s="1">
        <f>COUNTA(F225:K225)</f>
        <v>6</v>
      </c>
      <c r="M225" s="1">
        <f>COUNTIF(F225:K225,"Pass")</f>
        <v>0</v>
      </c>
      <c r="N225" s="1">
        <f>COUNTIF(F225:K225,"Fail")</f>
        <v>0</v>
      </c>
      <c r="O225" s="1" t="str">
        <f>IF(M225=0,"-",M225/L225)</f>
        <v>-</v>
      </c>
    </row>
    <row r="226">
      <c r="A226" s="1" t="str">
        <v>LEA-011</v>
      </c>
      <c r="B226" s="1" t="str">
        <v>Leave Application</v>
      </c>
      <c r="C226" s="1" t="str">
        <v>Leave Type Selection</v>
      </c>
      <c r="D226" s="1" t="str">
        <v>Leave Type displays all available options (Annual, Sick, Personal, etc.)</v>
      </c>
      <c r="E226" s="1" t="str">
        <v>High</v>
      </c>
      <c r="F226" s="1" t="str">
        <v>Not Run</v>
      </c>
      <c r="G226" s="1" t="str">
        <v>Not Run</v>
      </c>
      <c r="H226" s="1" t="str">
        <v>Not Run</v>
      </c>
      <c r="I226" s="1" t="str">
        <v>Not Run</v>
      </c>
      <c r="J226" s="1" t="str">
        <v>Not Run</v>
      </c>
      <c r="K226" s="1" t="str">
        <v>Not Run</v>
      </c>
      <c r="L226" s="1">
        <f>COUNTA(F226:K226)</f>
        <v>6</v>
      </c>
      <c r="M226" s="1">
        <f>COUNTIF(F226:K226,"Pass")</f>
        <v>0</v>
      </c>
      <c r="N226" s="1">
        <f>COUNTIF(F226:K226,"Fail")</f>
        <v>0</v>
      </c>
      <c r="O226" s="1" t="str">
        <f>IF(M226=0,"-",M226/L226)</f>
        <v>-</v>
      </c>
    </row>
    <row r="227">
      <c r="A227" s="1" t="str">
        <v>LEA-012</v>
      </c>
      <c r="B227" s="1" t="str">
        <v>Leave Application</v>
      </c>
      <c r="C227" s="1" t="str">
        <v>Leave Type Selection</v>
      </c>
      <c r="D227" s="1" t="str">
        <v>Employee's leave balance is checked for selected leave type</v>
      </c>
      <c r="E227" s="1" t="str">
        <v>Critical</v>
      </c>
      <c r="F227" s="1" t="str">
        <v>Not Run</v>
      </c>
      <c r="G227" s="1" t="str">
        <v>Not Run</v>
      </c>
      <c r="H227" s="1" t="str">
        <v>Not Run</v>
      </c>
      <c r="I227" s="1" t="str">
        <v>Not Run</v>
      </c>
      <c r="J227" s="1" t="str">
        <v>Not Run</v>
      </c>
      <c r="K227" s="1" t="str">
        <v>Not Run</v>
      </c>
      <c r="L227" s="1">
        <f>COUNTA(F227:K227)</f>
        <v>6</v>
      </c>
      <c r="M227" s="1">
        <f>COUNTIF(F227:K227,"Pass")</f>
        <v>0</v>
      </c>
      <c r="N227" s="1">
        <f>COUNTIF(F227:K227,"Fail")</f>
        <v>0</v>
      </c>
      <c r="O227" s="1" t="str">
        <f>IF(M227=0,"-",M227/L227)</f>
        <v>-</v>
      </c>
    </row>
    <row r="228">
      <c r="A228" s="1" t="str">
        <v>LEA-013</v>
      </c>
      <c r="B228" s="1" t="str">
        <v>Leave Application</v>
      </c>
      <c r="C228" s="1" t="str">
        <v>Company Details</v>
      </c>
      <c r="D228" s="1" t="str">
        <v>Valid company is selected and displayed</v>
      </c>
      <c r="E228" s="1" t="str">
        <v>Critical</v>
      </c>
      <c r="F228" s="1" t="str">
        <v>Not Run</v>
      </c>
      <c r="G228" s="1" t="str">
        <v>Not Run</v>
      </c>
      <c r="H228" s="1" t="str">
        <v>Not Run</v>
      </c>
      <c r="I228" s="1" t="str">
        <v>Not Run</v>
      </c>
      <c r="J228" s="1" t="str">
        <v>Not Run</v>
      </c>
      <c r="K228" s="1" t="str">
        <v>Not Run</v>
      </c>
      <c r="L228" s="1">
        <f>COUNTA(F228:K228)</f>
        <v>6</v>
      </c>
      <c r="M228" s="1">
        <f>COUNTIF(F228:K228,"Pass")</f>
        <v>0</v>
      </c>
      <c r="N228" s="1">
        <f>COUNTIF(F228:K228,"Fail")</f>
        <v>0</v>
      </c>
      <c r="O228" s="1" t="str">
        <f>IF(M228=0,"-",M228/L228)</f>
        <v>-</v>
      </c>
    </row>
    <row r="229">
      <c r="A229" s="1" t="str">
        <v>LEA-014</v>
      </c>
      <c r="B229" s="1" t="str">
        <v>Leave Application</v>
      </c>
      <c r="C229" s="1" t="str">
        <v>Company Details</v>
      </c>
      <c r="D229" s="1" t="str">
        <v>Company field is mandatory</v>
      </c>
      <c r="E229" s="1" t="str">
        <v>Critical</v>
      </c>
      <c r="F229" s="1" t="str">
        <v>Not Run</v>
      </c>
      <c r="G229" s="1" t="str">
        <v>Not Run</v>
      </c>
      <c r="H229" s="1" t="str">
        <v>Not Run</v>
      </c>
      <c r="I229" s="1" t="str">
        <v>Not Run</v>
      </c>
      <c r="J229" s="1" t="str">
        <v>Not Run</v>
      </c>
      <c r="K229" s="1" t="str">
        <v>Not Run</v>
      </c>
      <c r="L229" s="1">
        <f>COUNTA(F229:K229)</f>
        <v>6</v>
      </c>
      <c r="M229" s="1">
        <f>COUNTIF(F229:K229,"Pass")</f>
        <v>0</v>
      </c>
      <c r="N229" s="1">
        <f>COUNTIF(F229:K229,"Fail")</f>
        <v>0</v>
      </c>
      <c r="O229" s="1" t="str">
        <f>IF(M229=0,"-",M229/L229)</f>
        <v>-</v>
      </c>
    </row>
    <row r="230">
      <c r="A230" s="1" t="str">
        <v>LEA-015</v>
      </c>
      <c r="B230" s="1" t="str">
        <v>Leave Application</v>
      </c>
      <c r="C230" s="1" t="str">
        <v>Company Details</v>
      </c>
      <c r="D230" s="1" t="str">
        <v>Company auto-populates based on employee's assigned company</v>
      </c>
      <c r="E230" s="1" t="str">
        <v>High</v>
      </c>
      <c r="F230" s="1" t="str">
        <v>Not Run</v>
      </c>
      <c r="G230" s="1" t="str">
        <v>Not Run</v>
      </c>
      <c r="H230" s="1" t="str">
        <v>Not Run</v>
      </c>
      <c r="I230" s="1" t="str">
        <v>Not Run</v>
      </c>
      <c r="J230" s="1" t="str">
        <v>Not Run</v>
      </c>
      <c r="K230" s="1" t="str">
        <v>Not Run</v>
      </c>
      <c r="L230" s="1">
        <f>COUNTA(F230:K230)</f>
        <v>6</v>
      </c>
      <c r="M230" s="1">
        <f>COUNTIF(F230:K230,"Pass")</f>
        <v>0</v>
      </c>
      <c r="N230" s="1">
        <f>COUNTIF(F230:K230,"Fail")</f>
        <v>0</v>
      </c>
      <c r="O230" s="1" t="str">
        <f>IF(M230=0,"-",M230/L230)</f>
        <v>-</v>
      </c>
    </row>
    <row r="231">
      <c r="A231" s="1" t="str">
        <v>LEA-016</v>
      </c>
      <c r="B231" s="1" t="str">
        <v>Leave Application</v>
      </c>
      <c r="C231" s="1" t="str">
        <v>Date Range</v>
      </c>
      <c r="D231" s="1" t="str">
        <v>From Date is mandatory and cannot be left blank</v>
      </c>
      <c r="E231" s="1" t="str">
        <v>Critical</v>
      </c>
      <c r="F231" s="1" t="str">
        <v>Not Run</v>
      </c>
      <c r="G231" s="1" t="str">
        <v>Not Run</v>
      </c>
      <c r="H231" s="1" t="str">
        <v>Not Run</v>
      </c>
      <c r="I231" s="1" t="str">
        <v>Not Run</v>
      </c>
      <c r="J231" s="1" t="str">
        <v>Not Run</v>
      </c>
      <c r="K231" s="1" t="str">
        <v>Not Run</v>
      </c>
      <c r="L231" s="1">
        <f>COUNTA(F231:K231)</f>
        <v>6</v>
      </c>
      <c r="M231" s="1">
        <f>COUNTIF(F231:K231,"Pass")</f>
        <v>0</v>
      </c>
      <c r="N231" s="1">
        <f>COUNTIF(F231:K231,"Fail")</f>
        <v>0</v>
      </c>
      <c r="O231" s="1" t="str">
        <f>IF(M231=0,"-",M231/L231)</f>
        <v>-</v>
      </c>
    </row>
    <row r="232">
      <c r="A232" s="1" t="str">
        <v>LEA-017</v>
      </c>
      <c r="B232" s="1" t="str">
        <v>Leave Application</v>
      </c>
      <c r="C232" s="1" t="str">
        <v>Date Range</v>
      </c>
      <c r="D232" s="1" t="str">
        <v>To Date is mandatory and cannot be left blank</v>
      </c>
      <c r="E232" s="1" t="str">
        <v>Critical</v>
      </c>
      <c r="F232" s="1" t="str">
        <v>Not Run</v>
      </c>
      <c r="G232" s="1" t="str">
        <v>Not Run</v>
      </c>
      <c r="H232" s="1" t="str">
        <v>Not Run</v>
      </c>
      <c r="I232" s="1" t="str">
        <v>Not Run</v>
      </c>
      <c r="J232" s="1" t="str">
        <v>Not Run</v>
      </c>
      <c r="K232" s="1" t="str">
        <v>Not Run</v>
      </c>
      <c r="L232" s="1">
        <f>COUNTA(F232:K232)</f>
        <v>6</v>
      </c>
      <c r="M232" s="1">
        <f>COUNTIF(F232:K232,"Pass")</f>
        <v>0</v>
      </c>
      <c r="N232" s="1">
        <f>COUNTIF(F232:K232,"Fail")</f>
        <v>0</v>
      </c>
      <c r="O232" s="1" t="str">
        <f>IF(M232=0,"-",M232/L232)</f>
        <v>-</v>
      </c>
    </row>
    <row r="233">
      <c r="A233" s="1" t="str">
        <v>LEA-018</v>
      </c>
      <c r="B233" s="1" t="str">
        <v>Leave Application</v>
      </c>
      <c r="C233" s="1" t="str">
        <v>Date Range</v>
      </c>
      <c r="D233" s="1" t="str">
        <v>From Date cannot be after To Date</v>
      </c>
      <c r="E233" s="1" t="str">
        <v>Critical</v>
      </c>
      <c r="F233" s="1" t="str">
        <v>Not Run</v>
      </c>
      <c r="G233" s="1" t="str">
        <v>Not Run</v>
      </c>
      <c r="H233" s="1" t="str">
        <v>Not Run</v>
      </c>
      <c r="I233" s="1" t="str">
        <v>Not Run</v>
      </c>
      <c r="J233" s="1" t="str">
        <v>Not Run</v>
      </c>
      <c r="K233" s="1" t="str">
        <v>Not Run</v>
      </c>
      <c r="L233" s="1">
        <f>COUNTA(F233:K233)</f>
        <v>6</v>
      </c>
      <c r="M233" s="1">
        <f>COUNTIF(F233:K233,"Pass")</f>
        <v>0</v>
      </c>
      <c r="N233" s="1">
        <f>COUNTIF(F233:K233,"Fail")</f>
        <v>0</v>
      </c>
      <c r="O233" s="1" t="str">
        <f>IF(M233=0,"-",M233/L233)</f>
        <v>-</v>
      </c>
    </row>
    <row r="234">
      <c r="A234" s="1" t="str">
        <v>LEA-019</v>
      </c>
      <c r="B234" s="1" t="str">
        <v>Leave Application</v>
      </c>
      <c r="C234" s="1" t="str">
        <v>Date Range</v>
      </c>
      <c r="D234" s="1" t="str">
        <v>From Date cannot be in the past</v>
      </c>
      <c r="E234" s="1" t="str">
        <v>High</v>
      </c>
      <c r="F234" s="1" t="str">
        <v>Not Run</v>
      </c>
      <c r="G234" s="1" t="str">
        <v>Not Run</v>
      </c>
      <c r="H234" s="1" t="str">
        <v>Not Run</v>
      </c>
      <c r="I234" s="1" t="str">
        <v>Not Run</v>
      </c>
      <c r="J234" s="1" t="str">
        <v>Not Run</v>
      </c>
      <c r="K234" s="1" t="str">
        <v>Not Run</v>
      </c>
      <c r="L234" s="1">
        <f>COUNTA(F234:K234)</f>
        <v>6</v>
      </c>
      <c r="M234" s="1">
        <f>COUNTIF(F234:K234,"Pass")</f>
        <v>0</v>
      </c>
      <c r="N234" s="1">
        <f>COUNTIF(F234:K234,"Fail")</f>
        <v>0</v>
      </c>
      <c r="O234" s="1" t="str">
        <f>IF(M234=0,"-",M234/L234)</f>
        <v>-</v>
      </c>
    </row>
    <row r="235">
      <c r="A235" s="1" t="str">
        <v>LEA-020</v>
      </c>
      <c r="B235" s="1" t="str">
        <v>Leave Application</v>
      </c>
      <c r="C235" s="1" t="str">
        <v>Date Range</v>
      </c>
      <c r="D235" s="1" t="str">
        <v>To Date cannot be before From Date</v>
      </c>
      <c r="E235" s="1" t="str">
        <v>Critical</v>
      </c>
      <c r="F235" s="1" t="str">
        <v>Not Run</v>
      </c>
      <c r="G235" s="1" t="str">
        <v>Not Run</v>
      </c>
      <c r="H235" s="1" t="str">
        <v>Not Run</v>
      </c>
      <c r="I235" s="1" t="str">
        <v>Not Run</v>
      </c>
      <c r="J235" s="1" t="str">
        <v>Not Run</v>
      </c>
      <c r="K235" s="1" t="str">
        <v>Not Run</v>
      </c>
      <c r="L235" s="1">
        <f>COUNTA(F235:K235)</f>
        <v>6</v>
      </c>
      <c r="M235" s="1">
        <f>COUNTIF(F235:K235,"Pass")</f>
        <v>0</v>
      </c>
      <c r="N235" s="1">
        <f>COUNTIF(F235:K235,"Fail")</f>
        <v>0</v>
      </c>
      <c r="O235" s="1" t="str">
        <f>IF(M235=0,"-",M235/L235)</f>
        <v>-</v>
      </c>
    </row>
    <row r="236">
      <c r="A236" s="1" t="str">
        <v>LEA-021</v>
      </c>
      <c r="B236" s="1" t="str">
        <v>Leave Application</v>
      </c>
      <c r="C236" s="1" t="str">
        <v>Date Range</v>
      </c>
      <c r="D236" s="1" t="str">
        <v>Invalid date format is rejected</v>
      </c>
      <c r="E236" s="1" t="str">
        <v>Critical</v>
      </c>
      <c r="F236" s="1" t="str">
        <v>Not Run</v>
      </c>
      <c r="G236" s="1" t="str">
        <v>Not Run</v>
      </c>
      <c r="H236" s="1" t="str">
        <v>Not Run</v>
      </c>
      <c r="I236" s="1" t="str">
        <v>Not Run</v>
      </c>
      <c r="J236" s="1" t="str">
        <v>Not Run</v>
      </c>
      <c r="K236" s="1" t="str">
        <v>Not Run</v>
      </c>
      <c r="L236" s="1">
        <f>COUNTA(F236:K236)</f>
        <v>6</v>
      </c>
      <c r="M236" s="1">
        <f>COUNTIF(F236:K236,"Pass")</f>
        <v>0</v>
      </c>
      <c r="N236" s="1">
        <f>COUNTIF(F236:K236,"Fail")</f>
        <v>0</v>
      </c>
      <c r="O236" s="1" t="str">
        <f>IF(M236=0,"-",M236/L236)</f>
        <v>-</v>
      </c>
    </row>
    <row r="237">
      <c r="A237" s="1" t="str">
        <v>LEA-022</v>
      </c>
      <c r="B237" s="1" t="str">
        <v>Leave Application</v>
      </c>
      <c r="C237" s="1" t="str">
        <v>Date Range</v>
      </c>
      <c r="D237" s="1" t="str">
        <v>Leave duration is calculated correctly (From Date to To Date)</v>
      </c>
      <c r="E237" s="1" t="str">
        <v>Critical</v>
      </c>
      <c r="F237" s="1" t="str">
        <v>Not Run</v>
      </c>
      <c r="G237" s="1" t="str">
        <v>Not Run</v>
      </c>
      <c r="H237" s="1" t="str">
        <v>Not Run</v>
      </c>
      <c r="I237" s="1" t="str">
        <v>Not Run</v>
      </c>
      <c r="J237" s="1" t="str">
        <v>Not Run</v>
      </c>
      <c r="K237" s="1" t="str">
        <v>Not Run</v>
      </c>
      <c r="L237" s="1">
        <f>COUNTA(F237:K237)</f>
        <v>6</v>
      </c>
      <c r="M237" s="1">
        <f>COUNTIF(F237:K237,"Pass")</f>
        <v>0</v>
      </c>
      <c r="N237" s="1">
        <f>COUNTIF(F237:K237,"Fail")</f>
        <v>0</v>
      </c>
      <c r="O237" s="1" t="str">
        <f>IF(M237=0,"-",M237/L237)</f>
        <v>-</v>
      </c>
    </row>
    <row r="238">
      <c r="A238" s="1" t="str">
        <v>LEA-023</v>
      </c>
      <c r="B238" s="1" t="str">
        <v>Leave Application</v>
      </c>
      <c r="C238" s="1" t="str">
        <v>Half Day Leave</v>
      </c>
      <c r="D238" s="1" t="str">
        <v>Half Day checkbox can be checked</v>
      </c>
      <c r="E238" s="1" t="str">
        <v>High</v>
      </c>
      <c r="F238" s="1" t="str">
        <v>Not Run</v>
      </c>
      <c r="G238" s="1" t="str">
        <v>Not Run</v>
      </c>
      <c r="H238" s="1" t="str">
        <v>Not Run</v>
      </c>
      <c r="I238" s="1" t="str">
        <v>Not Run</v>
      </c>
      <c r="J238" s="1" t="str">
        <v>Not Run</v>
      </c>
      <c r="K238" s="1" t="str">
        <v>Not Run</v>
      </c>
      <c r="L238" s="1">
        <f>COUNTA(F238:K238)</f>
        <v>6</v>
      </c>
      <c r="M238" s="1">
        <f>COUNTIF(F238:K238,"Pass")</f>
        <v>0</v>
      </c>
      <c r="N238" s="1">
        <f>COUNTIF(F238:K238,"Fail")</f>
        <v>0</v>
      </c>
      <c r="O238" s="1" t="str">
        <f>IF(M238=0,"-",M238/L238)</f>
        <v>-</v>
      </c>
    </row>
    <row r="239">
      <c r="A239" s="1" t="str">
        <v>LEA-024</v>
      </c>
      <c r="B239" s="1" t="str">
        <v>Leave Application</v>
      </c>
      <c r="C239" s="1" t="str">
        <v>Half Day Leave</v>
      </c>
      <c r="D239" s="1" t="str">
        <v>Half Day checkbox can be unchecked</v>
      </c>
      <c r="E239" s="1" t="str">
        <v>High</v>
      </c>
      <c r="F239" s="1" t="str">
        <v>Not Run</v>
      </c>
      <c r="G239" s="1" t="str">
        <v>Not Run</v>
      </c>
      <c r="H239" s="1" t="str">
        <v>Not Run</v>
      </c>
      <c r="I239" s="1" t="str">
        <v>Not Run</v>
      </c>
      <c r="J239" s="1" t="str">
        <v>Not Run</v>
      </c>
      <c r="K239" s="1" t="str">
        <v>Not Run</v>
      </c>
      <c r="L239" s="1">
        <f>COUNTA(F239:K239)</f>
        <v>6</v>
      </c>
      <c r="M239" s="1">
        <f>COUNTIF(F239:K239,"Pass")</f>
        <v>0</v>
      </c>
      <c r="N239" s="1">
        <f>COUNTIF(F239:K239,"Fail")</f>
        <v>0</v>
      </c>
      <c r="O239" s="1" t="str">
        <f>IF(M239=0,"-",M239/L239)</f>
        <v>-</v>
      </c>
    </row>
    <row r="240">
      <c r="A240" s="1" t="str">
        <v>LEA-025</v>
      </c>
      <c r="B240" s="1" t="str">
        <v>Leave Application</v>
      </c>
      <c r="C240" s="1" t="str">
        <v>Half Day Leave</v>
      </c>
      <c r="D240" s="1" t="str">
        <v>Half Day with single date (From Date = To Date) is valid</v>
      </c>
      <c r="E240" s="1" t="str">
        <v>Critical</v>
      </c>
      <c r="F240" s="1" t="str">
        <v>Not Run</v>
      </c>
      <c r="G240" s="1" t="str">
        <v>Not Run</v>
      </c>
      <c r="H240" s="1" t="str">
        <v>Not Run</v>
      </c>
      <c r="I240" s="1" t="str">
        <v>Not Run</v>
      </c>
      <c r="J240" s="1" t="str">
        <v>Not Run</v>
      </c>
      <c r="K240" s="1" t="str">
        <v>Not Run</v>
      </c>
      <c r="L240" s="1">
        <f>COUNTA(F240:K240)</f>
        <v>6</v>
      </c>
      <c r="M240" s="1">
        <f>COUNTIF(F240:K240,"Pass")</f>
        <v>0</v>
      </c>
      <c r="N240" s="1">
        <f>COUNTIF(F240:K240,"Fail")</f>
        <v>0</v>
      </c>
      <c r="O240" s="1" t="str">
        <f>IF(M240=0,"-",M240/L240)</f>
        <v>-</v>
      </c>
    </row>
    <row r="241">
      <c r="A241" s="1" t="str">
        <v>LEA-026</v>
      </c>
      <c r="B241" s="1" t="str">
        <v>Leave Application</v>
      </c>
      <c r="C241" s="1" t="str">
        <v>Half Day Leave</v>
      </c>
      <c r="D241" s="1" t="str">
        <v>Half Day with date range is rejected</v>
      </c>
      <c r="E241" s="1" t="str">
        <v>Critical</v>
      </c>
      <c r="F241" s="1" t="str">
        <v>Not Run</v>
      </c>
      <c r="G241" s="1" t="str">
        <v>Not Run</v>
      </c>
      <c r="H241" s="1" t="str">
        <v>Not Run</v>
      </c>
      <c r="I241" s="1" t="str">
        <v>Not Run</v>
      </c>
      <c r="J241" s="1" t="str">
        <v>Not Run</v>
      </c>
      <c r="K241" s="1" t="str">
        <v>Not Run</v>
      </c>
      <c r="L241" s="1">
        <f>COUNTA(F241:K241)</f>
        <v>6</v>
      </c>
      <c r="M241" s="1">
        <f>COUNTIF(F241:K241,"Pass")</f>
        <v>0</v>
      </c>
      <c r="N241" s="1">
        <f>COUNTIF(F241:K241,"Fail")</f>
        <v>0</v>
      </c>
      <c r="O241" s="1" t="str">
        <f>IF(M241=0,"-",M241/L241)</f>
        <v>-</v>
      </c>
    </row>
    <row r="242">
      <c r="A242" s="1" t="str">
        <v>LEA-027</v>
      </c>
      <c r="B242" s="1" t="str">
        <v>Leave Application</v>
      </c>
      <c r="C242" s="1" t="str">
        <v>Half Day Leave</v>
      </c>
      <c r="D242" s="1" t="str">
        <v>Half Day reduces leave balance by 0.5 days</v>
      </c>
      <c r="E242" s="1" t="str">
        <v>Critical</v>
      </c>
      <c r="F242" s="1" t="str">
        <v>Not Run</v>
      </c>
      <c r="G242" s="1" t="str">
        <v>Not Run</v>
      </c>
      <c r="H242" s="1" t="str">
        <v>Not Run</v>
      </c>
      <c r="I242" s="1" t="str">
        <v>Not Run</v>
      </c>
      <c r="J242" s="1" t="str">
        <v>Not Run</v>
      </c>
      <c r="K242" s="1" t="str">
        <v>Not Run</v>
      </c>
      <c r="L242" s="1">
        <f>COUNTA(F242:K242)</f>
        <v>6</v>
      </c>
      <c r="M242" s="1">
        <f>COUNTIF(F242:K242,"Pass")</f>
        <v>0</v>
      </c>
      <c r="N242" s="1">
        <f>COUNTIF(F242:K242,"Fail")</f>
        <v>0</v>
      </c>
      <c r="O242" s="1" t="str">
        <f>IF(M242=0,"-",M242/L242)</f>
        <v>-</v>
      </c>
    </row>
    <row r="243">
      <c r="A243" s="1" t="str">
        <v>LEA-028</v>
      </c>
      <c r="B243" s="1" t="str">
        <v>Leave Application</v>
      </c>
      <c r="C243" s="1" t="str">
        <v>Half Day Leave</v>
      </c>
      <c r="D243" s="1" t="str">
        <v>Full day reduces leave balance by 1 day</v>
      </c>
      <c r="E243" s="1" t="str">
        <v>Critical</v>
      </c>
      <c r="F243" s="1" t="str">
        <v>Not Run</v>
      </c>
      <c r="G243" s="1" t="str">
        <v>Not Run</v>
      </c>
      <c r="H243" s="1" t="str">
        <v>Not Run</v>
      </c>
      <c r="I243" s="1" t="str">
        <v>Not Run</v>
      </c>
      <c r="J243" s="1" t="str">
        <v>Not Run</v>
      </c>
      <c r="K243" s="1" t="str">
        <v>Not Run</v>
      </c>
      <c r="L243" s="1">
        <f>COUNTA(F243:K243)</f>
        <v>6</v>
      </c>
      <c r="M243" s="1">
        <f>COUNTIF(F243:K243,"Pass")</f>
        <v>0</v>
      </c>
      <c r="N243" s="1">
        <f>COUNTIF(F243:K243,"Fail")</f>
        <v>0</v>
      </c>
      <c r="O243" s="1" t="str">
        <f>IF(M243=0,"-",M243/L243)</f>
        <v>-</v>
      </c>
    </row>
    <row r="244">
      <c r="A244" s="1" t="str">
        <v>LEA-029</v>
      </c>
      <c r="B244" s="1" t="str">
        <v>Leave Application</v>
      </c>
      <c r="C244" s="1" t="str">
        <v>Reason</v>
      </c>
      <c r="D244" s="1" t="str">
        <v>Reason field is optional</v>
      </c>
      <c r="E244" s="1" t="str">
        <v>Medium</v>
      </c>
      <c r="F244" s="1" t="str">
        <v>Not Run</v>
      </c>
      <c r="G244" s="1" t="str">
        <v>Not Run</v>
      </c>
      <c r="H244" s="1" t="str">
        <v>Not Run</v>
      </c>
      <c r="I244" s="1" t="str">
        <v>Not Run</v>
      </c>
      <c r="J244" s="1" t="str">
        <v>Not Run</v>
      </c>
      <c r="K244" s="1" t="str">
        <v>Not Run</v>
      </c>
      <c r="L244" s="1">
        <f>COUNTA(F244:K244)</f>
        <v>6</v>
      </c>
      <c r="M244" s="1">
        <f>COUNTIF(F244:K244,"Pass")</f>
        <v>0</v>
      </c>
      <c r="N244" s="1">
        <f>COUNTIF(F244:K244,"Fail")</f>
        <v>0</v>
      </c>
      <c r="O244" s="1" t="str">
        <f>IF(M244=0,"-",M244/L244)</f>
        <v>-</v>
      </c>
    </row>
    <row r="245">
      <c r="A245" s="1" t="str">
        <v>LEA-030</v>
      </c>
      <c r="B245" s="1" t="str">
        <v>Leave Application</v>
      </c>
      <c r="C245" s="1" t="str">
        <v>Reason</v>
      </c>
      <c r="D245" s="1" t="str">
        <v>Reason field accepts text input</v>
      </c>
      <c r="E245" s="1" t="str">
        <v>Medium</v>
      </c>
      <c r="F245" s="1" t="str">
        <v>Not Run</v>
      </c>
      <c r="G245" s="1" t="str">
        <v>Not Run</v>
      </c>
      <c r="H245" s="1" t="str">
        <v>Not Run</v>
      </c>
      <c r="I245" s="1" t="str">
        <v>Not Run</v>
      </c>
      <c r="J245" s="1" t="str">
        <v>Not Run</v>
      </c>
      <c r="K245" s="1" t="str">
        <v>Not Run</v>
      </c>
      <c r="L245" s="1">
        <f>COUNTA(F245:K245)</f>
        <v>6</v>
      </c>
      <c r="M245" s="1">
        <f>COUNTIF(F245:K245,"Pass")</f>
        <v>0</v>
      </c>
      <c r="N245" s="1">
        <f>COUNTIF(F245:K245,"Fail")</f>
        <v>0</v>
      </c>
      <c r="O245" s="1" t="str">
        <f>IF(M245=0,"-",M245/L245)</f>
        <v>-</v>
      </c>
    </row>
    <row r="246">
      <c r="A246" s="1" t="str">
        <v>LEA-031</v>
      </c>
      <c r="B246" s="1" t="str">
        <v>Leave Application</v>
      </c>
      <c r="C246" s="1" t="str">
        <v>Reason</v>
      </c>
      <c r="D246" s="1" t="str">
        <v>Reason field accepts special characters</v>
      </c>
      <c r="E246" s="1" t="str">
        <v>Medium</v>
      </c>
      <c r="F246" s="1" t="str">
        <v>Not Run</v>
      </c>
      <c r="G246" s="1" t="str">
        <v>Not Run</v>
      </c>
      <c r="H246" s="1" t="str">
        <v>Not Run</v>
      </c>
      <c r="I246" s="1" t="str">
        <v>Not Run</v>
      </c>
      <c r="J246" s="1" t="str">
        <v>Not Run</v>
      </c>
      <c r="K246" s="1" t="str">
        <v>Not Run</v>
      </c>
      <c r="L246" s="1">
        <f>COUNTA(F246:K246)</f>
        <v>6</v>
      </c>
      <c r="M246" s="1">
        <f>COUNTIF(F246:K246,"Pass")</f>
        <v>0</v>
      </c>
      <c r="N246" s="1">
        <f>COUNTIF(F246:K246,"Fail")</f>
        <v>0</v>
      </c>
      <c r="O246" s="1" t="str">
        <f>IF(M246=0,"-",M246/L246)</f>
        <v>-</v>
      </c>
    </row>
    <row r="247">
      <c r="A247" s="1" t="str">
        <v>LEA-032</v>
      </c>
      <c r="B247" s="1" t="str">
        <v>Leave Application</v>
      </c>
      <c r="C247" s="1" t="str">
        <v>Leave Approver</v>
      </c>
      <c r="D247" s="1" t="str">
        <v>Valid leave approver can be selected</v>
      </c>
      <c r="E247" s="1" t="str">
        <v>Critical</v>
      </c>
      <c r="F247" s="1" t="str">
        <v>Not Run</v>
      </c>
      <c r="G247" s="1" t="str">
        <v>Not Run</v>
      </c>
      <c r="H247" s="1" t="str">
        <v>Not Run</v>
      </c>
      <c r="I247" s="1" t="str">
        <v>Not Run</v>
      </c>
      <c r="J247" s="1" t="str">
        <v>Not Run</v>
      </c>
      <c r="K247" s="1" t="str">
        <v>Not Run</v>
      </c>
      <c r="L247" s="1">
        <f>COUNTA(F247:K247)</f>
        <v>6</v>
      </c>
      <c r="M247" s="1">
        <f>COUNTIF(F247:K247,"Pass")</f>
        <v>0</v>
      </c>
      <c r="N247" s="1">
        <f>COUNTIF(F247:K247,"Fail")</f>
        <v>0</v>
      </c>
      <c r="O247" s="1" t="str">
        <f>IF(M247=0,"-",M247/L247)</f>
        <v>-</v>
      </c>
    </row>
    <row r="248">
      <c r="A248" s="1" t="str">
        <v>LEA-033</v>
      </c>
      <c r="B248" s="1" t="str">
        <v>Leave Application</v>
      </c>
      <c r="C248" s="1" t="str">
        <v>Leave Approver</v>
      </c>
      <c r="D248" s="1" t="str">
        <v>Invalid approver is rejected</v>
      </c>
      <c r="E248" s="1" t="str">
        <v>Critical</v>
      </c>
      <c r="F248" s="1" t="str">
        <v>Not Run</v>
      </c>
      <c r="G248" s="1" t="str">
        <v>Not Run</v>
      </c>
      <c r="H248" s="1" t="str">
        <v>Not Run</v>
      </c>
      <c r="I248" s="1" t="str">
        <v>Not Run</v>
      </c>
      <c r="J248" s="1" t="str">
        <v>Not Run</v>
      </c>
      <c r="K248" s="1" t="str">
        <v>Not Run</v>
      </c>
      <c r="L248" s="1">
        <f>COUNTA(F248:K248)</f>
        <v>6</v>
      </c>
      <c r="M248" s="1">
        <f>COUNTIF(F248:K248,"Pass")</f>
        <v>0</v>
      </c>
      <c r="N248" s="1">
        <f>COUNTIF(F248:K248,"Fail")</f>
        <v>0</v>
      </c>
      <c r="O248" s="1" t="str">
        <f>IF(M248=0,"-",M248/L248)</f>
        <v>-</v>
      </c>
    </row>
    <row r="249">
      <c r="A249" s="1" t="str">
        <v>LEA-034</v>
      </c>
      <c r="B249" s="1" t="str">
        <v>Leave Application</v>
      </c>
      <c r="C249" s="1" t="str">
        <v>Leave Approver</v>
      </c>
      <c r="D249" s="1" t="str">
        <v>Leave Approver field is mandatory and cannot be left blank</v>
      </c>
      <c r="E249" s="1" t="str">
        <v>Critical</v>
      </c>
      <c r="F249" s="1" t="str">
        <v>Not Run</v>
      </c>
      <c r="G249" s="1" t="str">
        <v>Not Run</v>
      </c>
      <c r="H249" s="1" t="str">
        <v>Not Run</v>
      </c>
      <c r="I249" s="1" t="str">
        <v>Not Run</v>
      </c>
      <c r="J249" s="1" t="str">
        <v>Not Run</v>
      </c>
      <c r="K249" s="1" t="str">
        <v>Not Run</v>
      </c>
      <c r="L249" s="1">
        <f>COUNTA(F249:K249)</f>
        <v>6</v>
      </c>
      <c r="M249" s="1">
        <f>COUNTIF(F249:K249,"Pass")</f>
        <v>0</v>
      </c>
      <c r="N249" s="1">
        <f>COUNTIF(F249:K249,"Fail")</f>
        <v>0</v>
      </c>
      <c r="O249" s="1" t="str">
        <f>IF(M249=0,"-",M249/L249)</f>
        <v>-</v>
      </c>
    </row>
    <row r="250">
      <c r="A250" s="1" t="str">
        <v>LEA-035</v>
      </c>
      <c r="B250" s="1" t="str">
        <v>Leave Application</v>
      </c>
      <c r="C250" s="1" t="str">
        <v>Leave Approver</v>
      </c>
      <c r="D250" s="1" t="str">
        <v>Leave Approver must have approval authority for the employee</v>
      </c>
      <c r="E250" s="1" t="str">
        <v>Critical</v>
      </c>
      <c r="F250" s="1" t="str">
        <v>Not Run</v>
      </c>
      <c r="G250" s="1" t="str">
        <v>Not Run</v>
      </c>
      <c r="H250" s="1" t="str">
        <v>Not Run</v>
      </c>
      <c r="I250" s="1" t="str">
        <v>Not Run</v>
      </c>
      <c r="J250" s="1" t="str">
        <v>Not Run</v>
      </c>
      <c r="K250" s="1" t="str">
        <v>Not Run</v>
      </c>
      <c r="L250" s="1">
        <f>COUNTA(F250:K250)</f>
        <v>6</v>
      </c>
      <c r="M250" s="1">
        <f>COUNTIF(F250:K250,"Pass")</f>
        <v>0</v>
      </c>
      <c r="N250" s="1">
        <f>COUNTIF(F250:K250,"Fail")</f>
        <v>0</v>
      </c>
      <c r="O250" s="1" t="str">
        <f>IF(M250=0,"-",M250/L250)</f>
        <v>-</v>
      </c>
    </row>
    <row r="251">
      <c r="A251" s="1" t="str">
        <v>LEA-036</v>
      </c>
      <c r="B251" s="1" t="str">
        <v>Leave Application</v>
      </c>
      <c r="C251" s="1" t="str">
        <v>Posting Date</v>
      </c>
      <c r="D251" s="1" t="str">
        <v>Posting Date is auto-populated with current date</v>
      </c>
      <c r="E251" s="1" t="str">
        <v>High</v>
      </c>
      <c r="F251" s="1" t="str">
        <v>Not Run</v>
      </c>
      <c r="G251" s="1" t="str">
        <v>Not Run</v>
      </c>
      <c r="H251" s="1" t="str">
        <v>Not Run</v>
      </c>
      <c r="I251" s="1" t="str">
        <v>Not Run</v>
      </c>
      <c r="J251" s="1" t="str">
        <v>Not Run</v>
      </c>
      <c r="K251" s="1" t="str">
        <v>Not Run</v>
      </c>
      <c r="L251" s="1">
        <f>COUNTA(F251:K251)</f>
        <v>6</v>
      </c>
      <c r="M251" s="1">
        <f>COUNTIF(F251:K251,"Pass")</f>
        <v>0</v>
      </c>
      <c r="N251" s="1">
        <f>COUNTIF(F251:K251,"Fail")</f>
        <v>0</v>
      </c>
      <c r="O251" s="1" t="str">
        <f>IF(M251=0,"-",M251/L251)</f>
        <v>-</v>
      </c>
    </row>
    <row r="252">
      <c r="A252" s="1" t="str">
        <v>LEA-037</v>
      </c>
      <c r="B252" s="1" t="str">
        <v>Leave Application</v>
      </c>
      <c r="C252" s="1" t="str">
        <v>Posting Date</v>
      </c>
      <c r="D252" s="1" t="str">
        <v>Posting Date cannot be manually changed</v>
      </c>
      <c r="E252" s="1" t="str">
        <v>High</v>
      </c>
      <c r="F252" s="1" t="str">
        <v>Not Run</v>
      </c>
      <c r="G252" s="1" t="str">
        <v>Not Run</v>
      </c>
      <c r="H252" s="1" t="str">
        <v>Not Run</v>
      </c>
      <c r="I252" s="1" t="str">
        <v>Not Run</v>
      </c>
      <c r="J252" s="1" t="str">
        <v>Not Run</v>
      </c>
      <c r="K252" s="1" t="str">
        <v>Not Run</v>
      </c>
      <c r="L252" s="1">
        <f>COUNTA(F252:K252)</f>
        <v>6</v>
      </c>
      <c r="M252" s="1">
        <f>COUNTIF(F252:K252,"Pass")</f>
        <v>0</v>
      </c>
      <c r="N252" s="1">
        <f>COUNTIF(F252:K252,"Fail")</f>
        <v>0</v>
      </c>
      <c r="O252" s="1" t="str">
        <f>IF(M252=0,"-",M252/L252)</f>
        <v>-</v>
      </c>
    </row>
    <row r="253">
      <c r="A253" s="1" t="str">
        <v>LEA-038</v>
      </c>
      <c r="B253" s="1" t="str">
        <v>Leave Application</v>
      </c>
      <c r="C253" s="1" t="str">
        <v>Posting Date</v>
      </c>
      <c r="D253" s="1" t="str">
        <v>Posting Date is recorded accurately on submission</v>
      </c>
      <c r="E253" s="1" t="str">
        <v>High</v>
      </c>
      <c r="F253" s="1" t="str">
        <v>Not Run</v>
      </c>
      <c r="G253" s="1" t="str">
        <v>Not Run</v>
      </c>
      <c r="H253" s="1" t="str">
        <v>Not Run</v>
      </c>
      <c r="I253" s="1" t="str">
        <v>Not Run</v>
      </c>
      <c r="J253" s="1" t="str">
        <v>Not Run</v>
      </c>
      <c r="K253" s="1" t="str">
        <v>Not Run</v>
      </c>
      <c r="L253" s="1">
        <f>COUNTA(F253:K253)</f>
        <v>6</v>
      </c>
      <c r="M253" s="1">
        <f>COUNTIF(F253:K253,"Pass")</f>
        <v>0</v>
      </c>
      <c r="N253" s="1">
        <f>COUNTIF(F253:K253,"Fail")</f>
        <v>0</v>
      </c>
      <c r="O253" s="1" t="str">
        <f>IF(M253=0,"-",M253/L253)</f>
        <v>-</v>
      </c>
    </row>
    <row r="254">
      <c r="A254" s="1" t="str">
        <v>LEA-039</v>
      </c>
      <c r="B254" s="1" t="str">
        <v>Leave Application</v>
      </c>
      <c r="C254" s="1" t="str">
        <v>Leave Balance</v>
      </c>
      <c r="D254" s="1" t="str">
        <v>Leave balance is displayed for selected leave type</v>
      </c>
      <c r="E254" s="1" t="str">
        <v>Critical</v>
      </c>
      <c r="F254" s="1" t="str">
        <v>Not Run</v>
      </c>
      <c r="G254" s="1" t="str">
        <v>Not Run</v>
      </c>
      <c r="H254" s="1" t="str">
        <v>Not Run</v>
      </c>
      <c r="I254" s="1" t="str">
        <v>Not Run</v>
      </c>
      <c r="J254" s="1" t="str">
        <v>Not Run</v>
      </c>
      <c r="K254" s="1" t="str">
        <v>Not Run</v>
      </c>
      <c r="L254" s="1">
        <f>COUNTA(F254:K254)</f>
        <v>6</v>
      </c>
      <c r="M254" s="1">
        <f>COUNTIF(F254:K254,"Pass")</f>
        <v>0</v>
      </c>
      <c r="N254" s="1">
        <f>COUNTIF(F254:K254,"Fail")</f>
        <v>0</v>
      </c>
      <c r="O254" s="1" t="str">
        <f>IF(M254=0,"-",M254/L254)</f>
        <v>-</v>
      </c>
    </row>
    <row r="255">
      <c r="A255" s="1" t="str">
        <v>LEA-040</v>
      </c>
      <c r="B255" s="1" t="str">
        <v>Leave Application</v>
      </c>
      <c r="C255" s="1" t="str">
        <v>Leave Balance</v>
      </c>
      <c r="D255" s="1" t="str">
        <v>Leave balance decreases after leave application is approved</v>
      </c>
      <c r="E255" s="1" t="str">
        <v>Critical</v>
      </c>
      <c r="F255" s="1" t="str">
        <v>Not Run</v>
      </c>
      <c r="G255" s="1" t="str">
        <v>Not Run</v>
      </c>
      <c r="H255" s="1" t="str">
        <v>Not Run</v>
      </c>
      <c r="I255" s="1" t="str">
        <v>Not Run</v>
      </c>
      <c r="J255" s="1" t="str">
        <v>Not Run</v>
      </c>
      <c r="K255" s="1" t="str">
        <v>Not Run</v>
      </c>
      <c r="L255" s="1">
        <f>COUNTA(F255:K255)</f>
        <v>6</v>
      </c>
      <c r="M255" s="1">
        <f>COUNTIF(F255:K255,"Pass")</f>
        <v>0</v>
      </c>
      <c r="N255" s="1">
        <f>COUNTIF(F255:K255,"Fail")</f>
        <v>0</v>
      </c>
      <c r="O255" s="1" t="str">
        <f>IF(M255=0,"-",M255/L255)</f>
        <v>-</v>
      </c>
    </row>
    <row r="256">
      <c r="A256" s="1" t="str">
        <v>LEA-041</v>
      </c>
      <c r="B256" s="1" t="str">
        <v>Leave Application</v>
      </c>
      <c r="C256" s="1" t="str">
        <v>Leave Balance</v>
      </c>
      <c r="D256" s="1" t="str">
        <v>Leave balance is restored after leave is cancelled</v>
      </c>
      <c r="E256" s="1" t="str">
        <v>Critical</v>
      </c>
      <c r="F256" s="1" t="str">
        <v>Not Run</v>
      </c>
      <c r="G256" s="1" t="str">
        <v>Not Run</v>
      </c>
      <c r="H256" s="1" t="str">
        <v>Not Run</v>
      </c>
      <c r="I256" s="1" t="str">
        <v>Not Run</v>
      </c>
      <c r="J256" s="1" t="str">
        <v>Not Run</v>
      </c>
      <c r="K256" s="1" t="str">
        <v>Not Run</v>
      </c>
      <c r="L256" s="1">
        <f>COUNTA(F256:K256)</f>
        <v>6</v>
      </c>
      <c r="M256" s="1">
        <f>COUNTIF(F256:K256,"Pass")</f>
        <v>0</v>
      </c>
      <c r="N256" s="1">
        <f>COUNTIF(F256:K256,"Fail")</f>
        <v>0</v>
      </c>
      <c r="O256" s="1" t="str">
        <f>IF(M256=0,"-",M256/L256)</f>
        <v>-</v>
      </c>
    </row>
    <row r="257">
      <c r="A257" s="1" t="str">
        <v>LEA-042</v>
      </c>
      <c r="B257" s="1" t="str">
        <v>Leave Application</v>
      </c>
      <c r="C257" s="1" t="str">
        <v>Leave Balance</v>
      </c>
      <c r="D257" s="1" t="str">
        <v>Leave application is rejected if balance is insufficient</v>
      </c>
      <c r="E257" s="1" t="str">
        <v>Critical</v>
      </c>
      <c r="F257" s="1" t="str">
        <v>Not Run</v>
      </c>
      <c r="G257" s="1" t="str">
        <v>Not Run</v>
      </c>
      <c r="H257" s="1" t="str">
        <v>Not Run</v>
      </c>
      <c r="I257" s="1" t="str">
        <v>Not Run</v>
      </c>
      <c r="J257" s="1" t="str">
        <v>Not Run</v>
      </c>
      <c r="K257" s="1" t="str">
        <v>Not Run</v>
      </c>
      <c r="L257" s="1">
        <f>COUNTA(F257:K257)</f>
        <v>6</v>
      </c>
      <c r="M257" s="1">
        <f>COUNTIF(F257:K257,"Pass")</f>
        <v>0</v>
      </c>
      <c r="N257" s="1">
        <f>COUNTIF(F257:K257,"Fail")</f>
        <v>0</v>
      </c>
      <c r="O257" s="1" t="str">
        <f>IF(M257=0,"-",M257/L257)</f>
        <v>-</v>
      </c>
    </row>
    <row r="258">
      <c r="A258" s="1" t="str">
        <v>LEA-043</v>
      </c>
      <c r="B258" s="1" t="str">
        <v>Leave Application</v>
      </c>
      <c r="C258" s="1" t="str">
        <v>Leave Balance</v>
      </c>
      <c r="D258" s="1" t="str">
        <v>Leave balance updates are reflected in real-time</v>
      </c>
      <c r="E258" s="1" t="str">
        <v>High</v>
      </c>
      <c r="F258" s="1" t="str">
        <v>Not Run</v>
      </c>
      <c r="G258" s="1" t="str">
        <v>Not Run</v>
      </c>
      <c r="H258" s="1" t="str">
        <v>Not Run</v>
      </c>
      <c r="I258" s="1" t="str">
        <v>Not Run</v>
      </c>
      <c r="J258" s="1" t="str">
        <v>Not Run</v>
      </c>
      <c r="K258" s="1" t="str">
        <v>Not Run</v>
      </c>
      <c r="L258" s="1">
        <f>COUNTA(F258:K258)</f>
        <v>6</v>
      </c>
      <c r="M258" s="1">
        <f>COUNTIF(F258:K258,"Pass")</f>
        <v>0</v>
      </c>
      <c r="N258" s="1">
        <f>COUNTIF(F258:K258,"Fail")</f>
        <v>0</v>
      </c>
      <c r="O258" s="1" t="str">
        <f>IF(M258=0,"-",M258/L258)</f>
        <v>-</v>
      </c>
    </row>
    <row r="259">
      <c r="A259" s="1" t="str">
        <v>LEA-044</v>
      </c>
      <c r="B259" s="1" t="str">
        <v>Leave Application</v>
      </c>
      <c r="C259" s="1" t="str">
        <v>Status &amp; Workflow</v>
      </c>
      <c r="D259" s="1" t="str">
        <v>Status defaults to Open on creation</v>
      </c>
      <c r="E259" s="1" t="str">
        <v>Critical</v>
      </c>
      <c r="F259" s="1" t="str">
        <v>Not Run</v>
      </c>
      <c r="G259" s="1" t="str">
        <v>Not Run</v>
      </c>
      <c r="H259" s="1" t="str">
        <v>Not Run</v>
      </c>
      <c r="I259" s="1" t="str">
        <v>Not Run</v>
      </c>
      <c r="J259" s="1" t="str">
        <v>Not Run</v>
      </c>
      <c r="K259" s="1" t="str">
        <v>Not Run</v>
      </c>
      <c r="L259" s="1">
        <f>COUNTA(F259:K259)</f>
        <v>6</v>
      </c>
      <c r="M259" s="1">
        <f>COUNTIF(F259:K259,"Pass")</f>
        <v>0</v>
      </c>
      <c r="N259" s="1">
        <f>COUNTIF(F259:K259,"Fail")</f>
        <v>0</v>
      </c>
      <c r="O259" s="1" t="str">
        <f>IF(M259=0,"-",M259/L259)</f>
        <v>-</v>
      </c>
    </row>
    <row r="260">
      <c r="A260" s="1" t="str">
        <v>LEA-045</v>
      </c>
      <c r="B260" s="1" t="str">
        <v>Leave Application</v>
      </c>
      <c r="C260" s="1" t="str">
        <v>Status &amp; Workflow</v>
      </c>
      <c r="D260" s="1" t="str">
        <v>Status changes to Approved after approval</v>
      </c>
      <c r="E260" s="1" t="str">
        <v>Critical</v>
      </c>
      <c r="F260" s="1" t="str">
        <v>Not Run</v>
      </c>
      <c r="G260" s="1" t="str">
        <v>Not Run</v>
      </c>
      <c r="H260" s="1" t="str">
        <v>Not Run</v>
      </c>
      <c r="I260" s="1" t="str">
        <v>Not Run</v>
      </c>
      <c r="J260" s="1" t="str">
        <v>Not Run</v>
      </c>
      <c r="K260" s="1" t="str">
        <v>Not Run</v>
      </c>
      <c r="L260" s="1">
        <f>COUNTA(F260:K260)</f>
        <v>6</v>
      </c>
      <c r="M260" s="1">
        <f>COUNTIF(F260:K260,"Pass")</f>
        <v>0</v>
      </c>
      <c r="N260" s="1">
        <f>COUNTIF(F260:K260,"Fail")</f>
        <v>0</v>
      </c>
      <c r="O260" s="1" t="str">
        <f>IF(M260=0,"-",M260/L260)</f>
        <v>-</v>
      </c>
    </row>
    <row r="261">
      <c r="A261" s="1" t="str">
        <v>LEA-046</v>
      </c>
      <c r="B261" s="1" t="str">
        <v>Leave Application</v>
      </c>
      <c r="C261" s="1" t="str">
        <v>Status &amp; Workflow</v>
      </c>
      <c r="D261" s="1" t="str">
        <v>Status changes to Rejected after rejection</v>
      </c>
      <c r="E261" s="1" t="str">
        <v>Critical</v>
      </c>
      <c r="F261" s="1" t="str">
        <v>Not Run</v>
      </c>
      <c r="G261" s="1" t="str">
        <v>Not Run</v>
      </c>
      <c r="H261" s="1" t="str">
        <v>Not Run</v>
      </c>
      <c r="I261" s="1" t="str">
        <v>Not Run</v>
      </c>
      <c r="J261" s="1" t="str">
        <v>Not Run</v>
      </c>
      <c r="K261" s="1" t="str">
        <v>Not Run</v>
      </c>
      <c r="L261" s="1">
        <f>COUNTA(F261:K261)</f>
        <v>6</v>
      </c>
      <c r="M261" s="1">
        <f>COUNTIF(F261:K261,"Pass")</f>
        <v>0</v>
      </c>
      <c r="N261" s="1">
        <f>COUNTIF(F261:K261,"Fail")</f>
        <v>0</v>
      </c>
      <c r="O261" s="1" t="str">
        <f>IF(M261=0,"-",M261/L261)</f>
        <v>-</v>
      </c>
    </row>
    <row r="262">
      <c r="A262" s="1" t="str">
        <v>LEA-047</v>
      </c>
      <c r="B262" s="1" t="str">
        <v>Leave Application</v>
      </c>
      <c r="C262" s="1" t="str">
        <v>Status &amp; Workflow</v>
      </c>
      <c r="D262" s="1" t="str">
        <v>Cancelled leave application shows Cancelled status</v>
      </c>
      <c r="E262" s="1" t="str">
        <v>Critical</v>
      </c>
      <c r="F262" s="1" t="str">
        <v>Not Run</v>
      </c>
      <c r="G262" s="1" t="str">
        <v>Not Run</v>
      </c>
      <c r="H262" s="1" t="str">
        <v>Not Run</v>
      </c>
      <c r="I262" s="1" t="str">
        <v>Not Run</v>
      </c>
      <c r="J262" s="1" t="str">
        <v>Not Run</v>
      </c>
      <c r="K262" s="1" t="str">
        <v>Not Run</v>
      </c>
      <c r="L262" s="1">
        <f>COUNTA(F262:K262)</f>
        <v>6</v>
      </c>
      <c r="M262" s="1">
        <f>COUNTIF(F262:K262,"Pass")</f>
        <v>0</v>
      </c>
      <c r="N262" s="1">
        <f>COUNTIF(F262:K262,"Fail")</f>
        <v>0</v>
      </c>
      <c r="O262" s="1" t="str">
        <f>IF(M262=0,"-",M262/L262)</f>
        <v>-</v>
      </c>
    </row>
    <row r="263">
      <c r="A263" s="1" t="str">
        <v>LEA-048</v>
      </c>
      <c r="B263" s="1" t="str">
        <v>Leave Application</v>
      </c>
      <c r="C263" s="1" t="str">
        <v>Status &amp; Workflow</v>
      </c>
      <c r="D263" s="1" t="str">
        <v>Only authorised user can approve leave application</v>
      </c>
      <c r="E263" s="1" t="str">
        <v>Critical</v>
      </c>
      <c r="F263" s="1" t="str">
        <v>Not Run</v>
      </c>
      <c r="G263" s="1" t="str">
        <v>Not Run</v>
      </c>
      <c r="H263" s="1" t="str">
        <v>Not Run</v>
      </c>
      <c r="I263" s="1" t="str">
        <v>Not Run</v>
      </c>
      <c r="J263" s="1" t="str">
        <v>Not Run</v>
      </c>
      <c r="K263" s="1" t="str">
        <v>Not Run</v>
      </c>
      <c r="L263" s="1">
        <f>COUNTA(F263:K263)</f>
        <v>6</v>
      </c>
      <c r="M263" s="1">
        <f>COUNTIF(F263:K263,"Pass")</f>
        <v>0</v>
      </c>
      <c r="N263" s="1">
        <f>COUNTIF(F263:K263,"Fail")</f>
        <v>0</v>
      </c>
      <c r="O263" s="1" t="str">
        <f>IF(M263=0,"-",M263/L263)</f>
        <v>-</v>
      </c>
    </row>
    <row r="264">
      <c r="A264" s="1" t="str">
        <v>LEA-049</v>
      </c>
      <c r="B264" s="1" t="str">
        <v>Leave Application</v>
      </c>
      <c r="C264" s="1" t="str">
        <v>Data Validation</v>
      </c>
      <c r="D264" s="1" t="str">
        <v>Leave Application cannot be saved without Employee</v>
      </c>
      <c r="E264" s="1" t="str">
        <v>Critical</v>
      </c>
      <c r="F264" s="1" t="str">
        <v>Not Run</v>
      </c>
      <c r="G264" s="1" t="str">
        <v>Not Run</v>
      </c>
      <c r="H264" s="1" t="str">
        <v>Not Run</v>
      </c>
      <c r="I264" s="1" t="str">
        <v>Not Run</v>
      </c>
      <c r="J264" s="1" t="str">
        <v>Not Run</v>
      </c>
      <c r="K264" s="1" t="str">
        <v>Not Run</v>
      </c>
      <c r="L264" s="1">
        <f>COUNTA(F264:K264)</f>
        <v>6</v>
      </c>
      <c r="M264" s="1">
        <f>COUNTIF(F264:K264,"Pass")</f>
        <v>0</v>
      </c>
      <c r="N264" s="1">
        <f>COUNTIF(F264:K264,"Fail")</f>
        <v>0</v>
      </c>
      <c r="O264" s="1" t="str">
        <f>IF(M264=0,"-",M264/L264)</f>
        <v>-</v>
      </c>
    </row>
    <row r="265">
      <c r="A265" s="1" t="str">
        <v>LEA-050</v>
      </c>
      <c r="B265" s="1" t="str">
        <v>Leave Application</v>
      </c>
      <c r="C265" s="1" t="str">
        <v>Data Validation</v>
      </c>
      <c r="D265" s="1" t="str">
        <v>Leave Application cannot be saved without Leave Type</v>
      </c>
      <c r="E265" s="1" t="str">
        <v>Critical</v>
      </c>
      <c r="F265" s="1" t="str">
        <v>Not Run</v>
      </c>
      <c r="G265" s="1" t="str">
        <v>Not Run</v>
      </c>
      <c r="H265" s="1" t="str">
        <v>Not Run</v>
      </c>
      <c r="I265" s="1" t="str">
        <v>Not Run</v>
      </c>
      <c r="J265" s="1" t="str">
        <v>Not Run</v>
      </c>
      <c r="K265" s="1" t="str">
        <v>Not Run</v>
      </c>
      <c r="L265" s="1">
        <f>COUNTA(F265:K265)</f>
        <v>6</v>
      </c>
      <c r="M265" s="1">
        <f>COUNTIF(F265:K265,"Pass")</f>
        <v>0</v>
      </c>
      <c r="N265" s="1">
        <f>COUNTIF(F265:K265,"Fail")</f>
        <v>0</v>
      </c>
      <c r="O265" s="1" t="str">
        <f>IF(M265=0,"-",M265/L265)</f>
        <v>-</v>
      </c>
    </row>
    <row r="266">
      <c r="A266" s="1" t="str">
        <v>LEA-051</v>
      </c>
      <c r="B266" s="1" t="str">
        <v>Leave Application</v>
      </c>
      <c r="C266" s="1" t="str">
        <v>Data Validation</v>
      </c>
      <c r="D266" s="1" t="str">
        <v>Leave Application cannot be saved without From Date</v>
      </c>
      <c r="E266" s="1" t="str">
        <v>Critical</v>
      </c>
      <c r="F266" s="1" t="str">
        <v>Not Run</v>
      </c>
      <c r="G266" s="1" t="str">
        <v>Not Run</v>
      </c>
      <c r="H266" s="1" t="str">
        <v>Not Run</v>
      </c>
      <c r="I266" s="1" t="str">
        <v>Not Run</v>
      </c>
      <c r="J266" s="1" t="str">
        <v>Not Run</v>
      </c>
      <c r="K266" s="1" t="str">
        <v>Not Run</v>
      </c>
      <c r="L266" s="1">
        <f>COUNTA(F266:K266)</f>
        <v>6</v>
      </c>
      <c r="M266" s="1">
        <f>COUNTIF(F266:K266,"Pass")</f>
        <v>0</v>
      </c>
      <c r="N266" s="1">
        <f>COUNTIF(F266:K266,"Fail")</f>
        <v>0</v>
      </c>
      <c r="O266" s="1" t="str">
        <f>IF(M266=0,"-",M266/L266)</f>
        <v>-</v>
      </c>
    </row>
    <row r="267">
      <c r="A267" s="1" t="str">
        <v>LEA-052</v>
      </c>
      <c r="B267" s="1" t="str">
        <v>Leave Application</v>
      </c>
      <c r="C267" s="1" t="str">
        <v>Data Validation</v>
      </c>
      <c r="D267" s="1" t="str">
        <v>Leave Application cannot be saved without To Date</v>
      </c>
      <c r="E267" s="1" t="str">
        <v>Critical</v>
      </c>
      <c r="F267" s="1" t="str">
        <v>Not Run</v>
      </c>
      <c r="G267" s="1" t="str">
        <v>Not Run</v>
      </c>
      <c r="H267" s="1" t="str">
        <v>Not Run</v>
      </c>
      <c r="I267" s="1" t="str">
        <v>Not Run</v>
      </c>
      <c r="J267" s="1" t="str">
        <v>Not Run</v>
      </c>
      <c r="K267" s="1" t="str">
        <v>Not Run</v>
      </c>
      <c r="L267" s="1">
        <f>COUNTA(F267:K267)</f>
        <v>6</v>
      </c>
      <c r="M267" s="1">
        <f>COUNTIF(F267:K267,"Pass")</f>
        <v>0</v>
      </c>
      <c r="N267" s="1">
        <f>COUNTIF(F267:K267,"Fail")</f>
        <v>0</v>
      </c>
      <c r="O267" s="1" t="str">
        <f>IF(M267=0,"-",M267/L267)</f>
        <v>-</v>
      </c>
    </row>
    <row r="268">
      <c r="A268" s="1" t="str">
        <v>LEA-053</v>
      </c>
      <c r="B268" s="1" t="str">
        <v>Leave Application</v>
      </c>
      <c r="C268" s="1" t="str">
        <v>Data Validation</v>
      </c>
      <c r="D268" s="1" t="str">
        <v>Leave Application cannot be submitted with From Date after To Date</v>
      </c>
      <c r="E268" s="1" t="str">
        <v>Critical</v>
      </c>
      <c r="F268" s="1" t="str">
        <v>Not Run</v>
      </c>
      <c r="G268" s="1" t="str">
        <v>Not Run</v>
      </c>
      <c r="H268" s="1" t="str">
        <v>Not Run</v>
      </c>
      <c r="I268" s="1" t="str">
        <v>Not Run</v>
      </c>
      <c r="J268" s="1" t="str">
        <v>Not Run</v>
      </c>
      <c r="K268" s="1" t="str">
        <v>Not Run</v>
      </c>
      <c r="L268" s="1">
        <f>COUNTA(F268:K268)</f>
        <v>6</v>
      </c>
      <c r="M268" s="1">
        <f>COUNTIF(F268:K268,"Pass")</f>
        <v>0</v>
      </c>
      <c r="N268" s="1">
        <f>COUNTIF(F268:K268,"Fail")</f>
        <v>0</v>
      </c>
      <c r="O268" s="1" t="str">
        <f>IF(M268=0,"-",M268/L268)</f>
        <v>-</v>
      </c>
    </row>
    <row r="269">
      <c r="A269" s="1" t="str">
        <v>LEA-054</v>
      </c>
      <c r="B269" s="1" t="str">
        <v>Leave Application</v>
      </c>
      <c r="C269" s="1" t="str">
        <v>Editing &amp; Updates</v>
      </c>
      <c r="D269" s="1" t="str">
        <v>Edit Leave Type on existing leave application</v>
      </c>
      <c r="E269" s="1" t="str">
        <v>High</v>
      </c>
      <c r="F269" s="1" t="str">
        <v>Not Run</v>
      </c>
      <c r="G269" s="1" t="str">
        <v>Not Run</v>
      </c>
      <c r="H269" s="1" t="str">
        <v>Not Run</v>
      </c>
      <c r="I269" s="1" t="str">
        <v>Not Run</v>
      </c>
      <c r="J269" s="1" t="str">
        <v>Not Run</v>
      </c>
      <c r="K269" s="1" t="str">
        <v>Not Run</v>
      </c>
      <c r="L269" s="1">
        <f>COUNTA(F269:K269)</f>
        <v>6</v>
      </c>
      <c r="M269" s="1">
        <f>COUNTIF(F269:K269,"Pass")</f>
        <v>0</v>
      </c>
      <c r="N269" s="1">
        <f>COUNTIF(F269:K269,"Fail")</f>
        <v>0</v>
      </c>
      <c r="O269" s="1" t="str">
        <f>IF(M269=0,"-",M269/L269)</f>
        <v>-</v>
      </c>
    </row>
    <row r="270">
      <c r="A270" s="1" t="str">
        <v>LEA-055</v>
      </c>
      <c r="B270" s="1" t="str">
        <v>Leave Application</v>
      </c>
      <c r="C270" s="1" t="str">
        <v>Editing &amp; Updates</v>
      </c>
      <c r="D270" s="1" t="str">
        <v>Edit date range on existing leave application</v>
      </c>
      <c r="E270" s="1" t="str">
        <v>High</v>
      </c>
      <c r="F270" s="1" t="str">
        <v>Not Run</v>
      </c>
      <c r="G270" s="1" t="str">
        <v>Not Run</v>
      </c>
      <c r="H270" s="1" t="str">
        <v>Not Run</v>
      </c>
      <c r="I270" s="1" t="str">
        <v>Not Run</v>
      </c>
      <c r="J270" s="1" t="str">
        <v>Not Run</v>
      </c>
      <c r="K270" s="1" t="str">
        <v>Not Run</v>
      </c>
      <c r="L270" s="1">
        <f>COUNTA(F270:K270)</f>
        <v>6</v>
      </c>
      <c r="M270" s="1">
        <f>COUNTIF(F270:K270,"Pass")</f>
        <v>0</v>
      </c>
      <c r="N270" s="1">
        <f>COUNTIF(F270:K270,"Fail")</f>
        <v>0</v>
      </c>
      <c r="O270" s="1" t="str">
        <f>IF(M270=0,"-",M270/L270)</f>
        <v>-</v>
      </c>
    </row>
    <row r="271">
      <c r="A271" s="1" t="str">
        <v>LEA-056</v>
      </c>
      <c r="B271" s="1" t="str">
        <v>Leave Application</v>
      </c>
      <c r="C271" s="1" t="str">
        <v>Editing &amp; Updates</v>
      </c>
      <c r="D271" s="1" t="str">
        <v>Edit reason on existing leave application</v>
      </c>
      <c r="E271" s="1" t="str">
        <v>Medium</v>
      </c>
      <c r="F271" s="1" t="str">
        <v>Not Run</v>
      </c>
      <c r="G271" s="1" t="str">
        <v>Not Run</v>
      </c>
      <c r="H271" s="1" t="str">
        <v>Not Run</v>
      </c>
      <c r="I271" s="1" t="str">
        <v>Not Run</v>
      </c>
      <c r="J271" s="1" t="str">
        <v>Not Run</v>
      </c>
      <c r="K271" s="1" t="str">
        <v>Not Run</v>
      </c>
      <c r="L271" s="1">
        <f>COUNTA(F271:K271)</f>
        <v>6</v>
      </c>
      <c r="M271" s="1">
        <f>COUNTIF(F271:K271,"Pass")</f>
        <v>0</v>
      </c>
      <c r="N271" s="1">
        <f>COUNTIF(F271:K271,"Fail")</f>
        <v>0</v>
      </c>
      <c r="O271" s="1" t="str">
        <f>IF(M271=0,"-",M271/L271)</f>
        <v>-</v>
      </c>
    </row>
    <row r="272">
      <c r="A272" s="1" t="str">
        <v>LEA-057</v>
      </c>
      <c r="B272" s="1" t="str">
        <v>Leave Application</v>
      </c>
      <c r="C272" s="1" t="str">
        <v>Editing &amp; Updates</v>
      </c>
      <c r="D272" s="1" t="str">
        <v>Edit leave approver before submission</v>
      </c>
      <c r="E272" s="1" t="str">
        <v>High</v>
      </c>
      <c r="F272" s="1" t="str">
        <v>Not Run</v>
      </c>
      <c r="G272" s="1" t="str">
        <v>Not Run</v>
      </c>
      <c r="H272" s="1" t="str">
        <v>Not Run</v>
      </c>
      <c r="I272" s="1" t="str">
        <v>Not Run</v>
      </c>
      <c r="J272" s="1" t="str">
        <v>Not Run</v>
      </c>
      <c r="K272" s="1" t="str">
        <v>Not Run</v>
      </c>
      <c r="L272" s="1">
        <f>COUNTA(F272:K272)</f>
        <v>6</v>
      </c>
      <c r="M272" s="1">
        <f>COUNTIF(F272:K272,"Pass")</f>
        <v>0</v>
      </c>
      <c r="N272" s="1">
        <f>COUNTIF(F272:K272,"Fail")</f>
        <v>0</v>
      </c>
      <c r="O272" s="1" t="str">
        <f>IF(M272=0,"-",M272/L272)</f>
        <v>-</v>
      </c>
    </row>
    <row r="273">
      <c r="A273" s="1" t="str">
        <v>LEA-058</v>
      </c>
      <c r="B273" s="1" t="str">
        <v>Leave Application</v>
      </c>
      <c r="C273" s="1" t="str">
        <v>Editing &amp; Updates</v>
      </c>
      <c r="D273" s="1" t="str">
        <v>Edit is restricted after leave is approved</v>
      </c>
      <c r="E273" s="1" t="str">
        <v>Critical</v>
      </c>
      <c r="F273" s="1" t="str">
        <v>Not Run</v>
      </c>
      <c r="G273" s="1" t="str">
        <v>Not Run</v>
      </c>
      <c r="H273" s="1" t="str">
        <v>Not Run</v>
      </c>
      <c r="I273" s="1" t="str">
        <v>Not Run</v>
      </c>
      <c r="J273" s="1" t="str">
        <v>Not Run</v>
      </c>
      <c r="K273" s="1" t="str">
        <v>Not Run</v>
      </c>
      <c r="L273" s="1">
        <f>COUNTA(F273:K273)</f>
        <v>6</v>
      </c>
      <c r="M273" s="1">
        <f>COUNTIF(F273:K273,"Pass")</f>
        <v>0</v>
      </c>
      <c r="N273" s="1">
        <f>COUNTIF(F273:K273,"Fail")</f>
        <v>0</v>
      </c>
      <c r="O273" s="1" t="str">
        <f>IF(M273=0,"-",M273/L273)</f>
        <v>-</v>
      </c>
    </row>
    <row r="274">
      <c r="A274" s="1" t="str">
        <v>LEA-059</v>
      </c>
      <c r="B274" s="1" t="str">
        <v>Leave Application</v>
      </c>
      <c r="C274" s="1" t="str">
        <v>Form Actions</v>
      </c>
      <c r="D274" s="1" t="str">
        <v>Save Leave Application successfully</v>
      </c>
      <c r="E274" s="1" t="str">
        <v>Critical</v>
      </c>
      <c r="F274" s="1" t="str">
        <v>Not Run</v>
      </c>
      <c r="G274" s="1" t="str">
        <v>Not Run</v>
      </c>
      <c r="H274" s="1" t="str">
        <v>Not Run</v>
      </c>
      <c r="I274" s="1" t="str">
        <v>Not Run</v>
      </c>
      <c r="J274" s="1" t="str">
        <v>Not Run</v>
      </c>
      <c r="K274" s="1" t="str">
        <v>Not Run</v>
      </c>
      <c r="L274" s="1">
        <f>COUNTA(F274:K274)</f>
        <v>6</v>
      </c>
      <c r="M274" s="1">
        <f>COUNTIF(F274:K274,"Pass")</f>
        <v>0</v>
      </c>
      <c r="N274" s="1">
        <f>COUNTIF(F274:K274,"Fail")</f>
        <v>0</v>
      </c>
      <c r="O274" s="1" t="str">
        <f>IF(M274=0,"-",M274/L274)</f>
        <v>-</v>
      </c>
    </row>
    <row r="275">
      <c r="A275" s="1" t="str">
        <v>LEA-060</v>
      </c>
      <c r="B275" s="1" t="str">
        <v>Leave Application</v>
      </c>
      <c r="C275" s="1" t="str">
        <v>Form Actions</v>
      </c>
      <c r="D275" s="1" t="str">
        <v>Submit Leave Application successfully</v>
      </c>
      <c r="E275" s="1" t="str">
        <v>Critical</v>
      </c>
      <c r="F275" s="1" t="str">
        <v>Not Run</v>
      </c>
      <c r="G275" s="1" t="str">
        <v>Not Run</v>
      </c>
      <c r="H275" s="1" t="str">
        <v>Not Run</v>
      </c>
      <c r="I275" s="1" t="str">
        <v>Not Run</v>
      </c>
      <c r="J275" s="1" t="str">
        <v>Not Run</v>
      </c>
      <c r="K275" s="1" t="str">
        <v>Not Run</v>
      </c>
      <c r="L275" s="1">
        <f>COUNTA(F275:K275)</f>
        <v>6</v>
      </c>
      <c r="M275" s="1">
        <f>COUNTIF(F275:K275,"Pass")</f>
        <v>0</v>
      </c>
      <c r="N275" s="1">
        <f>COUNTIF(F275:K275,"Fail")</f>
        <v>0</v>
      </c>
      <c r="O275" s="1" t="str">
        <f>IF(M275=0,"-",M275/L275)</f>
        <v>-</v>
      </c>
    </row>
    <row r="276">
      <c r="A276" s="1" t="str">
        <v>LEA-061</v>
      </c>
      <c r="B276" s="1" t="str">
        <v>Leave Application</v>
      </c>
      <c r="C276" s="1" t="str">
        <v>Form Actions</v>
      </c>
      <c r="D276" s="1" t="str">
        <v>Form shows "Not Saved" status before save</v>
      </c>
      <c r="E276" s="1" t="str">
        <v>Medium</v>
      </c>
      <c r="F276" s="1" t="str">
        <v>Not Run</v>
      </c>
      <c r="G276" s="1" t="str">
        <v>Not Run</v>
      </c>
      <c r="H276" s="1" t="str">
        <v>Not Run</v>
      </c>
      <c r="I276" s="1" t="str">
        <v>Not Run</v>
      </c>
      <c r="J276" s="1" t="str">
        <v>Not Run</v>
      </c>
      <c r="K276" s="1" t="str">
        <v>Not Run</v>
      </c>
      <c r="L276" s="1">
        <f>COUNTA(F276:K276)</f>
        <v>6</v>
      </c>
      <c r="M276" s="1">
        <f>COUNTIF(F276:K276,"Pass")</f>
        <v>0</v>
      </c>
      <c r="N276" s="1">
        <f>COUNTIF(F276:K276,"Fail")</f>
        <v>0</v>
      </c>
      <c r="O276" s="1" t="str">
        <f>IF(M276=0,"-",M276/L276)</f>
        <v>-</v>
      </c>
    </row>
    <row r="277">
      <c r="A277" s="1" t="str">
        <v>LEA-062</v>
      </c>
      <c r="B277" s="1" t="str">
        <v>Leave Application</v>
      </c>
      <c r="C277" s="1" t="str">
        <v>Form Actions</v>
      </c>
      <c r="D277" s="1" t="str">
        <v>Form shows "Saved" status after successful save</v>
      </c>
      <c r="E277" s="1" t="str">
        <v>Medium</v>
      </c>
      <c r="F277" s="1" t="str">
        <v>Not Run</v>
      </c>
      <c r="G277" s="1" t="str">
        <v>Not Run</v>
      </c>
      <c r="H277" s="1" t="str">
        <v>Not Run</v>
      </c>
      <c r="I277" s="1" t="str">
        <v>Not Run</v>
      </c>
      <c r="J277" s="1" t="str">
        <v>Not Run</v>
      </c>
      <c r="K277" s="1" t="str">
        <v>Not Run</v>
      </c>
      <c r="L277" s="1">
        <f>COUNTA(F277:K277)</f>
        <v>6</v>
      </c>
      <c r="M277" s="1">
        <f>COUNTIF(F277:K277,"Pass")</f>
        <v>0</v>
      </c>
      <c r="N277" s="1">
        <f>COUNTIF(F277:K277,"Fail")</f>
        <v>0</v>
      </c>
      <c r="O277" s="1" t="str">
        <f>IF(M277=0,"-",M277/L277)</f>
        <v>-</v>
      </c>
    </row>
    <row r="278">
      <c r="A278" s="1" t="str">
        <v>LEA-063</v>
      </c>
      <c r="B278" s="1" t="str">
        <v>Leave Application</v>
      </c>
      <c r="C278" s="1" t="str">
        <v>Form Actions</v>
      </c>
      <c r="D278" s="1" t="str">
        <v>Duplicate existing Leave Application</v>
      </c>
      <c r="E278" s="1" t="str">
        <v>High</v>
      </c>
      <c r="F278" s="1" t="str">
        <v>Not Run</v>
      </c>
      <c r="G278" s="1" t="str">
        <v>Not Run</v>
      </c>
      <c r="H278" s="1" t="str">
        <v>Not Run</v>
      </c>
      <c r="I278" s="1" t="str">
        <v>Not Run</v>
      </c>
      <c r="J278" s="1" t="str">
        <v>Not Run</v>
      </c>
      <c r="K278" s="1" t="str">
        <v>Not Run</v>
      </c>
      <c r="L278" s="1">
        <f>COUNTA(F278:K278)</f>
        <v>6</v>
      </c>
      <c r="M278" s="1">
        <f>COUNTIF(F278:K278,"Pass")</f>
        <v>0</v>
      </c>
      <c r="N278" s="1">
        <f>COUNTIF(F278:K278,"Fail")</f>
        <v>0</v>
      </c>
      <c r="O278" s="1" t="str">
        <f>IF(M278=0,"-",M278/L278)</f>
        <v>-</v>
      </c>
    </row>
    <row r="279">
      <c r="A279" s="1" t="str">
        <v>LEA-064</v>
      </c>
      <c r="B279" s="1" t="str">
        <v>Leave Application</v>
      </c>
      <c r="C279" s="1" t="str">
        <v>Form Actions</v>
      </c>
      <c r="D279" s="1" t="str">
        <v>Cancel submitted Leave Application</v>
      </c>
      <c r="E279" s="1" t="str">
        <v>Critical</v>
      </c>
      <c r="F279" s="1" t="str">
        <v>Not Run</v>
      </c>
      <c r="G279" s="1" t="str">
        <v>Not Run</v>
      </c>
      <c r="H279" s="1" t="str">
        <v>Not Run</v>
      </c>
      <c r="I279" s="1" t="str">
        <v>Not Run</v>
      </c>
      <c r="J279" s="1" t="str">
        <v>Not Run</v>
      </c>
      <c r="K279" s="1" t="str">
        <v>Not Run</v>
      </c>
      <c r="L279" s="1">
        <f>COUNTA(F279:K279)</f>
        <v>6</v>
      </c>
      <c r="M279" s="1">
        <f>COUNTIF(F279:K279,"Pass")</f>
        <v>0</v>
      </c>
      <c r="N279" s="1">
        <f>COUNTIF(F279:K279,"Fail")</f>
        <v>0</v>
      </c>
      <c r="O279" s="1" t="str">
        <f>IF(M279=0,"-",M279/L279)</f>
        <v>-</v>
      </c>
    </row>
    <row r="280">
      <c r="A280" s="1" t="str">
        <v>LEA-065</v>
      </c>
      <c r="B280" s="1" t="str">
        <v>Leave Application</v>
      </c>
      <c r="C280" s="1" t="str">
        <v>Form Actions</v>
      </c>
      <c r="D280" s="1" t="str">
        <v>Delete Draft Leave Application</v>
      </c>
      <c r="E280" s="1" t="str">
        <v>High</v>
      </c>
      <c r="F280" s="1" t="str">
        <v>Not Run</v>
      </c>
      <c r="G280" s="1" t="str">
        <v>Not Run</v>
      </c>
      <c r="H280" s="1" t="str">
        <v>Not Run</v>
      </c>
      <c r="I280" s="1" t="str">
        <v>Not Run</v>
      </c>
      <c r="J280" s="1" t="str">
        <v>Not Run</v>
      </c>
      <c r="K280" s="1" t="str">
        <v>Not Run</v>
      </c>
      <c r="L280" s="1">
        <f>COUNTA(F280:K280)</f>
        <v>6</v>
      </c>
      <c r="M280" s="1">
        <f>COUNTIF(F280:K280,"Pass")</f>
        <v>0</v>
      </c>
      <c r="N280" s="1">
        <f>COUNTIF(F280:K280,"Fail")</f>
        <v>0</v>
      </c>
      <c r="O280" s="1" t="str">
        <f>IF(M280=0,"-",M280/L280)</f>
        <v>-</v>
      </c>
    </row>
    <row r="281">
      <c r="A281" s="1" t="str">
        <v>▌ Service Call</v>
      </c>
    </row>
    <row r="282">
      <c r="A282" s="1" t="str">
        <v>SC-001</v>
      </c>
      <c r="B282" s="1" t="str">
        <v>Service Call</v>
      </c>
      <c r="C282" s="1" t="str">
        <v>Service Call Creation &amp; Basic Details</v>
      </c>
      <c r="D282" s="1" t="str">
        <v>Create Service Call with mandatory fields only (Customer, Service Type)</v>
      </c>
      <c r="E282" s="1" t="str">
        <v>Critical</v>
      </c>
      <c r="F282" s="1" t="str">
        <v>Not Run</v>
      </c>
      <c r="G282" s="1" t="str">
        <v>Not Run</v>
      </c>
      <c r="H282" s="1" t="str">
        <v>Not Run</v>
      </c>
      <c r="I282" s="1" t="str">
        <v>Not Run</v>
      </c>
      <c r="J282" s="1" t="str">
        <v>Not Run</v>
      </c>
      <c r="K282" s="1" t="str">
        <v>Not Run</v>
      </c>
      <c r="L282" s="1">
        <f>COUNTA(F282:K282)</f>
        <v>6</v>
      </c>
      <c r="M282" s="1">
        <f>COUNTIF(F282:K282,"Pass")</f>
        <v>0</v>
      </c>
      <c r="N282" s="1">
        <f>COUNTIF(F282:K282,"Fail")</f>
        <v>0</v>
      </c>
      <c r="O282" s="1" t="str">
        <f>IF(M282=0,"-",M282/L282)</f>
        <v>-</v>
      </c>
    </row>
    <row r="283">
      <c r="A283" s="1" t="str">
        <v>SC-002</v>
      </c>
      <c r="B283" s="1" t="str">
        <v>Service Call</v>
      </c>
      <c r="C283" s="1" t="str">
        <v>Service Call Creation &amp; Basic Details</v>
      </c>
      <c r="D283" s="1" t="str">
        <v>Create Service Call with all basic fields (Customer, Title, Description, Priority)</v>
      </c>
      <c r="E283" s="1" t="str">
        <v>Critical</v>
      </c>
      <c r="F283" s="1" t="str">
        <v>Not Run</v>
      </c>
      <c r="G283" s="1" t="str">
        <v>Not Run</v>
      </c>
      <c r="H283" s="1" t="str">
        <v>Not Run</v>
      </c>
      <c r="I283" s="1" t="str">
        <v>Not Run</v>
      </c>
      <c r="J283" s="1" t="str">
        <v>Not Run</v>
      </c>
      <c r="K283" s="1" t="str">
        <v>Not Run</v>
      </c>
      <c r="L283" s="1">
        <f>COUNTA(F283:K283)</f>
        <v>6</v>
      </c>
      <c r="M283" s="1">
        <f>COUNTIF(F283:K283,"Pass")</f>
        <v>0</v>
      </c>
      <c r="N283" s="1">
        <f>COUNTIF(F283:K283,"Fail")</f>
        <v>0</v>
      </c>
      <c r="O283" s="1" t="str">
        <f>IF(M283=0,"-",M283/L283)</f>
        <v>-</v>
      </c>
    </row>
    <row r="284">
      <c r="A284" s="1" t="str">
        <v>SC-003</v>
      </c>
      <c r="B284" s="1" t="str">
        <v>Service Call</v>
      </c>
      <c r="C284" s="1" t="str">
        <v>Service Call Creation &amp; Basic Details</v>
      </c>
      <c r="D284" s="1" t="str">
        <v>Create Service Call with multiple Service Items</v>
      </c>
      <c r="E284" s="1" t="str">
        <v>High</v>
      </c>
      <c r="F284" s="1" t="str">
        <v>Not Run</v>
      </c>
      <c r="G284" s="1" t="str">
        <v>Not Run</v>
      </c>
      <c r="H284" s="1" t="str">
        <v>Not Run</v>
      </c>
      <c r="I284" s="1" t="str">
        <v>Not Run</v>
      </c>
      <c r="J284" s="1" t="str">
        <v>Not Run</v>
      </c>
      <c r="K284" s="1" t="str">
        <v>Not Run</v>
      </c>
      <c r="L284" s="1">
        <f>COUNTA(F284:K284)</f>
        <v>6</v>
      </c>
      <c r="M284" s="1">
        <f>COUNTIF(F284:K284,"Pass")</f>
        <v>0</v>
      </c>
      <c r="N284" s="1">
        <f>COUNTIF(F284:K284,"Fail")</f>
        <v>0</v>
      </c>
      <c r="O284" s="1" t="str">
        <f>IF(M284=0,"-",M284/L284)</f>
        <v>-</v>
      </c>
    </row>
    <row r="285">
      <c r="A285" s="1" t="str">
        <v>SC-004</v>
      </c>
      <c r="B285" s="1" t="str">
        <v>Service Call</v>
      </c>
      <c r="C285" s="1" t="str">
        <v>Service Call Creation &amp; Basic Details</v>
      </c>
      <c r="D285" s="1" t="str">
        <v>Create Service Call for Individual customer type</v>
      </c>
      <c r="E285" s="1" t="str">
        <v>High</v>
      </c>
      <c r="F285" s="1" t="str">
        <v>Not Run</v>
      </c>
      <c r="G285" s="1" t="str">
        <v>Not Run</v>
      </c>
      <c r="H285" s="1" t="str">
        <v>Not Run</v>
      </c>
      <c r="I285" s="1" t="str">
        <v>Not Run</v>
      </c>
      <c r="J285" s="1" t="str">
        <v>Not Run</v>
      </c>
      <c r="K285" s="1" t="str">
        <v>Not Run</v>
      </c>
      <c r="L285" s="1">
        <f>COUNTA(F285:K285)</f>
        <v>6</v>
      </c>
      <c r="M285" s="1">
        <f>COUNTIF(F285:K285,"Pass")</f>
        <v>0</v>
      </c>
      <c r="N285" s="1">
        <f>COUNTIF(F285:K285,"Fail")</f>
        <v>0</v>
      </c>
      <c r="O285" s="1" t="str">
        <f>IF(M285=0,"-",M285/L285)</f>
        <v>-</v>
      </c>
    </row>
    <row r="286">
      <c r="A286" s="1" t="str">
        <v>SC-005</v>
      </c>
      <c r="B286" s="1" t="str">
        <v>Service Call</v>
      </c>
      <c r="C286" s="1" t="str">
        <v>Service Call Creation &amp; Basic Details</v>
      </c>
      <c r="D286" s="1" t="str">
        <v>Create Service Call for Company customer type</v>
      </c>
      <c r="E286" s="1" t="str">
        <v>High</v>
      </c>
      <c r="F286" s="1" t="str">
        <v>Not Run</v>
      </c>
      <c r="G286" s="1" t="str">
        <v>Not Run</v>
      </c>
      <c r="H286" s="1" t="str">
        <v>Not Run</v>
      </c>
      <c r="I286" s="1" t="str">
        <v>Not Run</v>
      </c>
      <c r="J286" s="1" t="str">
        <v>Not Run</v>
      </c>
      <c r="K286" s="1" t="str">
        <v>Not Run</v>
      </c>
      <c r="L286" s="1">
        <f>COUNTA(F286:K286)</f>
        <v>6</v>
      </c>
      <c r="M286" s="1">
        <f>COUNTIF(F286:K286,"Pass")</f>
        <v>0</v>
      </c>
      <c r="N286" s="1">
        <f>COUNTIF(F286:K286,"Fail")</f>
        <v>0</v>
      </c>
      <c r="O286" s="1" t="str">
        <f>IF(M286=0,"-",M286/L286)</f>
        <v>-</v>
      </c>
    </row>
    <row r="287">
      <c r="A287" s="1" t="str">
        <v>SC-006</v>
      </c>
      <c r="B287" s="1" t="str">
        <v>Service Call</v>
      </c>
      <c r="C287" s="1" t="str">
        <v>Customer &amp; Location Validation</v>
      </c>
      <c r="D287" s="1" t="str">
        <v>Valid customer selection populates branch locations</v>
      </c>
      <c r="E287" s="1" t="str">
        <v>Critical</v>
      </c>
      <c r="F287" s="1" t="str">
        <v>Not Run</v>
      </c>
      <c r="G287" s="1" t="str">
        <v>Not Run</v>
      </c>
      <c r="H287" s="1" t="str">
        <v>Not Run</v>
      </c>
      <c r="I287" s="1" t="str">
        <v>Not Run</v>
      </c>
      <c r="J287" s="1" t="str">
        <v>Not Run</v>
      </c>
      <c r="K287" s="1" t="str">
        <v>Not Run</v>
      </c>
      <c r="L287" s="1">
        <f>COUNTA(F287:K287)</f>
        <v>6</v>
      </c>
      <c r="M287" s="1">
        <f>COUNTIF(F287:K287,"Pass")</f>
        <v>0</v>
      </c>
      <c r="N287" s="1">
        <f>COUNTIF(F287:K287,"Fail")</f>
        <v>0</v>
      </c>
      <c r="O287" s="1" t="str">
        <f>IF(M287=0,"-",M287/L287)</f>
        <v>-</v>
      </c>
    </row>
    <row r="288">
      <c r="A288" s="1" t="str">
        <v>SC-007</v>
      </c>
      <c r="B288" s="1" t="str">
        <v>Service Call</v>
      </c>
      <c r="C288" s="1" t="str">
        <v>Customer &amp; Location Validation</v>
      </c>
      <c r="D288" s="1" t="str">
        <v>Invalid/non-existent customer is rejected</v>
      </c>
      <c r="E288" s="1" t="str">
        <v>Critical</v>
      </c>
      <c r="F288" s="1" t="str">
        <v>Not Run</v>
      </c>
      <c r="G288" s="1" t="str">
        <v>Not Run</v>
      </c>
      <c r="H288" s="1" t="str">
        <v>Not Run</v>
      </c>
      <c r="I288" s="1" t="str">
        <v>Not Run</v>
      </c>
      <c r="J288" s="1" t="str">
        <v>Not Run</v>
      </c>
      <c r="K288" s="1" t="str">
        <v>Not Run</v>
      </c>
      <c r="L288" s="1">
        <f>COUNTA(F288:K288)</f>
        <v>6</v>
      </c>
      <c r="M288" s="1">
        <f>COUNTIF(F288:K288,"Pass")</f>
        <v>0</v>
      </c>
      <c r="N288" s="1">
        <f>COUNTIF(F288:K288,"Fail")</f>
        <v>0</v>
      </c>
      <c r="O288" s="1" t="str">
        <f>IF(M288=0,"-",M288/L288)</f>
        <v>-</v>
      </c>
    </row>
    <row r="289">
      <c r="A289" s="1" t="str">
        <v>SC-008</v>
      </c>
      <c r="B289" s="1" t="str">
        <v>Service Call</v>
      </c>
      <c r="C289" s="1" t="str">
        <v>Customer &amp; Location Validation</v>
      </c>
      <c r="D289" s="1" t="str">
        <v>Service Call can be linked to specific branch location</v>
      </c>
      <c r="E289" s="1" t="str">
        <v>High</v>
      </c>
      <c r="F289" s="1" t="str">
        <v>Not Run</v>
      </c>
      <c r="G289" s="1" t="str">
        <v>Not Run</v>
      </c>
      <c r="H289" s="1" t="str">
        <v>Not Run</v>
      </c>
      <c r="I289" s="1" t="str">
        <v>Not Run</v>
      </c>
      <c r="J289" s="1" t="str">
        <v>Not Run</v>
      </c>
      <c r="K289" s="1" t="str">
        <v>Not Run</v>
      </c>
      <c r="L289" s="1">
        <f>COUNTA(F289:K289)</f>
        <v>6</v>
      </c>
      <c r="M289" s="1">
        <f>COUNTIF(F289:K289,"Pass")</f>
        <v>0</v>
      </c>
      <c r="N289" s="1">
        <f>COUNTIF(F289:K289,"Fail")</f>
        <v>0</v>
      </c>
      <c r="O289" s="1" t="str">
        <f>IF(M289=0,"-",M289/L289)</f>
        <v>-</v>
      </c>
    </row>
    <row r="290">
      <c r="A290" s="1" t="str">
        <v>SC-009</v>
      </c>
      <c r="B290" s="1" t="str">
        <v>Service Call</v>
      </c>
      <c r="C290" s="1" t="str">
        <v>Customer &amp; Location Validation</v>
      </c>
      <c r="D290" s="1" t="str">
        <v>Contact person is filtered by selected branch</v>
      </c>
      <c r="E290" s="1" t="str">
        <v>High</v>
      </c>
      <c r="F290" s="1" t="str">
        <v>Not Run</v>
      </c>
      <c r="G290" s="1" t="str">
        <v>Not Run</v>
      </c>
      <c r="H290" s="1" t="str">
        <v>Not Run</v>
      </c>
      <c r="I290" s="1" t="str">
        <v>Not Run</v>
      </c>
      <c r="J290" s="1" t="str">
        <v>Not Run</v>
      </c>
      <c r="K290" s="1" t="str">
        <v>Not Run</v>
      </c>
      <c r="L290" s="1">
        <f>COUNTA(F290:K290)</f>
        <v>6</v>
      </c>
      <c r="M290" s="1">
        <f>COUNTIF(F290:K290,"Pass")</f>
        <v>0</v>
      </c>
      <c r="N290" s="1">
        <f>COUNTIF(F290:K290,"Fail")</f>
        <v>0</v>
      </c>
      <c r="O290" s="1" t="str">
        <f>IF(M290=0,"-",M290/L290)</f>
        <v>-</v>
      </c>
    </row>
    <row r="291">
      <c r="A291" s="1" t="str">
        <v>SC-010</v>
      </c>
      <c r="B291" s="1" t="str">
        <v>Service Call</v>
      </c>
      <c r="C291" s="1" t="str">
        <v>Technician Assignment</v>
      </c>
      <c r="D291" s="1" t="str">
        <v>Assign available technician to Service Call</v>
      </c>
      <c r="E291" s="1" t="str">
        <v>Critical</v>
      </c>
      <c r="F291" s="1" t="str">
        <v>Not Run</v>
      </c>
      <c r="G291" s="1" t="str">
        <v>Not Run</v>
      </c>
      <c r="H291" s="1" t="str">
        <v>Not Run</v>
      </c>
      <c r="I291" s="1" t="str">
        <v>Not Run</v>
      </c>
      <c r="J291" s="1" t="str">
        <v>Not Run</v>
      </c>
      <c r="K291" s="1" t="str">
        <v>Not Run</v>
      </c>
      <c r="L291" s="1">
        <f>COUNTA(F291:K291)</f>
        <v>6</v>
      </c>
      <c r="M291" s="1">
        <f>COUNTIF(F291:K291,"Pass")</f>
        <v>0</v>
      </c>
      <c r="N291" s="1">
        <f>COUNTIF(F291:K291,"Fail")</f>
        <v>0</v>
      </c>
      <c r="O291" s="1" t="str">
        <f>IF(M291=0,"-",M291/L291)</f>
        <v>-</v>
      </c>
    </row>
    <row r="292">
      <c r="A292" s="1" t="str">
        <v>SC-011</v>
      </c>
      <c r="B292" s="1" t="str">
        <v>Service Call</v>
      </c>
      <c r="C292" s="1" t="str">
        <v>Technician Assignment</v>
      </c>
      <c r="D292" s="1" t="str">
        <v>Reassign technician to different Service Call</v>
      </c>
      <c r="E292" s="1" t="str">
        <v>High</v>
      </c>
      <c r="F292" s="1" t="str">
        <v>Not Run</v>
      </c>
      <c r="G292" s="1" t="str">
        <v>Not Run</v>
      </c>
      <c r="H292" s="1" t="str">
        <v>Not Run</v>
      </c>
      <c r="I292" s="1" t="str">
        <v>Not Run</v>
      </c>
      <c r="J292" s="1" t="str">
        <v>Not Run</v>
      </c>
      <c r="K292" s="1" t="str">
        <v>Not Run</v>
      </c>
      <c r="L292" s="1">
        <f>COUNTA(F292:K292)</f>
        <v>6</v>
      </c>
      <c r="M292" s="1">
        <f>COUNTIF(F292:K292,"Pass")</f>
        <v>0</v>
      </c>
      <c r="N292" s="1">
        <f>COUNTIF(F292:K292,"Fail")</f>
        <v>0</v>
      </c>
      <c r="O292" s="1" t="str">
        <f>IF(M292=0,"-",M292/L292)</f>
        <v>-</v>
      </c>
    </row>
    <row r="293">
      <c r="A293" s="1" t="str">
        <v>SC-012</v>
      </c>
      <c r="B293" s="1" t="str">
        <v>Service Call</v>
      </c>
      <c r="C293" s="1" t="str">
        <v>Technician Assignment</v>
      </c>
      <c r="D293" s="1" t="str">
        <v>Service Call without technician assignment is saved successfully</v>
      </c>
      <c r="E293" s="1" t="str">
        <v>Medium</v>
      </c>
      <c r="F293" s="1" t="str">
        <v>Not Run</v>
      </c>
      <c r="G293" s="1" t="str">
        <v>Not Run</v>
      </c>
      <c r="H293" s="1" t="str">
        <v>Not Run</v>
      </c>
      <c r="I293" s="1" t="str">
        <v>Not Run</v>
      </c>
      <c r="J293" s="1" t="str">
        <v>Not Run</v>
      </c>
      <c r="K293" s="1" t="str">
        <v>Not Run</v>
      </c>
      <c r="L293" s="1">
        <f>COUNTA(F293:K293)</f>
        <v>6</v>
      </c>
      <c r="M293" s="1">
        <f>COUNTIF(F293:K293,"Pass")</f>
        <v>0</v>
      </c>
      <c r="N293" s="1">
        <f>COUNTIF(F293:K293,"Fail")</f>
        <v>0</v>
      </c>
      <c r="O293" s="1" t="str">
        <f>IF(M293=0,"-",M293/L293)</f>
        <v>-</v>
      </c>
    </row>
    <row r="294">
      <c r="A294" s="1" t="str">
        <v>SC-013</v>
      </c>
      <c r="B294" s="1" t="str">
        <v>Service Call</v>
      </c>
      <c r="C294" s="1" t="str">
        <v>Technician Assignment</v>
      </c>
      <c r="D294" s="1" t="str">
        <v>Duplicate technician assignment is blocked</v>
      </c>
      <c r="E294" s="1" t="str">
        <v>Critical</v>
      </c>
      <c r="F294" s="1" t="str">
        <v>Not Run</v>
      </c>
      <c r="G294" s="1" t="str">
        <v>Not Run</v>
      </c>
      <c r="H294" s="1" t="str">
        <v>Not Run</v>
      </c>
      <c r="I294" s="1" t="str">
        <v>Not Run</v>
      </c>
      <c r="J294" s="1" t="str">
        <v>Not Run</v>
      </c>
      <c r="K294" s="1" t="str">
        <v>Not Run</v>
      </c>
      <c r="L294" s="1">
        <f>COUNTA(F294:K294)</f>
        <v>6</v>
      </c>
      <c r="M294" s="1">
        <f>COUNTIF(F294:K294,"Pass")</f>
        <v>0</v>
      </c>
      <c r="N294" s="1">
        <f>COUNTIF(F294:K294,"Fail")</f>
        <v>0</v>
      </c>
      <c r="O294" s="1" t="str">
        <f>IF(M294=0,"-",M294/L294)</f>
        <v>-</v>
      </c>
    </row>
    <row r="295">
      <c r="A295" s="1" t="str">
        <v>SC-014</v>
      </c>
      <c r="B295" s="1" t="str">
        <v>Service Call</v>
      </c>
      <c r="C295" s="1" t="str">
        <v>Priority &amp; Status Management</v>
      </c>
      <c r="D295" s="1" t="str">
        <v>Create High Priority Service Call</v>
      </c>
      <c r="E295" s="1" t="str">
        <v>High</v>
      </c>
      <c r="F295" s="1" t="str">
        <v>Not Run</v>
      </c>
      <c r="G295" s="1" t="str">
        <v>Not Run</v>
      </c>
      <c r="H295" s="1" t="str">
        <v>Not Run</v>
      </c>
      <c r="I295" s="1" t="str">
        <v>Not Run</v>
      </c>
      <c r="J295" s="1" t="str">
        <v>Not Run</v>
      </c>
      <c r="K295" s="1" t="str">
        <v>Not Run</v>
      </c>
      <c r="L295" s="1">
        <f>COUNTA(F295:K295)</f>
        <v>6</v>
      </c>
      <c r="M295" s="1">
        <f>COUNTIF(F295:K295,"Pass")</f>
        <v>0</v>
      </c>
      <c r="N295" s="1">
        <f>COUNTIF(F295:K295,"Fail")</f>
        <v>0</v>
      </c>
      <c r="O295" s="1" t="str">
        <f>IF(M295=0,"-",M295/L295)</f>
        <v>-</v>
      </c>
    </row>
    <row r="296">
      <c r="A296" s="1" t="str">
        <v>SC-015</v>
      </c>
      <c r="B296" s="1" t="str">
        <v>Service Call</v>
      </c>
      <c r="C296" s="1" t="str">
        <v>Priority &amp; Status Management</v>
      </c>
      <c r="D296" s="1" t="str">
        <v>Create Low Priority Service Call</v>
      </c>
      <c r="E296" s="1" t="str">
        <v>Medium</v>
      </c>
      <c r="F296" s="1" t="str">
        <v>Not Run</v>
      </c>
      <c r="G296" s="1" t="str">
        <v>Not Run</v>
      </c>
      <c r="H296" s="1" t="str">
        <v>Not Run</v>
      </c>
      <c r="I296" s="1" t="str">
        <v>Not Run</v>
      </c>
      <c r="J296" s="1" t="str">
        <v>Not Run</v>
      </c>
      <c r="K296" s="1" t="str">
        <v>Not Run</v>
      </c>
      <c r="L296" s="1">
        <f>COUNTA(F296:K296)</f>
        <v>6</v>
      </c>
      <c r="M296" s="1">
        <f>COUNTIF(F296:K296,"Pass")</f>
        <v>0</v>
      </c>
      <c r="N296" s="1">
        <f>COUNTIF(F296:K296,"Fail")</f>
        <v>0</v>
      </c>
      <c r="O296" s="1" t="str">
        <f>IF(M296=0,"-",M296/L296)</f>
        <v>-</v>
      </c>
    </row>
    <row r="297">
      <c r="A297" s="1" t="str">
        <v>SC-016</v>
      </c>
      <c r="B297" s="1" t="str">
        <v>Service Call</v>
      </c>
      <c r="C297" s="1" t="str">
        <v>Priority &amp; Status Management</v>
      </c>
      <c r="D297" s="1" t="str">
        <v>Status transitions from Draft to Assigned to In Progress</v>
      </c>
      <c r="E297" s="1" t="str">
        <v>Critical</v>
      </c>
      <c r="F297" s="1" t="str">
        <v>Not Run</v>
      </c>
      <c r="G297" s="1" t="str">
        <v>Not Run</v>
      </c>
      <c r="H297" s="1" t="str">
        <v>Not Run</v>
      </c>
      <c r="I297" s="1" t="str">
        <v>Not Run</v>
      </c>
      <c r="J297" s="1" t="str">
        <v>Not Run</v>
      </c>
      <c r="K297" s="1" t="str">
        <v>Not Run</v>
      </c>
      <c r="L297" s="1">
        <f>COUNTA(F297:K297)</f>
        <v>6</v>
      </c>
      <c r="M297" s="1">
        <f>COUNTIF(F297:K297,"Pass")</f>
        <v>0</v>
      </c>
      <c r="N297" s="1">
        <f>COUNTIF(F297:K297,"Fail")</f>
        <v>0</v>
      </c>
      <c r="O297" s="1" t="str">
        <f>IF(M297=0,"-",M297/L297)</f>
        <v>-</v>
      </c>
    </row>
    <row r="298">
      <c r="A298" s="1" t="str">
        <v>SC-017</v>
      </c>
      <c r="B298" s="1" t="str">
        <v>Service Call</v>
      </c>
      <c r="C298" s="1" t="str">
        <v>Priority &amp; Status Management</v>
      </c>
      <c r="D298" s="1" t="str">
        <v>Status transitions from In Progress to Completed</v>
      </c>
      <c r="E298" s="1" t="str">
        <v>Critical</v>
      </c>
      <c r="F298" s="1" t="str">
        <v>Not Run</v>
      </c>
      <c r="G298" s="1" t="str">
        <v>Not Run</v>
      </c>
      <c r="H298" s="1" t="str">
        <v>Not Run</v>
      </c>
      <c r="I298" s="1" t="str">
        <v>Not Run</v>
      </c>
      <c r="J298" s="1" t="str">
        <v>Not Run</v>
      </c>
      <c r="K298" s="1" t="str">
        <v>Not Run</v>
      </c>
      <c r="L298" s="1">
        <f>COUNTA(F298:K298)</f>
        <v>6</v>
      </c>
      <c r="M298" s="1">
        <f>COUNTIF(F298:K298,"Pass")</f>
        <v>0</v>
      </c>
      <c r="N298" s="1">
        <f>COUNTIF(F298:K298,"Fail")</f>
        <v>0</v>
      </c>
      <c r="O298" s="1" t="str">
        <f>IF(M298=0,"-",M298/L298)</f>
        <v>-</v>
      </c>
    </row>
    <row r="299">
      <c r="A299" s="1" t="str">
        <v>SC-018</v>
      </c>
      <c r="B299" s="1" t="str">
        <v>Service Call</v>
      </c>
      <c r="C299" s="1" t="str">
        <v>Priority &amp; Status Management</v>
      </c>
      <c r="D299" s="1" t="str">
        <v>Invalid status transition is rejected with error message</v>
      </c>
      <c r="E299" s="1" t="str">
        <v>Critical</v>
      </c>
      <c r="F299" s="1" t="str">
        <v>Not Run</v>
      </c>
      <c r="G299" s="1" t="str">
        <v>Not Run</v>
      </c>
      <c r="H299" s="1" t="str">
        <v>Not Run</v>
      </c>
      <c r="I299" s="1" t="str">
        <v>Not Run</v>
      </c>
      <c r="J299" s="1" t="str">
        <v>Not Run</v>
      </c>
      <c r="K299" s="1" t="str">
        <v>Not Run</v>
      </c>
      <c r="L299" s="1">
        <f>COUNTA(F299:K299)</f>
        <v>6</v>
      </c>
      <c r="M299" s="1">
        <f>COUNTIF(F299:K299,"Pass")</f>
        <v>0</v>
      </c>
      <c r="N299" s="1">
        <f>COUNTIF(F299:K299,"Fail")</f>
        <v>0</v>
      </c>
      <c r="O299" s="1" t="str">
        <f>IF(M299=0,"-",M299/L299)</f>
        <v>-</v>
      </c>
    </row>
    <row r="300">
      <c r="A300" s="1" t="str">
        <v>SC-019</v>
      </c>
      <c r="B300" s="1" t="str">
        <v>Service Call</v>
      </c>
      <c r="C300" s="1" t="str">
        <v>Service Date &amp; Time</v>
      </c>
      <c r="D300" s="1" t="str">
        <v>Schedule Service Call with valid date &amp; time</v>
      </c>
      <c r="E300" s="1" t="str">
        <v>Critical</v>
      </c>
      <c r="F300" s="1" t="str">
        <v>Not Run</v>
      </c>
      <c r="G300" s="1" t="str">
        <v>Not Run</v>
      </c>
      <c r="H300" s="1" t="str">
        <v>Not Run</v>
      </c>
      <c r="I300" s="1" t="str">
        <v>Not Run</v>
      </c>
      <c r="J300" s="1" t="str">
        <v>Not Run</v>
      </c>
      <c r="K300" s="1" t="str">
        <v>Not Run</v>
      </c>
      <c r="L300" s="1">
        <f>COUNTA(F300:K300)</f>
        <v>6</v>
      </c>
      <c r="M300" s="1">
        <f>COUNTIF(F300:K300,"Pass")</f>
        <v>0</v>
      </c>
      <c r="N300" s="1">
        <f>COUNTIF(F300:K300,"Fail")</f>
        <v>0</v>
      </c>
      <c r="O300" s="1" t="str">
        <f>IF(M300=0,"-",M300/L300)</f>
        <v>-</v>
      </c>
    </row>
    <row r="301">
      <c r="A301" s="1" t="str">
        <v>SC-020</v>
      </c>
      <c r="B301" s="1" t="str">
        <v>Service Call</v>
      </c>
      <c r="C301" s="1" t="str">
        <v>Service Date &amp; Time</v>
      </c>
      <c r="D301" s="1" t="str">
        <v>Service date in past is rejected</v>
      </c>
      <c r="E301" s="1" t="str">
        <v>Critical</v>
      </c>
      <c r="F301" s="1" t="str">
        <v>Not Run</v>
      </c>
      <c r="G301" s="1" t="str">
        <v>Not Run</v>
      </c>
      <c r="H301" s="1" t="str">
        <v>Not Run</v>
      </c>
      <c r="I301" s="1" t="str">
        <v>Not Run</v>
      </c>
      <c r="J301" s="1" t="str">
        <v>Not Run</v>
      </c>
      <c r="K301" s="1" t="str">
        <v>Not Run</v>
      </c>
      <c r="L301" s="1">
        <f>COUNTA(F301:K301)</f>
        <v>6</v>
      </c>
      <c r="M301" s="1">
        <f>COUNTIF(F301:K301,"Pass")</f>
        <v>0</v>
      </c>
      <c r="N301" s="1">
        <f>COUNTIF(F301:K301,"Fail")</f>
        <v>0</v>
      </c>
      <c r="O301" s="1" t="str">
        <f>IF(M301=0,"-",M301/L301)</f>
        <v>-</v>
      </c>
    </row>
    <row r="302">
      <c r="A302" s="1" t="str">
        <v>SC-021</v>
      </c>
      <c r="B302" s="1" t="str">
        <v>Service Call</v>
      </c>
      <c r="C302" s="1" t="str">
        <v>Service Date &amp; Time</v>
      </c>
      <c r="D302" s="1" t="str">
        <v>Service date cannot be left blank</v>
      </c>
      <c r="E302" s="1" t="str">
        <v>Critical</v>
      </c>
      <c r="F302" s="1" t="str">
        <v>Not Run</v>
      </c>
      <c r="G302" s="1" t="str">
        <v>Not Run</v>
      </c>
      <c r="H302" s="1" t="str">
        <v>Not Run</v>
      </c>
      <c r="I302" s="1" t="str">
        <v>Not Run</v>
      </c>
      <c r="J302" s="1" t="str">
        <v>Not Run</v>
      </c>
      <c r="K302" s="1" t="str">
        <v>Not Run</v>
      </c>
      <c r="L302" s="1">
        <f>COUNTA(F302:K302)</f>
        <v>6</v>
      </c>
      <c r="M302" s="1">
        <f>COUNTIF(F302:K302,"Pass")</f>
        <v>0</v>
      </c>
      <c r="N302" s="1">
        <f>COUNTIF(F302:K302,"Fail")</f>
        <v>0</v>
      </c>
      <c r="O302" s="1" t="str">
        <f>IF(M302=0,"-",M302/L302)</f>
        <v>-</v>
      </c>
    </row>
    <row r="303">
      <c r="A303" s="1" t="str">
        <v>SC-022</v>
      </c>
      <c r="B303" s="1" t="str">
        <v>Service Call</v>
      </c>
      <c r="C303" s="1" t="str">
        <v>Service Date &amp; Time</v>
      </c>
      <c r="D303" s="1" t="str">
        <v>Service start time and end time are recorded correctly</v>
      </c>
      <c r="E303" s="1" t="str">
        <v>High</v>
      </c>
      <c r="F303" s="1" t="str">
        <v>Not Run</v>
      </c>
      <c r="G303" s="1" t="str">
        <v>Not Run</v>
      </c>
      <c r="H303" s="1" t="str">
        <v>Not Run</v>
      </c>
      <c r="I303" s="1" t="str">
        <v>Not Run</v>
      </c>
      <c r="J303" s="1" t="str">
        <v>Not Run</v>
      </c>
      <c r="K303" s="1" t="str">
        <v>Not Run</v>
      </c>
      <c r="L303" s="1">
        <f>COUNTA(F303:K303)</f>
        <v>6</v>
      </c>
      <c r="M303" s="1">
        <f>COUNTIF(F303:K303,"Pass")</f>
        <v>0</v>
      </c>
      <c r="N303" s="1">
        <f>COUNTIF(F303:K303,"Fail")</f>
        <v>0</v>
      </c>
      <c r="O303" s="1" t="str">
        <f>IF(M303=0,"-",M303/L303)</f>
        <v>-</v>
      </c>
    </row>
    <row r="304">
      <c r="A304" s="1" t="str">
        <v>SC-023</v>
      </c>
      <c r="B304" s="1" t="str">
        <v>Service Call</v>
      </c>
      <c r="C304" s="1" t="str">
        <v>Service Items &amp; Inventory</v>
      </c>
      <c r="D304" s="1" t="str">
        <v>Add single Service Item to Service Call</v>
      </c>
      <c r="E304" s="1" t="str">
        <v>Critical</v>
      </c>
      <c r="F304" s="1" t="str">
        <v>Not Run</v>
      </c>
      <c r="G304" s="1" t="str">
        <v>Not Run</v>
      </c>
      <c r="H304" s="1" t="str">
        <v>Not Run</v>
      </c>
      <c r="I304" s="1" t="str">
        <v>Not Run</v>
      </c>
      <c r="J304" s="1" t="str">
        <v>Not Run</v>
      </c>
      <c r="K304" s="1" t="str">
        <v>Not Run</v>
      </c>
      <c r="L304" s="1">
        <f>COUNTA(F304:K304)</f>
        <v>6</v>
      </c>
      <c r="M304" s="1">
        <f>COUNTIF(F304:K304,"Pass")</f>
        <v>0</v>
      </c>
      <c r="N304" s="1">
        <f>COUNTIF(F304:K304,"Fail")</f>
        <v>0</v>
      </c>
      <c r="O304" s="1" t="str">
        <f>IF(M304=0,"-",M304/L304)</f>
        <v>-</v>
      </c>
    </row>
    <row r="305">
      <c r="A305" s="1" t="str">
        <v>SC-024</v>
      </c>
      <c r="B305" s="1" t="str">
        <v>Service Call</v>
      </c>
      <c r="C305" s="1" t="str">
        <v>Service Items &amp; Inventory</v>
      </c>
      <c r="D305" s="1" t="str">
        <v>Add multiple Service Items to same Service Call</v>
      </c>
      <c r="E305" s="1" t="str">
        <v>High</v>
      </c>
      <c r="F305" s="1" t="str">
        <v>Not Run</v>
      </c>
      <c r="G305" s="1" t="str">
        <v>Not Run</v>
      </c>
      <c r="H305" s="1" t="str">
        <v>Not Run</v>
      </c>
      <c r="I305" s="1" t="str">
        <v>Not Run</v>
      </c>
      <c r="J305" s="1" t="str">
        <v>Not Run</v>
      </c>
      <c r="K305" s="1" t="str">
        <v>Not Run</v>
      </c>
      <c r="L305" s="1">
        <f>COUNTA(F305:K305)</f>
        <v>6</v>
      </c>
      <c r="M305" s="1">
        <f>COUNTIF(F305:K305,"Pass")</f>
        <v>0</v>
      </c>
      <c r="N305" s="1">
        <f>COUNTIF(F305:K305,"Fail")</f>
        <v>0</v>
      </c>
      <c r="O305" s="1" t="str">
        <f>IF(M305=0,"-",M305/L305)</f>
        <v>-</v>
      </c>
    </row>
    <row r="306">
      <c r="A306" s="1" t="str">
        <v>SC-025</v>
      </c>
      <c r="B306" s="1" t="str">
        <v>Service Call</v>
      </c>
      <c r="C306" s="1" t="str">
        <v>Service Items &amp; Inventory</v>
      </c>
      <c r="D306" s="1" t="str">
        <v>Delete Service Item row from Service Call</v>
      </c>
      <c r="E306" s="1" t="str">
        <v>Medium</v>
      </c>
      <c r="F306" s="1" t="str">
        <v>Not Run</v>
      </c>
      <c r="G306" s="1" t="str">
        <v>Not Run</v>
      </c>
      <c r="H306" s="1" t="str">
        <v>Not Run</v>
      </c>
      <c r="I306" s="1" t="str">
        <v>Not Run</v>
      </c>
      <c r="J306" s="1" t="str">
        <v>Not Run</v>
      </c>
      <c r="K306" s="1" t="str">
        <v>Not Run</v>
      </c>
      <c r="L306" s="1">
        <f>COUNTA(F306:K306)</f>
        <v>6</v>
      </c>
      <c r="M306" s="1">
        <f>COUNTIF(F306:K306,"Pass")</f>
        <v>0</v>
      </c>
      <c r="N306" s="1">
        <f>COUNTIF(F306:K306,"Fail")</f>
        <v>0</v>
      </c>
      <c r="O306" s="1" t="str">
        <f>IF(M306=0,"-",M306/L306)</f>
        <v>-</v>
      </c>
    </row>
    <row r="307">
      <c r="A307" s="1" t="str">
        <v>SC-026</v>
      </c>
      <c r="B307" s="1" t="str">
        <v>Service Call</v>
      </c>
      <c r="C307" s="1" t="str">
        <v>Service Items &amp; Inventory</v>
      </c>
      <c r="D307" s="1" t="str">
        <v>Service Item quantity can be updated</v>
      </c>
      <c r="E307" s="1" t="str">
        <v>High</v>
      </c>
      <c r="F307" s="1" t="str">
        <v>Not Run</v>
      </c>
      <c r="G307" s="1" t="str">
        <v>Not Run</v>
      </c>
      <c r="H307" s="1" t="str">
        <v>Not Run</v>
      </c>
      <c r="I307" s="1" t="str">
        <v>Not Run</v>
      </c>
      <c r="J307" s="1" t="str">
        <v>Not Run</v>
      </c>
      <c r="K307" s="1" t="str">
        <v>Not Run</v>
      </c>
      <c r="L307" s="1">
        <f>COUNTA(F307:K307)</f>
        <v>6</v>
      </c>
      <c r="M307" s="1">
        <f>COUNTIF(F307:K307,"Pass")</f>
        <v>0</v>
      </c>
      <c r="N307" s="1">
        <f>COUNTIF(F307:K307,"Fail")</f>
        <v>0</v>
      </c>
      <c r="O307" s="1" t="str">
        <f>IF(M307=0,"-",M307/L307)</f>
        <v>-</v>
      </c>
    </row>
    <row r="308">
      <c r="A308" s="1" t="str">
        <v>SC-027</v>
      </c>
      <c r="B308" s="1" t="str">
        <v>Service Call</v>
      </c>
      <c r="C308" s="1" t="str">
        <v>Service Items &amp; Inventory</v>
      </c>
      <c r="D308" s="1" t="str">
        <v>Out-of-stock Service Item is flagged with warning</v>
      </c>
      <c r="E308" s="1" t="str">
        <v>Critical</v>
      </c>
      <c r="F308" s="1" t="str">
        <v>Not Run</v>
      </c>
      <c r="G308" s="1" t="str">
        <v>Not Run</v>
      </c>
      <c r="H308" s="1" t="str">
        <v>Not Run</v>
      </c>
      <c r="I308" s="1" t="str">
        <v>Not Run</v>
      </c>
      <c r="J308" s="1" t="str">
        <v>Not Run</v>
      </c>
      <c r="K308" s="1" t="str">
        <v>Not Run</v>
      </c>
      <c r="L308" s="1">
        <f>COUNTA(F308:K308)</f>
        <v>6</v>
      </c>
      <c r="M308" s="1">
        <f>COUNTIF(F308:K308,"Pass")</f>
        <v>0</v>
      </c>
      <c r="N308" s="1">
        <f>COUNTIF(F308:K308,"Fail")</f>
        <v>0</v>
      </c>
      <c r="O308" s="1" t="str">
        <f>IF(M308=0,"-",M308/L308)</f>
        <v>-</v>
      </c>
    </row>
    <row r="309">
      <c r="A309" s="1" t="str">
        <v>SC-028</v>
      </c>
      <c r="B309" s="1" t="str">
        <v>Service Call</v>
      </c>
      <c r="C309" s="1" t="str">
        <v>Billing &amp; Cost Calculation</v>
      </c>
      <c r="D309" s="1" t="str">
        <v>Service Call total cost is calculated correctly</v>
      </c>
      <c r="E309" s="1" t="str">
        <v>Critical</v>
      </c>
      <c r="F309" s="1" t="str">
        <v>Not Run</v>
      </c>
      <c r="G309" s="1" t="str">
        <v>Not Run</v>
      </c>
      <c r="H309" s="1" t="str">
        <v>Not Run</v>
      </c>
      <c r="I309" s="1" t="str">
        <v>Not Run</v>
      </c>
      <c r="J309" s="1" t="str">
        <v>Not Run</v>
      </c>
      <c r="K309" s="1" t="str">
        <v>Not Run</v>
      </c>
      <c r="L309" s="1">
        <f>COUNTA(F309:K309)</f>
        <v>6</v>
      </c>
      <c r="M309" s="1">
        <f>COUNTIF(F309:K309,"Pass")</f>
        <v>0</v>
      </c>
      <c r="N309" s="1">
        <f>COUNTIF(F309:K309,"Fail")</f>
        <v>0</v>
      </c>
      <c r="O309" s="1" t="str">
        <f>IF(M309=0,"-",M309/L309)</f>
        <v>-</v>
      </c>
    </row>
    <row r="310">
      <c r="A310" s="1" t="str">
        <v>SC-029</v>
      </c>
      <c r="B310" s="1" t="str">
        <v>Service Call</v>
      </c>
      <c r="C310" s="1" t="str">
        <v>Billing &amp; Cost Calculation</v>
      </c>
      <c r="D310" s="1" t="str">
        <v>Discount applied to Service Call reduces total cost</v>
      </c>
      <c r="E310" s="1" t="str">
        <v>High</v>
      </c>
      <c r="F310" s="1" t="str">
        <v>Not Run</v>
      </c>
      <c r="G310" s="1" t="str">
        <v>Not Run</v>
      </c>
      <c r="H310" s="1" t="str">
        <v>Not Run</v>
      </c>
      <c r="I310" s="1" t="str">
        <v>Not Run</v>
      </c>
      <c r="J310" s="1" t="str">
        <v>Not Run</v>
      </c>
      <c r="K310" s="1" t="str">
        <v>Not Run</v>
      </c>
      <c r="L310" s="1">
        <f>COUNTA(F310:K310)</f>
        <v>6</v>
      </c>
      <c r="M310" s="1">
        <f>COUNTIF(F310:K310,"Pass")</f>
        <v>0</v>
      </c>
      <c r="N310" s="1">
        <f>COUNTIF(F310:K310,"Fail")</f>
        <v>0</v>
      </c>
      <c r="O310" s="1" t="str">
        <f>IF(M310=0,"-",M310/L310)</f>
        <v>-</v>
      </c>
    </row>
    <row r="311">
      <c r="A311" s="1" t="str">
        <v>SC-030</v>
      </c>
      <c r="B311" s="1" t="str">
        <v>Service Call</v>
      </c>
      <c r="C311" s="1" t="str">
        <v>Billing &amp; Cost Calculation</v>
      </c>
      <c r="D311" s="1" t="str">
        <v>Additional charges increase Service Call total cost</v>
      </c>
      <c r="E311" s="1" t="str">
        <v>High</v>
      </c>
      <c r="F311" s="1" t="str">
        <v>Not Run</v>
      </c>
      <c r="G311" s="1" t="str">
        <v>Not Run</v>
      </c>
      <c r="H311" s="1" t="str">
        <v>Not Run</v>
      </c>
      <c r="I311" s="1" t="str">
        <v>Not Run</v>
      </c>
      <c r="J311" s="1" t="str">
        <v>Not Run</v>
      </c>
      <c r="K311" s="1" t="str">
        <v>Not Run</v>
      </c>
      <c r="L311" s="1">
        <f>COUNTA(F311:K311)</f>
        <v>6</v>
      </c>
      <c r="M311" s="1">
        <f>COUNTIF(F311:K311,"Pass")</f>
        <v>0</v>
      </c>
      <c r="N311" s="1">
        <f>COUNTIF(F311:K311,"Fail")</f>
        <v>0</v>
      </c>
      <c r="O311" s="1" t="str">
        <f>IF(M311=0,"-",M311/L311)</f>
        <v>-</v>
      </c>
    </row>
    <row r="312">
      <c r="A312" s="1" t="str">
        <v>SC-031</v>
      </c>
      <c r="B312" s="1" t="str">
        <v>Service Call</v>
      </c>
      <c r="C312" s="1" t="str">
        <v>Billing &amp; Cost Calculation</v>
      </c>
      <c r="D312" s="1" t="str">
        <v>Billable flag determines invoice eligibility</v>
      </c>
      <c r="E312" s="1" t="str">
        <v>Critical</v>
      </c>
      <c r="F312" s="1" t="str">
        <v>Not Run</v>
      </c>
      <c r="G312" s="1" t="str">
        <v>Not Run</v>
      </c>
      <c r="H312" s="1" t="str">
        <v>Not Run</v>
      </c>
      <c r="I312" s="1" t="str">
        <v>Not Run</v>
      </c>
      <c r="J312" s="1" t="str">
        <v>Not Run</v>
      </c>
      <c r="K312" s="1" t="str">
        <v>Not Run</v>
      </c>
      <c r="L312" s="1">
        <f>COUNTA(F312:K312)</f>
        <v>6</v>
      </c>
      <c r="M312" s="1">
        <f>COUNTIF(F312:K312,"Pass")</f>
        <v>0</v>
      </c>
      <c r="N312" s="1">
        <f>COUNTIF(F312:K312,"Fail")</f>
        <v>0</v>
      </c>
      <c r="O312" s="1" t="str">
        <f>IF(M312=0,"-",M312/L312)</f>
        <v>-</v>
      </c>
    </row>
    <row r="313">
      <c r="A313" s="1" t="str">
        <v>SC-032</v>
      </c>
      <c r="B313" s="1" t="str">
        <v>Service Call</v>
      </c>
      <c r="C313" s="1" t="str">
        <v>SLA &amp; Warranty</v>
      </c>
      <c r="D313" s="1" t="str">
        <v>Service Call within warranty period is marked correctly</v>
      </c>
      <c r="E313" s="1" t="str">
        <v>Critical</v>
      </c>
      <c r="F313" s="1" t="str">
        <v>Not Run</v>
      </c>
      <c r="G313" s="1" t="str">
        <v>Not Run</v>
      </c>
      <c r="H313" s="1" t="str">
        <v>Not Run</v>
      </c>
      <c r="I313" s="1" t="str">
        <v>Not Run</v>
      </c>
      <c r="J313" s="1" t="str">
        <v>Not Run</v>
      </c>
      <c r="K313" s="1" t="str">
        <v>Not Run</v>
      </c>
      <c r="L313" s="1">
        <f>COUNTA(F313:K313)</f>
        <v>6</v>
      </c>
      <c r="M313" s="1">
        <f>COUNTIF(F313:K313,"Pass")</f>
        <v>0</v>
      </c>
      <c r="N313" s="1">
        <f>COUNTIF(F313:K313,"Fail")</f>
        <v>0</v>
      </c>
      <c r="O313" s="1" t="str">
        <f>IF(M313=0,"-",M313/L313)</f>
        <v>-</v>
      </c>
    </row>
    <row r="314">
      <c r="A314" s="1" t="str">
        <v>SC-033</v>
      </c>
      <c r="B314" s="1" t="str">
        <v>Service Call</v>
      </c>
      <c r="C314" s="1" t="str">
        <v>SLA &amp; Warranty</v>
      </c>
      <c r="D314" s="1" t="str">
        <v>Service Call outside warranty period is marked correctly</v>
      </c>
      <c r="E314" s="1" t="str">
        <v>Critical</v>
      </c>
      <c r="F314" s="1" t="str">
        <v>Not Run</v>
      </c>
      <c r="G314" s="1" t="str">
        <v>Not Run</v>
      </c>
      <c r="H314" s="1" t="str">
        <v>Not Run</v>
      </c>
      <c r="I314" s="1" t="str">
        <v>Not Run</v>
      </c>
      <c r="J314" s="1" t="str">
        <v>Not Run</v>
      </c>
      <c r="K314" s="1" t="str">
        <v>Not Run</v>
      </c>
      <c r="L314" s="1">
        <f>COUNTA(F314:K314)</f>
        <v>6</v>
      </c>
      <c r="M314" s="1">
        <f>COUNTIF(F314:K314,"Pass")</f>
        <v>0</v>
      </c>
      <c r="N314" s="1">
        <f>COUNTIF(F314:K314,"Fail")</f>
        <v>0</v>
      </c>
      <c r="O314" s="1" t="str">
        <f>IF(M314=0,"-",M314/L314)</f>
        <v>-</v>
      </c>
    </row>
    <row r="315">
      <c r="A315" s="1" t="str">
        <v>SC-034</v>
      </c>
      <c r="B315" s="1" t="str">
        <v>Service Call</v>
      </c>
      <c r="C315" s="1" t="str">
        <v>SLA &amp; Warranty</v>
      </c>
      <c r="D315" s="1" t="str">
        <v>SLA response time is tracked and validated</v>
      </c>
      <c r="E315" s="1" t="str">
        <v>Critical</v>
      </c>
      <c r="F315" s="1" t="str">
        <v>Not Run</v>
      </c>
      <c r="G315" s="1" t="str">
        <v>Not Run</v>
      </c>
      <c r="H315" s="1" t="str">
        <v>Not Run</v>
      </c>
      <c r="I315" s="1" t="str">
        <v>Not Run</v>
      </c>
      <c r="J315" s="1" t="str">
        <v>Not Run</v>
      </c>
      <c r="K315" s="1" t="str">
        <v>Not Run</v>
      </c>
      <c r="L315" s="1">
        <f>COUNTA(F315:K315)</f>
        <v>6</v>
      </c>
      <c r="M315" s="1">
        <f>COUNTIF(F315:K315,"Pass")</f>
        <v>0</v>
      </c>
      <c r="N315" s="1">
        <f>COUNTIF(F315:K315,"Fail")</f>
        <v>0</v>
      </c>
      <c r="O315" s="1" t="str">
        <f>IF(M315=0,"-",M315/L315)</f>
        <v>-</v>
      </c>
    </row>
    <row r="316">
      <c r="A316" s="1" t="str">
        <v>SC-035</v>
      </c>
      <c r="B316" s="1" t="str">
        <v>Service Call</v>
      </c>
      <c r="C316" s="1" t="str">
        <v>Documentation</v>
      </c>
      <c r="D316" s="1" t="str">
        <v>Attach document (image/PDF) to Service Call</v>
      </c>
      <c r="E316" s="1" t="str">
        <v>High</v>
      </c>
      <c r="F316" s="1" t="str">
        <v>Not Run</v>
      </c>
      <c r="G316" s="1" t="str">
        <v>Not Run</v>
      </c>
      <c r="H316" s="1" t="str">
        <v>Not Run</v>
      </c>
      <c r="I316" s="1" t="str">
        <v>Not Run</v>
      </c>
      <c r="J316" s="1" t="str">
        <v>Not Run</v>
      </c>
      <c r="K316" s="1" t="str">
        <v>Not Run</v>
      </c>
      <c r="L316" s="1">
        <f>COUNTA(F316:K316)</f>
        <v>6</v>
      </c>
      <c r="M316" s="1">
        <f>COUNTIF(F316:K316,"Pass")</f>
        <v>0</v>
      </c>
      <c r="N316" s="1">
        <f>COUNTIF(F316:K316,"Fail")</f>
        <v>0</v>
      </c>
      <c r="O316" s="1" t="str">
        <f>IF(M316=0,"-",M316/L316)</f>
        <v>-</v>
      </c>
    </row>
    <row r="317">
      <c r="A317" s="1" t="str">
        <v>SC-036</v>
      </c>
      <c r="B317" s="1" t="str">
        <v>Service Call</v>
      </c>
      <c r="C317" s="1" t="str">
        <v>Documentation</v>
      </c>
      <c r="D317" s="1" t="str">
        <v>Add internal notes to Service Call</v>
      </c>
      <c r="E317" s="1" t="str">
        <v>High</v>
      </c>
      <c r="F317" s="1" t="str">
        <v>Not Run</v>
      </c>
      <c r="G317" s="1" t="str">
        <v>Not Run</v>
      </c>
      <c r="H317" s="1" t="str">
        <v>Not Run</v>
      </c>
      <c r="I317" s="1" t="str">
        <v>Not Run</v>
      </c>
      <c r="J317" s="1" t="str">
        <v>Not Run</v>
      </c>
      <c r="K317" s="1" t="str">
        <v>Not Run</v>
      </c>
      <c r="L317" s="1">
        <f>COUNTA(F317:K317)</f>
        <v>6</v>
      </c>
      <c r="M317" s="1">
        <f>COUNTIF(F317:K317,"Pass")</f>
        <v>0</v>
      </c>
      <c r="N317" s="1">
        <f>COUNTIF(F317:K317,"Fail")</f>
        <v>0</v>
      </c>
      <c r="O317" s="1" t="str">
        <f>IF(M317=0,"-",M317/L317)</f>
        <v>-</v>
      </c>
    </row>
    <row r="318">
      <c r="A318" s="1" t="str">
        <v>SC-037</v>
      </c>
      <c r="B318" s="1" t="str">
        <v>Service Call</v>
      </c>
      <c r="C318" s="1" t="str">
        <v>Documentation</v>
      </c>
      <c r="D318" s="1" t="str">
        <v>Add customer-visible remarks to Service Call</v>
      </c>
      <c r="E318" s="1" t="str">
        <v>High</v>
      </c>
      <c r="F318" s="1" t="str">
        <v>Not Run</v>
      </c>
      <c r="G318" s="1" t="str">
        <v>Not Run</v>
      </c>
      <c r="H318" s="1" t="str">
        <v>Not Run</v>
      </c>
      <c r="I318" s="1" t="str">
        <v>Not Run</v>
      </c>
      <c r="J318" s="1" t="str">
        <v>Not Run</v>
      </c>
      <c r="K318" s="1" t="str">
        <v>Not Run</v>
      </c>
      <c r="L318" s="1">
        <f>COUNTA(F318:K318)</f>
        <v>6</v>
      </c>
      <c r="M318" s="1">
        <f>COUNTIF(F318:K318,"Pass")</f>
        <v>0</v>
      </c>
      <c r="N318" s="1">
        <f>COUNTIF(F318:K318,"Fail")</f>
        <v>0</v>
      </c>
      <c r="O318" s="1" t="str">
        <f>IF(M318=0,"-",M318/L318)</f>
        <v>-</v>
      </c>
    </row>
    <row r="319">
      <c r="A319" s="1" t="str">
        <v>SC-038</v>
      </c>
      <c r="B319" s="1" t="str">
        <v>Service Call</v>
      </c>
      <c r="C319" s="1" t="str">
        <v>Documentation</v>
      </c>
      <c r="D319" s="1" t="str">
        <v>Delete attached document from Service Call</v>
      </c>
      <c r="E319" s="1" t="str">
        <v>Medium</v>
      </c>
      <c r="F319" s="1" t="str">
        <v>Not Run</v>
      </c>
      <c r="G319" s="1" t="str">
        <v>Not Run</v>
      </c>
      <c r="H319" s="1" t="str">
        <v>Not Run</v>
      </c>
      <c r="I319" s="1" t="str">
        <v>Not Run</v>
      </c>
      <c r="J319" s="1" t="str">
        <v>Not Run</v>
      </c>
      <c r="K319" s="1" t="str">
        <v>Not Run</v>
      </c>
      <c r="L319" s="1">
        <f>COUNTA(F319:K319)</f>
        <v>6</v>
      </c>
      <c r="M319" s="1">
        <f>COUNTIF(F319:K319,"Pass")</f>
        <v>0</v>
      </c>
      <c r="N319" s="1">
        <f>COUNTIF(F319:K319,"Fail")</f>
        <v>0</v>
      </c>
      <c r="O319" s="1" t="str">
        <f>IF(M319=0,"-",M319/L319)</f>
        <v>-</v>
      </c>
    </row>
    <row r="320">
      <c r="A320" s="1" t="str">
        <v>SC-039</v>
      </c>
      <c r="B320" s="1" t="str">
        <v>Service Call</v>
      </c>
      <c r="C320" s="1" t="str">
        <v>Data Validation</v>
      </c>
      <c r="D320" s="1" t="str">
        <v>Service Call with missing mandatory fields cannot be saved</v>
      </c>
      <c r="E320" s="1" t="str">
        <v>Critical</v>
      </c>
      <c r="F320" s="1" t="str">
        <v>Not Run</v>
      </c>
      <c r="G320" s="1" t="str">
        <v>Not Run</v>
      </c>
      <c r="H320" s="1" t="str">
        <v>Not Run</v>
      </c>
      <c r="I320" s="1" t="str">
        <v>Not Run</v>
      </c>
      <c r="J320" s="1" t="str">
        <v>Not Run</v>
      </c>
      <c r="K320" s="1" t="str">
        <v>Not Run</v>
      </c>
      <c r="L320" s="1">
        <f>COUNTA(F320:K320)</f>
        <v>6</v>
      </c>
      <c r="M320" s="1">
        <f>COUNTIF(F320:K320,"Pass")</f>
        <v>0</v>
      </c>
      <c r="N320" s="1">
        <f>COUNTIF(F320:K320,"Fail")</f>
        <v>0</v>
      </c>
      <c r="O320" s="1" t="str">
        <f>IF(M320=0,"-",M320/L320)</f>
        <v>-</v>
      </c>
    </row>
    <row r="321">
      <c r="A321" s="1" t="str">
        <v>SC-040</v>
      </c>
      <c r="B321" s="1" t="str">
        <v>Service Call</v>
      </c>
      <c r="C321" s="1" t="str">
        <v>Data Validation</v>
      </c>
      <c r="D321" s="1" t="str">
        <v>Invalid email format in contact field is rejected</v>
      </c>
      <c r="E321" s="1" t="str">
        <v>Critical</v>
      </c>
      <c r="F321" s="1" t="str">
        <v>Not Run</v>
      </c>
      <c r="G321" s="1" t="str">
        <v>Not Run</v>
      </c>
      <c r="H321" s="1" t="str">
        <v>Not Run</v>
      </c>
      <c r="I321" s="1" t="str">
        <v>Not Run</v>
      </c>
      <c r="J321" s="1" t="str">
        <v>Not Run</v>
      </c>
      <c r="K321" s="1" t="str">
        <v>Not Run</v>
      </c>
      <c r="L321" s="1">
        <f>COUNTA(F321:K321)</f>
        <v>6</v>
      </c>
      <c r="M321" s="1">
        <f>COUNTIF(F321:K321,"Pass")</f>
        <v>0</v>
      </c>
      <c r="N321" s="1">
        <f>COUNTIF(F321:K321,"Fail")</f>
        <v>0</v>
      </c>
      <c r="O321" s="1" t="str">
        <f>IF(M321=0,"-",M321/L321)</f>
        <v>-</v>
      </c>
    </row>
    <row r="322">
      <c r="A322" s="1" t="str">
        <v>SC-041</v>
      </c>
      <c r="B322" s="1" t="str">
        <v>Service Call</v>
      </c>
      <c r="C322" s="1" t="str">
        <v>Data Validation</v>
      </c>
      <c r="D322" s="1" t="str">
        <v>Invalid phone number format is rejected</v>
      </c>
      <c r="E322" s="1" t="str">
        <v>Critical</v>
      </c>
      <c r="F322" s="1" t="str">
        <v>Not Run</v>
      </c>
      <c r="G322" s="1" t="str">
        <v>Not Run</v>
      </c>
      <c r="H322" s="1" t="str">
        <v>Not Run</v>
      </c>
      <c r="I322" s="1" t="str">
        <v>Not Run</v>
      </c>
      <c r="J322" s="1" t="str">
        <v>Not Run</v>
      </c>
      <c r="K322" s="1" t="str">
        <v>Not Run</v>
      </c>
      <c r="L322" s="1">
        <f>COUNTA(F322:K322)</f>
        <v>6</v>
      </c>
      <c r="M322" s="1">
        <f>COUNTIF(F322:K322,"Pass")</f>
        <v>0</v>
      </c>
      <c r="N322" s="1">
        <f>COUNTIF(F322:K322,"Fail")</f>
        <v>0</v>
      </c>
      <c r="O322" s="1" t="str">
        <f>IF(M322=0,"-",M322/L322)</f>
        <v>-</v>
      </c>
    </row>
    <row r="323">
      <c r="A323" s="1" t="str">
        <v>SC-042</v>
      </c>
      <c r="B323" s="1" t="str">
        <v>Service Call</v>
      </c>
      <c r="C323" s="1" t="str">
        <v>Editing &amp; Updates</v>
      </c>
      <c r="D323" s="1" t="str">
        <v>Edit existing Service Call details</v>
      </c>
      <c r="E323" s="1" t="str">
        <v>High</v>
      </c>
      <c r="F323" s="1" t="str">
        <v>Not Run</v>
      </c>
      <c r="G323" s="1" t="str">
        <v>Not Run</v>
      </c>
      <c r="H323" s="1" t="str">
        <v>Not Run</v>
      </c>
      <c r="I323" s="1" t="str">
        <v>Not Run</v>
      </c>
      <c r="J323" s="1" t="str">
        <v>Not Run</v>
      </c>
      <c r="K323" s="1" t="str">
        <v>Not Run</v>
      </c>
      <c r="L323" s="1">
        <f>COUNTA(F323:K323)</f>
        <v>6</v>
      </c>
      <c r="M323" s="1">
        <f>COUNTIF(F323:K323,"Pass")</f>
        <v>0</v>
      </c>
      <c r="N323" s="1">
        <f>COUNTIF(F323:K323,"Fail")</f>
        <v>0</v>
      </c>
      <c r="O323" s="1" t="str">
        <f>IF(M323=0,"-",M323/L323)</f>
        <v>-</v>
      </c>
    </row>
    <row r="324">
      <c r="A324" s="1" t="str">
        <v>SC-043</v>
      </c>
      <c r="B324" s="1" t="str">
        <v>Service Call</v>
      </c>
      <c r="C324" s="1" t="str">
        <v>Editing &amp; Updates</v>
      </c>
      <c r="D324" s="1" t="str">
        <v>Edit Service Call after status change is restricted</v>
      </c>
      <c r="E324" s="1" t="str">
        <v>Critical</v>
      </c>
      <c r="F324" s="1" t="str">
        <v>Not Run</v>
      </c>
      <c r="G324" s="1" t="str">
        <v>Not Run</v>
      </c>
      <c r="H324" s="1" t="str">
        <v>Not Run</v>
      </c>
      <c r="I324" s="1" t="str">
        <v>Not Run</v>
      </c>
      <c r="J324" s="1" t="str">
        <v>Not Run</v>
      </c>
      <c r="K324" s="1" t="str">
        <v>Not Run</v>
      </c>
      <c r="L324" s="1">
        <f>COUNTA(F324:K324)</f>
        <v>6</v>
      </c>
      <c r="M324" s="1">
        <f>COUNTIF(F324:K324,"Pass")</f>
        <v>0</v>
      </c>
      <c r="N324" s="1">
        <f>COUNTIF(F324:K324,"Fail")</f>
        <v>0</v>
      </c>
      <c r="O324" s="1" t="str">
        <f>IF(M324=0,"-",M324/L324)</f>
        <v>-</v>
      </c>
    </row>
    <row r="325">
      <c r="A325" s="1" t="str">
        <v>SC-044</v>
      </c>
      <c r="B325" s="1" t="str">
        <v>Service Call</v>
      </c>
      <c r="C325" s="1" t="str">
        <v>Editing &amp; Updates</v>
      </c>
      <c r="D325" s="1" t="str">
        <v>Edit Service Call technician assignment after creation</v>
      </c>
      <c r="E325" s="1" t="str">
        <v>High</v>
      </c>
      <c r="F325" s="1" t="str">
        <v>Not Run</v>
      </c>
      <c r="G325" s="1" t="str">
        <v>Not Run</v>
      </c>
      <c r="H325" s="1" t="str">
        <v>Not Run</v>
      </c>
      <c r="I325" s="1" t="str">
        <v>Not Run</v>
      </c>
      <c r="J325" s="1" t="str">
        <v>Not Run</v>
      </c>
      <c r="K325" s="1" t="str">
        <v>Not Run</v>
      </c>
      <c r="L325" s="1">
        <f>COUNTA(F325:K325)</f>
        <v>6</v>
      </c>
      <c r="M325" s="1">
        <f>COUNTIF(F325:K325,"Pass")</f>
        <v>0</v>
      </c>
      <c r="N325" s="1">
        <f>COUNTIF(F325:K325,"Fail")</f>
        <v>0</v>
      </c>
      <c r="O325" s="1" t="str">
        <f>IF(M325=0,"-",M325/L325)</f>
        <v>-</v>
      </c>
    </row>
    <row r="326">
      <c r="A326" s="1" t="str">
        <v>SC-045</v>
      </c>
      <c r="B326" s="1" t="str">
        <v>Service Call</v>
      </c>
      <c r="C326" s="1" t="str">
        <v>Bulk Operations</v>
      </c>
      <c r="D326" s="1" t="str">
        <v>Duplicate existing Service Call</v>
      </c>
      <c r="E326" s="1" t="str">
        <v>High</v>
      </c>
      <c r="F326" s="1" t="str">
        <v>Not Run</v>
      </c>
      <c r="G326" s="1" t="str">
        <v>Not Run</v>
      </c>
      <c r="H326" s="1" t="str">
        <v>Not Run</v>
      </c>
      <c r="I326" s="1" t="str">
        <v>Not Run</v>
      </c>
      <c r="J326" s="1" t="str">
        <v>Not Run</v>
      </c>
      <c r="K326" s="1" t="str">
        <v>Not Run</v>
      </c>
      <c r="L326" s="1">
        <f>COUNTA(F326:K326)</f>
        <v>6</v>
      </c>
      <c r="M326" s="1">
        <f>COUNTIF(F326:K326,"Pass")</f>
        <v>0</v>
      </c>
      <c r="N326" s="1">
        <f>COUNTIF(F326:K326,"Fail")</f>
        <v>0</v>
      </c>
      <c r="O326" s="1" t="str">
        <f>IF(M326=0,"-",M326/L326)</f>
        <v>-</v>
      </c>
    </row>
    <row r="327">
      <c r="A327" s="1" t="str">
        <v>SC-046</v>
      </c>
      <c r="B327" s="1" t="str">
        <v>Service Call</v>
      </c>
      <c r="C327" s="1" t="str">
        <v>Bulk Operations</v>
      </c>
      <c r="D327" s="1" t="str">
        <v>Delete Service Call (permitted status only)</v>
      </c>
      <c r="E327" s="1" t="str">
        <v>Critical</v>
      </c>
      <c r="F327" s="1" t="str">
        <v>Not Run</v>
      </c>
      <c r="G327" s="1" t="str">
        <v>Not Run</v>
      </c>
      <c r="H327" s="1" t="str">
        <v>Not Run</v>
      </c>
      <c r="I327" s="1" t="str">
        <v>Not Run</v>
      </c>
      <c r="J327" s="1" t="str">
        <v>Not Run</v>
      </c>
      <c r="K327" s="1" t="str">
        <v>Not Run</v>
      </c>
      <c r="L327" s="1">
        <f>COUNTA(F327:K327)</f>
        <v>6</v>
      </c>
      <c r="M327" s="1">
        <f>COUNTIF(F327:K327,"Pass")</f>
        <v>0</v>
      </c>
      <c r="N327" s="1">
        <f>COUNTIF(F327:K327,"Fail")</f>
        <v>0</v>
      </c>
      <c r="O327" s="1" t="str">
        <f>IF(M327=0,"-",M327/L327)</f>
        <v>-</v>
      </c>
    </row>
    <row r="328">
      <c r="A328" s="1" t="str">
        <v>SC-047</v>
      </c>
      <c r="B328" s="1" t="str">
        <v>Service Call</v>
      </c>
      <c r="C328" s="1" t="str">
        <v>Bulk Operations</v>
      </c>
      <c r="D328" s="1" t="str">
        <v>Bulk update Service Call status</v>
      </c>
      <c r="E328" s="1" t="str">
        <v>High</v>
      </c>
      <c r="F328" s="1" t="str">
        <v>Not Run</v>
      </c>
      <c r="G328" s="1" t="str">
        <v>Not Run</v>
      </c>
      <c r="H328" s="1" t="str">
        <v>Not Run</v>
      </c>
      <c r="I328" s="1" t="str">
        <v>Not Run</v>
      </c>
      <c r="J328" s="1" t="str">
        <v>Not Run</v>
      </c>
      <c r="K328" s="1" t="str">
        <v>Not Run</v>
      </c>
      <c r="L328" s="1">
        <f>COUNTA(F328:K328)</f>
        <v>6</v>
      </c>
      <c r="M328" s="1">
        <f>COUNTIF(F328:K328,"Pass")</f>
        <v>0</v>
      </c>
      <c r="N328" s="1">
        <f>COUNTIF(F328:K328,"Fail")</f>
        <v>0</v>
      </c>
      <c r="O328" s="1" t="str">
        <f>IF(M328=0,"-",M328/L328)</f>
        <v>-</v>
      </c>
    </row>
    <row r="329">
      <c r="A329" s="1" t="str">
        <v>SC-048</v>
      </c>
      <c r="B329" s="1" t="str">
        <v>Service Call</v>
      </c>
      <c r="C329" s="1" t="str">
        <v>Permissions &amp; Access</v>
      </c>
      <c r="D329" s="1" t="str">
        <v>Technician views only assigned Service Calls</v>
      </c>
      <c r="E329" s="1" t="str">
        <v>Critical</v>
      </c>
      <c r="F329" s="1" t="str">
        <v>Not Run</v>
      </c>
      <c r="G329" s="1" t="str">
        <v>Not Run</v>
      </c>
      <c r="H329" s="1" t="str">
        <v>Not Run</v>
      </c>
      <c r="I329" s="1" t="str">
        <v>Not Run</v>
      </c>
      <c r="J329" s="1" t="str">
        <v>Not Run</v>
      </c>
      <c r="K329" s="1" t="str">
        <v>Not Run</v>
      </c>
      <c r="L329" s="1">
        <f>COUNTA(F329:K329)</f>
        <v>6</v>
      </c>
      <c r="M329" s="1">
        <f>COUNTIF(F329:K329,"Pass")</f>
        <v>0</v>
      </c>
      <c r="N329" s="1">
        <f>COUNTIF(F329:K329,"Fail")</f>
        <v>0</v>
      </c>
      <c r="O329" s="1" t="str">
        <f>IF(M329=0,"-",M329/L329)</f>
        <v>-</v>
      </c>
    </row>
    <row r="330">
      <c r="A330" s="1" t="str">
        <v>SC-049</v>
      </c>
      <c r="B330" s="1" t="str">
        <v>Service Call</v>
      </c>
      <c r="C330" s="1" t="str">
        <v>Permissions &amp; Access</v>
      </c>
      <c r="D330" s="1" t="str">
        <v>Customer views only their own Service Calls</v>
      </c>
      <c r="E330" s="1" t="str">
        <v>Critical</v>
      </c>
      <c r="F330" s="1" t="str">
        <v>Not Run</v>
      </c>
      <c r="G330" s="1" t="str">
        <v>Not Run</v>
      </c>
      <c r="H330" s="1" t="str">
        <v>Not Run</v>
      </c>
      <c r="I330" s="1" t="str">
        <v>Not Run</v>
      </c>
      <c r="J330" s="1" t="str">
        <v>Not Run</v>
      </c>
      <c r="K330" s="1" t="str">
        <v>Not Run</v>
      </c>
      <c r="L330" s="1">
        <f>COUNTA(F330:K330)</f>
        <v>6</v>
      </c>
      <c r="M330" s="1">
        <f>COUNTIF(F330:K330,"Pass")</f>
        <v>0</v>
      </c>
      <c r="N330" s="1">
        <f>COUNTIF(F330:K330,"Fail")</f>
        <v>0</v>
      </c>
      <c r="O330" s="1" t="str">
        <f>IF(M330=0,"-",M330/L330)</f>
        <v>-</v>
      </c>
    </row>
    <row r="331">
      <c r="A331" s="1" t="str">
        <v>SC-050</v>
      </c>
      <c r="B331" s="1" t="str">
        <v>Service Call</v>
      </c>
      <c r="C331" s="1" t="str">
        <v>Permissions &amp; Access</v>
      </c>
      <c r="D331" s="1" t="str">
        <v>Manager can approve/reject Service Calls</v>
      </c>
      <c r="E331" s="1" t="str">
        <v>Critical</v>
      </c>
      <c r="F331" s="1" t="str">
        <v>Not Run</v>
      </c>
      <c r="G331" s="1" t="str">
        <v>Not Run</v>
      </c>
      <c r="H331" s="1" t="str">
        <v>Not Run</v>
      </c>
      <c r="I331" s="1" t="str">
        <v>Not Run</v>
      </c>
      <c r="J331" s="1" t="str">
        <v>Not Run</v>
      </c>
      <c r="K331" s="1" t="str">
        <v>Not Run</v>
      </c>
      <c r="L331" s="1">
        <f>COUNTA(F331:K331)</f>
        <v>6</v>
      </c>
      <c r="M331" s="1">
        <f>COUNTIF(F331:K331,"Pass")</f>
        <v>0</v>
      </c>
      <c r="N331" s="1">
        <f>COUNTIF(F331:K331,"Fail")</f>
        <v>0</v>
      </c>
      <c r="O331" s="1" t="str">
        <f>IF(M331=0,"-",M331/L331)</f>
        <v>-</v>
      </c>
    </row>
  </sheetData>
  <mergeCells count="9">
    <mergeCell ref="A1:O1"/>
    <mergeCell ref="A2:O2"/>
    <mergeCell ref="A5:O5"/>
    <mergeCell ref="A27:O27"/>
    <mergeCell ref="A60:O60"/>
    <mergeCell ref="A101:O101"/>
    <mergeCell ref="A154:O154"/>
    <mergeCell ref="A215:O215"/>
    <mergeCell ref="A281:O281"/>
  </mergeCells>
  <pageMargins left="0.75" right="0.75" top="1" bottom="1" header="0.511811023622047" footer="0.511811023622047"/>
  <ignoredErrors>
    <ignoredError numberStoredAsText="1" sqref="A1:O331"/>
  </ignoredErrors>
</worksheet>
</file>

<file path=xl/worksheets/sheet3.xml><?xml version="1.0" encoding="utf-8"?>
<worksheet xmlns="http://schemas.openxmlformats.org/spreadsheetml/2006/main" xmlns:r="http://schemas.openxmlformats.org/officeDocument/2006/relationships">
  <dimension ref="A1:L96"/>
  <sheetViews>
    <sheetView workbookViewId="0" rightToLeft="0"/>
  </sheetViews>
  <sheetData>
    <row r="1">
      <c r="A1" s="1" t="str">
        <v>AMC Core — Master Execution Summary Dashboard</v>
      </c>
    </row>
    <row r="2">
      <c r="A2" s="1" t="str">
        <v>Live dashboard — all metrics auto-update as Test Case Register statuses are filled in.</v>
      </c>
    </row>
    <row r="4">
      <c r="A4" s="1" t="str">
        <v>Total TCs</v>
      </c>
      <c r="C4" s="1" t="str">
        <v>Not Run</v>
      </c>
      <c r="E4" s="1" t="str">
        <v>Pass</v>
      </c>
      <c r="G4" s="1" t="str">
        <v>Fail</v>
      </c>
      <c r="I4" s="1" t="str">
        <v>Blocked</v>
      </c>
      <c r="K4" s="1" t="str">
        <v>Pass Rate</v>
      </c>
    </row>
    <row r="5">
      <c r="A5" s="1">
        <f>COUNTA('Test Case Register'!A5:A700)-COUNTIF('Test Case Register'!A5:A700,"▌*")</f>
        <v>320</v>
      </c>
      <c r="C5" s="1">
        <f>COUNTIF('Test Case Register'!G5:G700,"Not Run")</f>
        <v>320</v>
      </c>
      <c r="E5" s="1">
        <f>COUNTIF('Test Case Register'!G5:G700,"Pass")</f>
        <v>0</v>
      </c>
      <c r="G5" s="1">
        <f>COUNTIF('Test Case Register'!G5:G700,"Fail")</f>
        <v>0</v>
      </c>
      <c r="I5" s="1">
        <f>COUNTIF('Test Case Register'!G5:G700,"Blocked")</f>
        <v>0</v>
      </c>
      <c r="K5" s="1">
        <f>IF(COUNTIF('Test Case Register'!G5:G700,"Pass")+COUNTIF('Test Case Register'!G5:G700,"Fail")=0,0,COUNTIF('Test Case Register'!G5:G700,"Pass")/(COUNTIF('Test Case Register'!G5:G700,"Pass")+COUNTIF('Test Case Register'!G5:G700,"Fail")))</f>
        <v>0</v>
      </c>
    </row>
    <row r="7">
      <c r="A7" s="1" t="str">
        <v>Results by DocType</v>
      </c>
    </row>
    <row r="8">
      <c r="A8" s="1" t="str">
        <v>DocType</v>
      </c>
      <c r="C8" s="1" t="str">
        <v>Total</v>
      </c>
      <c r="E8" s="1" t="str">
        <v>Pass</v>
      </c>
      <c r="G8" s="1" t="str">
        <v>Fail</v>
      </c>
      <c r="I8" s="1" t="str">
        <v>Blocked</v>
      </c>
      <c r="K8" s="1" t="str">
        <v>Pass Rate</v>
      </c>
    </row>
    <row r="9">
      <c r="A9" s="1" t="str">
        <v>AMC Customers</v>
      </c>
      <c r="C9" s="1">
        <v>21</v>
      </c>
      <c r="E9" s="1">
        <f>COUNTIFS('Test Case Register'!B5:B700,"AMC Customers",'Test Case Register'!G5:G700,"Pass")</f>
        <v>0</v>
      </c>
      <c r="G9" s="1">
        <f>COUNTIFS('Test Case Register'!B5:B700,"AMC Customers",'Test Case Register'!G5:G700,"Fail")</f>
        <v>0</v>
      </c>
      <c r="I9" s="1">
        <f>COUNTIFS('Test Case Register'!B5:B700,"AMC Customers",'Test Case Register'!G5:G700,"Blocked")</f>
        <v>0</v>
      </c>
      <c r="K9" s="1" t="str">
        <f>IF(E9+G9=0,"-",E9/(E9+G9))</f>
        <v>-</v>
      </c>
    </row>
    <row r="10">
      <c r="A10" s="1" t="str">
        <v>AMC Contract</v>
      </c>
      <c r="C10" s="1">
        <v>32</v>
      </c>
      <c r="E10" s="1">
        <f>COUNTIFS('Test Case Register'!B5:B700,"AMC Contract",'Test Case Register'!G5:G700,"Pass")</f>
        <v>0</v>
      </c>
      <c r="G10" s="1">
        <f>COUNTIFS('Test Case Register'!B5:B700,"AMC Contract",'Test Case Register'!G5:G700,"Fail")</f>
        <v>0</v>
      </c>
      <c r="I10" s="1">
        <f>COUNTIFS('Test Case Register'!B5:B700,"AMC Contract",'Test Case Register'!G5:G700,"Blocked")</f>
        <v>0</v>
      </c>
      <c r="K10" s="1" t="str">
        <f>IF(E10+G10=0,"-",E10/(E10+G10))</f>
        <v>-</v>
      </c>
    </row>
    <row r="11">
      <c r="A11" s="1" t="str">
        <v>Vendor</v>
      </c>
      <c r="C11" s="1">
        <v>40</v>
      </c>
      <c r="E11" s="1">
        <f>COUNTIFS('Test Case Register'!B5:B700,"Vendor",'Test Case Register'!G5:G700,"Pass")</f>
        <v>0</v>
      </c>
      <c r="G11" s="1">
        <f>COUNTIFS('Test Case Register'!B5:B700,"Vendor",'Test Case Register'!G5:G700,"Fail")</f>
        <v>0</v>
      </c>
      <c r="I11" s="1">
        <f>COUNTIFS('Test Case Register'!B5:B700,"Vendor",'Test Case Register'!G5:G700,"Blocked")</f>
        <v>0</v>
      </c>
      <c r="K11" s="1" t="str">
        <f>IF(E11+G11=0,"-",E11/(E11+G11))</f>
        <v>-</v>
      </c>
    </row>
    <row r="12">
      <c r="A12" s="1" t="str">
        <v>Attendance</v>
      </c>
      <c r="C12" s="1">
        <v>52</v>
      </c>
      <c r="E12" s="1">
        <f>COUNTIFS('Test Case Register'!B5:B700,"Attendance",'Test Case Register'!G5:G700,"Pass")</f>
        <v>0</v>
      </c>
      <c r="G12" s="1">
        <f>COUNTIFS('Test Case Register'!B5:B700,"Attendance",'Test Case Register'!G5:G700,"Fail")</f>
        <v>0</v>
      </c>
      <c r="I12" s="1">
        <f>COUNTIFS('Test Case Register'!B5:B700,"Attendance",'Test Case Register'!G5:G700,"Blocked")</f>
        <v>0</v>
      </c>
      <c r="K12" s="1" t="str">
        <f>IF(E12+G12=0,"-",E12/(E12+G12))</f>
        <v>-</v>
      </c>
    </row>
    <row r="13">
      <c r="A13" s="1" t="str">
        <v>Expense Claim</v>
      </c>
      <c r="C13" s="1">
        <v>60</v>
      </c>
      <c r="E13" s="1">
        <f>COUNTIFS('Test Case Register'!B5:B700,"Expense Claim",'Test Case Register'!G5:G700,"Pass")</f>
        <v>0</v>
      </c>
      <c r="G13" s="1">
        <f>COUNTIFS('Test Case Register'!B5:B700,"Expense Claim",'Test Case Register'!G5:G700,"Fail")</f>
        <v>0</v>
      </c>
      <c r="I13" s="1">
        <f>COUNTIFS('Test Case Register'!B5:B700,"Expense Claim",'Test Case Register'!G5:G700,"Blocked")</f>
        <v>0</v>
      </c>
      <c r="K13" s="1" t="str">
        <f>IF(E13+G13=0,"-",E13/(E13+G13))</f>
        <v>-</v>
      </c>
    </row>
    <row r="14">
      <c r="A14" s="1" t="str">
        <v>Leave Application</v>
      </c>
      <c r="C14" s="1">
        <v>65</v>
      </c>
      <c r="E14" s="1">
        <f>COUNTIFS('Test Case Register'!B5:B700,"Leave Application",'Test Case Register'!G5:G700,"Pass")</f>
        <v>0</v>
      </c>
      <c r="G14" s="1">
        <f>COUNTIFS('Test Case Register'!B5:B700,"Leave Application",'Test Case Register'!G5:G700,"Fail")</f>
        <v>0</v>
      </c>
      <c r="I14" s="1">
        <f>COUNTIFS('Test Case Register'!B5:B700,"Leave Application",'Test Case Register'!G5:G700,"Blocked")</f>
        <v>0</v>
      </c>
      <c r="K14" s="1" t="str">
        <f>IF(E14+G14=0,"-",E14/(E14+G14))</f>
        <v>-</v>
      </c>
    </row>
    <row r="15">
      <c r="A15" s="1" t="str">
        <v>Service Call</v>
      </c>
      <c r="C15" s="1">
        <v>50</v>
      </c>
      <c r="E15" s="1">
        <f>COUNTIFS('Test Case Register'!B5:B700,"Service Call",'Test Case Register'!G5:G700,"Pass")</f>
        <v>0</v>
      </c>
      <c r="G15" s="1">
        <f>COUNTIFS('Test Case Register'!B5:B700,"Service Call",'Test Case Register'!G5:G700,"Fail")</f>
        <v>0</v>
      </c>
      <c r="I15" s="1">
        <f>COUNTIFS('Test Case Register'!B5:B700,"Service Call",'Test Case Register'!G5:G700,"Blocked")</f>
        <v>0</v>
      </c>
      <c r="K15" s="1" t="str">
        <f>IF(E15+G15=0,"-",E15/(E15+G15))</f>
        <v>-</v>
      </c>
    </row>
    <row r="18">
      <c r="A18" s="1" t="str">
        <v>Results by Module</v>
      </c>
    </row>
    <row r="19">
      <c r="A19" s="1" t="str">
        <v>Module</v>
      </c>
      <c r="B19" s="1" t="str">
        <v>DocType</v>
      </c>
      <c r="C19" s="1" t="str">
        <v>Tests</v>
      </c>
      <c r="D19" s="1" t="str">
        <v>Pass</v>
      </c>
      <c r="E19" s="1" t="str">
        <v>Fail</v>
      </c>
      <c r="F19" s="1" t="str">
        <v>Blocked</v>
      </c>
      <c r="G19" s="1" t="str">
        <v>Pass Rate</v>
      </c>
    </row>
    <row r="20">
      <c r="A20" s="1" t="str">
        <v>Customer Creation &amp; Basic Details</v>
      </c>
      <c r="B20" s="1" t="str">
        <v>AMC Customers</v>
      </c>
      <c r="C20" s="1">
        <v>4</v>
      </c>
      <c r="D20" s="1">
        <f>COUNTIFS('Test Case Register'!B5:B700,"AMC Customers",'Test Case Register'!C5:C700,"Customer Creation &amp; Basic Details",'Test Case Register'!G5:G700,"Pass")</f>
        <v>0</v>
      </c>
      <c r="E20" s="1">
        <f>COUNTIFS('Test Case Register'!B5:B700,"AMC Customers",'Test Case Register'!C5:C700,"Customer Creation &amp; Basic Details",'Test Case Register'!G5:G700,"Fail")</f>
        <v>0</v>
      </c>
      <c r="F20" s="1">
        <f>COUNTIFS('Test Case Register'!B5:B700,"AMC Customers",'Test Case Register'!C5:C700,"Customer Creation &amp; Basic Details",'Test Case Register'!G5:G700,"Blocked")</f>
        <v>0</v>
      </c>
      <c r="G20" s="1" t="str">
        <f>IF(D20+E20=0,"-",D20/(D20+E20))</f>
        <v>-</v>
      </c>
    </row>
    <row r="21">
      <c r="A21" s="1" t="str">
        <v>GST Validation</v>
      </c>
      <c r="B21" s="1" t="str">
        <v>AMC Customers</v>
      </c>
      <c r="C21" s="1">
        <v>5</v>
      </c>
      <c r="D21" s="1">
        <f>COUNTIFS('Test Case Register'!B5:B700,"AMC Customers",'Test Case Register'!C5:C700,"GST Validation",'Test Case Register'!G5:G700,"Pass")</f>
        <v>0</v>
      </c>
      <c r="E21" s="1">
        <f>COUNTIFS('Test Case Register'!B5:B700,"AMC Customers",'Test Case Register'!C5:C700,"GST Validation",'Test Case Register'!G5:G700,"Fail")</f>
        <v>0</v>
      </c>
      <c r="F21" s="1">
        <f>COUNTIFS('Test Case Register'!B5:B700,"AMC Customers",'Test Case Register'!C5:C700,"GST Validation",'Test Case Register'!G5:G700,"Blocked")</f>
        <v>0</v>
      </c>
      <c r="G21" s="1" t="str">
        <f>IF(D21+E21=0,"-",D21/(D21+E21))</f>
        <v>-</v>
      </c>
    </row>
    <row r="22">
      <c r="A22" s="1" t="str">
        <v>Branch Locations</v>
      </c>
      <c r="B22" s="1" t="str">
        <v>AMC Customers</v>
      </c>
      <c r="C22" s="1">
        <v>4</v>
      </c>
      <c r="D22" s="1">
        <f>COUNTIFS('Test Case Register'!B5:B700,"AMC Customers",'Test Case Register'!C5:C700,"Branch Locations",'Test Case Register'!G5:G700,"Pass")</f>
        <v>0</v>
      </c>
      <c r="E22" s="1">
        <f>COUNTIFS('Test Case Register'!B5:B700,"AMC Customers",'Test Case Register'!C5:C700,"Branch Locations",'Test Case Register'!G5:G700,"Fail")</f>
        <v>0</v>
      </c>
      <c r="F22" s="1">
        <f>COUNTIFS('Test Case Register'!B5:B700,"AMC Customers",'Test Case Register'!C5:C700,"Branch Locations",'Test Case Register'!G5:G700,"Blocked")</f>
        <v>0</v>
      </c>
      <c r="G22" s="1" t="str">
        <f>IF(D22+E22=0,"-",D22/(D22+E22))</f>
        <v>-</v>
      </c>
    </row>
    <row r="23">
      <c r="A23" s="1" t="str">
        <v>Contact Details</v>
      </c>
      <c r="B23" s="1" t="str">
        <v>AMC Customers</v>
      </c>
      <c r="C23" s="1">
        <v>4</v>
      </c>
      <c r="D23" s="1">
        <f>COUNTIFS('Test Case Register'!B5:B700,"AMC Customers",'Test Case Register'!C5:C700,"Contact Details",'Test Case Register'!G5:G700,"Pass")</f>
        <v>0</v>
      </c>
      <c r="E23" s="1">
        <f>COUNTIFS('Test Case Register'!B5:B700,"AMC Customers",'Test Case Register'!C5:C700,"Contact Details",'Test Case Register'!G5:G700,"Fail")</f>
        <v>0</v>
      </c>
      <c r="F23" s="1">
        <f>COUNTIFS('Test Case Register'!B5:B700,"AMC Customers",'Test Case Register'!C5:C700,"Contact Details",'Test Case Register'!G5:G700,"Blocked")</f>
        <v>0</v>
      </c>
      <c r="G23" s="1" t="str">
        <f>IF(D23+E23=0,"-",D23/(D23+E23))</f>
        <v>-</v>
      </c>
    </row>
    <row r="24">
      <c r="A24" s="1" t="str">
        <v>Connections Tab</v>
      </c>
      <c r="B24" s="1" t="str">
        <v>AMC Customers</v>
      </c>
      <c r="C24" s="1">
        <v>2</v>
      </c>
      <c r="D24" s="1">
        <f>COUNTIFS('Test Case Register'!B5:B700,"AMC Customers",'Test Case Register'!C5:C700,"Connections Tab",'Test Case Register'!G5:G700,"Pass")</f>
        <v>0</v>
      </c>
      <c r="E24" s="1">
        <f>COUNTIFS('Test Case Register'!B5:B700,"AMC Customers",'Test Case Register'!C5:C700,"Connections Tab",'Test Case Register'!G5:G700,"Fail")</f>
        <v>0</v>
      </c>
      <c r="F24" s="1">
        <f>COUNTIFS('Test Case Register'!B5:B700,"AMC Customers",'Test Case Register'!C5:C700,"Connections Tab",'Test Case Register'!G5:G700,"Blocked")</f>
        <v>0</v>
      </c>
      <c r="G24" s="1" t="str">
        <f>IF(D24+E24=0,"-",D24/(D24+E24))</f>
        <v>-</v>
      </c>
    </row>
    <row r="25">
      <c r="A25" s="1" t="str">
        <v>Permissions</v>
      </c>
      <c r="B25" s="1" t="str">
        <v>AMC Customers</v>
      </c>
      <c r="C25" s="1">
        <v>1</v>
      </c>
      <c r="D25" s="1">
        <f>COUNTIFS('Test Case Register'!B5:B700,"AMC Customers",'Test Case Register'!C5:C700,"Permissions",'Test Case Register'!G5:G700,"Pass")</f>
        <v>0</v>
      </c>
      <c r="E25" s="1">
        <f>COUNTIFS('Test Case Register'!B5:B700,"AMC Customers",'Test Case Register'!C5:C700,"Permissions",'Test Case Register'!G5:G700,"Fail")</f>
        <v>0</v>
      </c>
      <c r="F25" s="1">
        <f>COUNTIFS('Test Case Register'!B5:B700,"AMC Customers",'Test Case Register'!C5:C700,"Permissions",'Test Case Register'!G5:G700,"Blocked")</f>
        <v>0</v>
      </c>
      <c r="G25" s="1" t="str">
        <f>IF(D25+E25=0,"-",D25/(D25+E25))</f>
        <v>-</v>
      </c>
    </row>
    <row r="26">
      <c r="A26" s="1" t="str">
        <v>Data Integrity</v>
      </c>
      <c r="B26" s="1" t="str">
        <v>AMC Customers</v>
      </c>
      <c r="C26" s="1">
        <v>1</v>
      </c>
      <c r="D26" s="1">
        <f>COUNTIFS('Test Case Register'!B5:B700,"AMC Customers",'Test Case Register'!C5:C700,"Data Integrity",'Test Case Register'!G5:G700,"Pass")</f>
        <v>0</v>
      </c>
      <c r="E26" s="1">
        <f>COUNTIFS('Test Case Register'!B5:B700,"AMC Customers",'Test Case Register'!C5:C700,"Data Integrity",'Test Case Register'!G5:G700,"Fail")</f>
        <v>0</v>
      </c>
      <c r="F26" s="1">
        <f>COUNTIFS('Test Case Register'!B5:B700,"AMC Customers",'Test Case Register'!C5:C700,"Data Integrity",'Test Case Register'!G5:G700,"Blocked")</f>
        <v>0</v>
      </c>
      <c r="G26" s="1" t="str">
        <f>IF(D26+E26=0,"-",D26/(D26+E26))</f>
        <v>-</v>
      </c>
    </row>
    <row r="27">
      <c r="A27" s="1" t="str">
        <v>Contract Creation</v>
      </c>
      <c r="B27" s="1" t="str">
        <v>AMC Contract</v>
      </c>
      <c r="C27" s="1">
        <v>5</v>
      </c>
      <c r="D27" s="1">
        <f>COUNTIFS('Test Case Register'!B5:B700,"AMC Contract",'Test Case Register'!C5:C700,"Contract Creation",'Test Case Register'!G5:G700,"Pass")</f>
        <v>0</v>
      </c>
      <c r="E27" s="1">
        <f>COUNTIFS('Test Case Register'!B5:B700,"AMC Contract",'Test Case Register'!C5:C700,"Contract Creation",'Test Case Register'!G5:G700,"Fail")</f>
        <v>0</v>
      </c>
      <c r="F27" s="1">
        <f>COUNTIFS('Test Case Register'!B5:B700,"AMC Contract",'Test Case Register'!C5:C700,"Contract Creation",'Test Case Register'!G5:G700,"Blocked")</f>
        <v>0</v>
      </c>
      <c r="G27" s="1" t="str">
        <f>IF(D27+E27=0,"-",D27/(D27+E27))</f>
        <v>-</v>
      </c>
    </row>
    <row r="28">
      <c r="A28" s="1" t="str">
        <v>Contract Date Logic</v>
      </c>
      <c r="B28" s="1" t="str">
        <v>AMC Contract</v>
      </c>
      <c r="C28" s="1">
        <v>3</v>
      </c>
      <c r="D28" s="1">
        <f>COUNTIFS('Test Case Register'!B5:B700,"AMC Contract",'Test Case Register'!C5:C700,"Contract Date Logic",'Test Case Register'!G5:G700,"Pass")</f>
        <v>0</v>
      </c>
      <c r="E28" s="1">
        <f>COUNTIFS('Test Case Register'!B5:B700,"AMC Contract",'Test Case Register'!C5:C700,"Contract Date Logic",'Test Case Register'!G5:G700,"Fail")</f>
        <v>0</v>
      </c>
      <c r="F28" s="1">
        <f>COUNTIFS('Test Case Register'!B5:B700,"AMC Contract",'Test Case Register'!C5:C700,"Contract Date Logic",'Test Case Register'!G5:G700,"Blocked")</f>
        <v>0</v>
      </c>
      <c r="G28" s="1" t="str">
        <f>IF(D28+E28=0,"-",D28/(D28+E28))</f>
        <v>-</v>
      </c>
    </row>
    <row r="29">
      <c r="A29" s="1" t="str">
        <v>Service Count &amp; Schedule</v>
      </c>
      <c r="B29" s="1" t="str">
        <v>AMC Contract</v>
      </c>
      <c r="C29" s="1">
        <v>6</v>
      </c>
      <c r="D29" s="1">
        <f>COUNTIFS('Test Case Register'!B5:B700,"AMC Contract",'Test Case Register'!C5:C700,"Service Count &amp; Schedule",'Test Case Register'!G5:G700,"Pass")</f>
        <v>0</v>
      </c>
      <c r="E29" s="1">
        <f>COUNTIFS('Test Case Register'!B5:B700,"AMC Contract",'Test Case Register'!C5:C700,"Service Count &amp; Schedule",'Test Case Register'!G5:G700,"Fail")</f>
        <v>0</v>
      </c>
      <c r="F29" s="1">
        <f>COUNTIFS('Test Case Register'!B5:B700,"AMC Contract",'Test Case Register'!C5:C700,"Service Count &amp; Schedule",'Test Case Register'!G5:G700,"Blocked")</f>
        <v>0</v>
      </c>
      <c r="G29" s="1" t="str">
        <f>IF(D29+E29=0,"-",D29/(D29+E29))</f>
        <v>-</v>
      </c>
    </row>
    <row r="30">
      <c r="A30" s="1" t="str">
        <v>Customer &amp; Branch Linkage</v>
      </c>
      <c r="B30" s="1" t="str">
        <v>AMC Contract</v>
      </c>
      <c r="C30" s="1">
        <v>4</v>
      </c>
      <c r="D30" s="1">
        <f>COUNTIFS('Test Case Register'!B5:B700,"AMC Contract",'Test Case Register'!C5:C700,"Customer &amp; Branch Linkage",'Test Case Register'!G5:G700,"Pass")</f>
        <v>0</v>
      </c>
      <c r="E30" s="1">
        <f>COUNTIFS('Test Case Register'!B5:B700,"AMC Contract",'Test Case Register'!C5:C700,"Customer &amp; Branch Linkage",'Test Case Register'!G5:G700,"Fail")</f>
        <v>0</v>
      </c>
      <c r="F30" s="1">
        <f>COUNTIFS('Test Case Register'!B5:B700,"AMC Contract",'Test Case Register'!C5:C700,"Customer &amp; Branch Linkage",'Test Case Register'!G5:G700,"Blocked")</f>
        <v>0</v>
      </c>
      <c r="G30" s="1" t="str">
        <f>IF(D30+E30=0,"-",D30/(D30+E30))</f>
        <v>-</v>
      </c>
    </row>
    <row r="31">
      <c r="A31" s="1" t="str">
        <v>Contract Status</v>
      </c>
      <c r="B31" s="1" t="str">
        <v>AMC Contract</v>
      </c>
      <c r="C31" s="1">
        <v>3</v>
      </c>
      <c r="D31" s="1">
        <f>COUNTIFS('Test Case Register'!B5:B700,"AMC Contract",'Test Case Register'!C5:C700,"Contract Status",'Test Case Register'!G5:G700,"Pass")</f>
        <v>0</v>
      </c>
      <c r="E31" s="1">
        <f>COUNTIFS('Test Case Register'!B5:B700,"AMC Contract",'Test Case Register'!C5:C700,"Contract Status",'Test Case Register'!G5:G700,"Fail")</f>
        <v>0</v>
      </c>
      <c r="F31" s="1">
        <f>COUNTIFS('Test Case Register'!B5:B700,"AMC Contract",'Test Case Register'!C5:C700,"Contract Status",'Test Case Register'!G5:G700,"Blocked")</f>
        <v>0</v>
      </c>
      <c r="G31" s="1" t="str">
        <f>IF(D31+E31=0,"-",D31/(D31+E31))</f>
        <v>-</v>
      </c>
    </row>
    <row r="32">
      <c r="A32" s="1" t="str">
        <v>Submit &amp; Amend Workflow</v>
      </c>
      <c r="B32" s="1" t="str">
        <v>AMC Contract</v>
      </c>
      <c r="C32" s="1">
        <v>4</v>
      </c>
      <c r="D32" s="1">
        <f>COUNTIFS('Test Case Register'!B5:B700,"AMC Contract",'Test Case Register'!C5:C700,"Submit &amp; Amend Workflow",'Test Case Register'!G5:G700,"Pass")</f>
        <v>0</v>
      </c>
      <c r="E32" s="1">
        <f>COUNTIFS('Test Case Register'!B5:B700,"AMC Contract",'Test Case Register'!C5:C700,"Submit &amp; Amend Workflow",'Test Case Register'!G5:G700,"Fail")</f>
        <v>0</v>
      </c>
      <c r="F32" s="1">
        <f>COUNTIFS('Test Case Register'!B5:B700,"AMC Contract",'Test Case Register'!C5:C700,"Submit &amp; Amend Workflow",'Test Case Register'!G5:G700,"Blocked")</f>
        <v>0</v>
      </c>
      <c r="G32" s="1" t="str">
        <f>IF(D32+E32=0,"-",D32/(D32+E32))</f>
        <v>-</v>
      </c>
    </row>
    <row r="33">
      <c r="A33" s="1" t="str">
        <v>Company Branch</v>
      </c>
      <c r="B33" s="1" t="str">
        <v>AMC Contract</v>
      </c>
      <c r="C33" s="1">
        <v>1</v>
      </c>
      <c r="D33" s="1">
        <f>COUNTIFS('Test Case Register'!B5:B700,"AMC Contract",'Test Case Register'!C5:C700,"Company Branch",'Test Case Register'!G5:G700,"Pass")</f>
        <v>0</v>
      </c>
      <c r="E33" s="1">
        <f>COUNTIFS('Test Case Register'!B5:B700,"AMC Contract",'Test Case Register'!C5:C700,"Company Branch",'Test Case Register'!G5:G700,"Fail")</f>
        <v>0</v>
      </c>
      <c r="F33" s="1">
        <f>COUNTIFS('Test Case Register'!B5:B700,"AMC Contract",'Test Case Register'!C5:C700,"Company Branch",'Test Case Register'!G5:G700,"Blocked")</f>
        <v>0</v>
      </c>
      <c r="G33" s="1" t="str">
        <f>IF(D33+E33=0,"-",D33/(D33+E33))</f>
        <v>-</v>
      </c>
    </row>
    <row r="34">
      <c r="A34" s="1" t="str">
        <v>Service Calls Tab</v>
      </c>
      <c r="B34" s="1" t="str">
        <v>AMC Contract</v>
      </c>
      <c r="C34" s="1">
        <v>3</v>
      </c>
      <c r="D34" s="1">
        <f>COUNTIFS('Test Case Register'!B5:B700,"AMC Contract",'Test Case Register'!C5:C700,"Service Calls Tab",'Test Case Register'!G5:G700,"Pass")</f>
        <v>0</v>
      </c>
      <c r="E34" s="1">
        <f>COUNTIFS('Test Case Register'!B5:B700,"AMC Contract",'Test Case Register'!C5:C700,"Service Calls Tab",'Test Case Register'!G5:G700,"Fail")</f>
        <v>0</v>
      </c>
      <c r="F34" s="1">
        <f>COUNTIFS('Test Case Register'!B5:B700,"AMC Contract",'Test Case Register'!C5:C700,"Service Calls Tab",'Test Case Register'!G5:G700,"Blocked")</f>
        <v>0</v>
      </c>
      <c r="G34" s="1" t="str">
        <f>IF(D34+E34=0,"-",D34/(D34+E34))</f>
        <v>-</v>
      </c>
    </row>
    <row r="35">
      <c r="A35" s="1" t="str">
        <v>Cross-DocType Integration</v>
      </c>
      <c r="B35" s="1" t="str">
        <v>AMC Contract</v>
      </c>
      <c r="C35" s="1">
        <v>3</v>
      </c>
      <c r="D35" s="1">
        <f>COUNTIFS('Test Case Register'!B5:B700,"AMC Contract",'Test Case Register'!C5:C700,"Cross-DocType Integration",'Test Case Register'!G5:G700,"Pass")</f>
        <v>0</v>
      </c>
      <c r="E35" s="1">
        <f>COUNTIFS('Test Case Register'!B5:B700,"AMC Contract",'Test Case Register'!C5:C700,"Cross-DocType Integration",'Test Case Register'!G5:G700,"Fail")</f>
        <v>0</v>
      </c>
      <c r="F35" s="1">
        <f>COUNTIFS('Test Case Register'!B5:B700,"AMC Contract",'Test Case Register'!C5:C700,"Cross-DocType Integration",'Test Case Register'!G5:G700,"Blocked")</f>
        <v>0</v>
      </c>
      <c r="G35" s="1" t="str">
        <f>IF(D35+E35=0,"-",D35/(D35+E35))</f>
        <v>-</v>
      </c>
    </row>
    <row r="36">
      <c r="A36" s="1" t="str">
        <v>Vendor Creation &amp; Basic Details</v>
      </c>
      <c r="B36" s="1" t="str">
        <v>Vendor</v>
      </c>
      <c r="C36" s="1">
        <v>4</v>
      </c>
      <c r="D36" s="1">
        <f>COUNTIFS('Test Case Register'!B5:B700,"Vendor",'Test Case Register'!C5:C700,"Vendor Creation &amp; Basic Details",'Test Case Register'!G5:G700,"Pass")</f>
        <v>0</v>
      </c>
      <c r="E36" s="1">
        <f>COUNTIFS('Test Case Register'!B5:B700,"Vendor",'Test Case Register'!C5:C700,"Vendor Creation &amp; Basic Details",'Test Case Register'!G5:G700,"Fail")</f>
        <v>0</v>
      </c>
      <c r="F36" s="1">
        <f>COUNTIFS('Test Case Register'!B5:B700,"Vendor",'Test Case Register'!C5:C700,"Vendor Creation &amp; Basic Details",'Test Case Register'!G5:G700,"Blocked")</f>
        <v>0</v>
      </c>
      <c r="G36" s="1" t="str">
        <f>IF(D36+E36=0,"-",D36/(D36+E36))</f>
        <v>-</v>
      </c>
    </row>
    <row r="37">
      <c r="A37" s="1" t="str">
        <v>Primary Contact Details</v>
      </c>
      <c r="B37" s="1" t="str">
        <v>Vendor</v>
      </c>
      <c r="C37" s="1">
        <v>5</v>
      </c>
      <c r="D37" s="1">
        <f>COUNTIFS('Test Case Register'!B5:B700,"Vendor",'Test Case Register'!C5:C700,"Primary Contact Details",'Test Case Register'!G5:G700,"Pass")</f>
        <v>0</v>
      </c>
      <c r="E37" s="1">
        <f>COUNTIFS('Test Case Register'!B5:B700,"Vendor",'Test Case Register'!C5:C700,"Primary Contact Details",'Test Case Register'!G5:G700,"Fail")</f>
        <v>0</v>
      </c>
      <c r="F37" s="1">
        <f>COUNTIFS('Test Case Register'!B5:B700,"Vendor",'Test Case Register'!C5:C700,"Primary Contact Details",'Test Case Register'!G5:G700,"Blocked")</f>
        <v>0</v>
      </c>
      <c r="G37" s="1" t="str">
        <f>IF(D37+E37=0,"-",D37/(D37+E37))</f>
        <v>-</v>
      </c>
    </row>
    <row r="38">
      <c r="A38" s="1" t="str">
        <v>Tax Identification</v>
      </c>
      <c r="B38" s="1" t="str">
        <v>Vendor</v>
      </c>
      <c r="C38" s="1">
        <v>4</v>
      </c>
      <c r="D38" s="1">
        <f>COUNTIFS('Test Case Register'!B5:B700,"Vendor",'Test Case Register'!C5:C700,"Tax Identification",'Test Case Register'!G5:G700,"Pass")</f>
        <v>0</v>
      </c>
      <c r="E38" s="1">
        <f>COUNTIFS('Test Case Register'!B5:B700,"Vendor",'Test Case Register'!C5:C700,"Tax Identification",'Test Case Register'!G5:G700,"Fail")</f>
        <v>0</v>
      </c>
      <c r="F38" s="1">
        <f>COUNTIFS('Test Case Register'!B5:B700,"Vendor",'Test Case Register'!C5:C700,"Tax Identification",'Test Case Register'!G5:G700,"Blocked")</f>
        <v>0</v>
      </c>
      <c r="G38" s="1" t="str">
        <f>IF(D38+E38=0,"-",D38/(D38+E38))</f>
        <v>-</v>
      </c>
    </row>
    <row r="39">
      <c r="A39" s="1" t="str">
        <v>Registered Address</v>
      </c>
      <c r="B39" s="1" t="str">
        <v>Vendor</v>
      </c>
      <c r="C39" s="1">
        <v>3</v>
      </c>
      <c r="D39" s="1">
        <f>COUNTIFS('Test Case Register'!B5:B700,"Vendor",'Test Case Register'!C5:C700,"Registered Address",'Test Case Register'!G5:G700,"Pass")</f>
        <v>0</v>
      </c>
      <c r="E39" s="1">
        <f>COUNTIFS('Test Case Register'!B5:B700,"Vendor",'Test Case Register'!C5:C700,"Registered Address",'Test Case Register'!G5:G700,"Fail")</f>
        <v>0</v>
      </c>
      <c r="F39" s="1">
        <f>COUNTIFS('Test Case Register'!B5:B700,"Vendor",'Test Case Register'!C5:C700,"Registered Address",'Test Case Register'!G5:G700,"Blocked")</f>
        <v>0</v>
      </c>
      <c r="G39" s="1" t="str">
        <f>IF(D39+E39=0,"-",D39/(D39+E39))</f>
        <v>-</v>
      </c>
    </row>
    <row r="40">
      <c r="A40" s="1" t="str">
        <v>Address Table</v>
      </c>
      <c r="B40" s="1" t="str">
        <v>Vendor</v>
      </c>
      <c r="C40" s="1">
        <v>10</v>
      </c>
      <c r="D40" s="1">
        <f>COUNTIFS('Test Case Register'!B5:B700,"Vendor",'Test Case Register'!C5:C700,"Address Table",'Test Case Register'!G5:G700,"Pass")</f>
        <v>0</v>
      </c>
      <c r="E40" s="1">
        <f>COUNTIFS('Test Case Register'!B5:B700,"Vendor",'Test Case Register'!C5:C700,"Address Table",'Test Case Register'!G5:G700,"Fail")</f>
        <v>0</v>
      </c>
      <c r="F40" s="1">
        <f>COUNTIFS('Test Case Register'!B5:B700,"Vendor",'Test Case Register'!C5:C700,"Address Table",'Test Case Register'!G5:G700,"Blocked")</f>
        <v>0</v>
      </c>
      <c r="G40" s="1" t="str">
        <f>IF(D40+E40=0,"-",D40/(D40+E40))</f>
        <v>-</v>
      </c>
    </row>
    <row r="41">
      <c r="A41" s="1" t="str">
        <v>Data Validation</v>
      </c>
      <c r="B41" s="1" t="str">
        <v>Vendor</v>
      </c>
      <c r="C41" s="1">
        <v>4</v>
      </c>
      <c r="D41" s="1">
        <f>COUNTIFS('Test Case Register'!B5:B700,"Vendor",'Test Case Register'!C5:C700,"Data Validation",'Test Case Register'!G5:G700,"Pass")</f>
        <v>0</v>
      </c>
      <c r="E41" s="1">
        <f>COUNTIFS('Test Case Register'!B5:B700,"Vendor",'Test Case Register'!C5:C700,"Data Validation",'Test Case Register'!G5:G700,"Fail")</f>
        <v>0</v>
      </c>
      <c r="F41" s="1">
        <f>COUNTIFS('Test Case Register'!B5:B700,"Vendor",'Test Case Register'!C5:C700,"Data Validation",'Test Case Register'!G5:G700,"Blocked")</f>
        <v>0</v>
      </c>
      <c r="G41" s="1" t="str">
        <f>IF(D41+E41=0,"-",D41/(D41+E41))</f>
        <v>-</v>
      </c>
    </row>
    <row r="42">
      <c r="A42" s="1" t="str">
        <v>Editing &amp; Updates</v>
      </c>
      <c r="B42" s="1" t="str">
        <v>Vendor</v>
      </c>
      <c r="C42" s="1">
        <v>5</v>
      </c>
      <c r="D42" s="1">
        <f>COUNTIFS('Test Case Register'!B5:B700,"Vendor",'Test Case Register'!C5:C700,"Editing &amp; Updates",'Test Case Register'!G5:G700,"Pass")</f>
        <v>0</v>
      </c>
      <c r="E42" s="1">
        <f>COUNTIFS('Test Case Register'!B5:B700,"Vendor",'Test Case Register'!C5:C700,"Editing &amp; Updates",'Test Case Register'!G5:G700,"Fail")</f>
        <v>0</v>
      </c>
      <c r="F42" s="1">
        <f>COUNTIFS('Test Case Register'!B5:B700,"Vendor",'Test Case Register'!C5:C700,"Editing &amp; Updates",'Test Case Register'!G5:G700,"Blocked")</f>
        <v>0</v>
      </c>
      <c r="G42" s="1" t="str">
        <f>IF(D42+E42=0,"-",D42/(D42+E42))</f>
        <v>-</v>
      </c>
    </row>
    <row r="43">
      <c r="A43" s="1" t="str">
        <v>Form Actions</v>
      </c>
      <c r="B43" s="1" t="str">
        <v>Vendor</v>
      </c>
      <c r="C43" s="1">
        <v>5</v>
      </c>
      <c r="D43" s="1">
        <f>COUNTIFS('Test Case Register'!B5:B700,"Vendor",'Test Case Register'!C5:C700,"Form Actions",'Test Case Register'!G5:G700,"Pass")</f>
        <v>0</v>
      </c>
      <c r="E43" s="1">
        <f>COUNTIFS('Test Case Register'!B5:B700,"Vendor",'Test Case Register'!C5:C700,"Form Actions",'Test Case Register'!G5:G700,"Fail")</f>
        <v>0</v>
      </c>
      <c r="F43" s="1">
        <f>COUNTIFS('Test Case Register'!B5:B700,"Vendor",'Test Case Register'!C5:C700,"Form Actions",'Test Case Register'!G5:G700,"Blocked")</f>
        <v>0</v>
      </c>
      <c r="G43" s="1" t="str">
        <f>IF(D43+E43=0,"-",D43/(D43+E43))</f>
        <v>-</v>
      </c>
    </row>
    <row r="44">
      <c r="A44" s="1" t="str">
        <v>Attendance Creation &amp; Basic Details</v>
      </c>
      <c r="B44" s="1" t="str">
        <v>Attendance</v>
      </c>
      <c r="C44" s="1">
        <v>6</v>
      </c>
      <c r="D44" s="1">
        <f>COUNTIFS('Test Case Register'!B5:B700,"Attendance",'Test Case Register'!C5:C700,"Attendance Creation &amp; Basic Details",'Test Case Register'!G5:G700,"Pass")</f>
        <v>0</v>
      </c>
      <c r="E44" s="1">
        <f>COUNTIFS('Test Case Register'!B5:B700,"Attendance",'Test Case Register'!C5:C700,"Attendance Creation &amp; Basic Details",'Test Case Register'!G5:G700,"Fail")</f>
        <v>0</v>
      </c>
      <c r="F44" s="1">
        <f>COUNTIFS('Test Case Register'!B5:B700,"Attendance",'Test Case Register'!C5:C700,"Attendance Creation &amp; Basic Details",'Test Case Register'!G5:G700,"Blocked")</f>
        <v>0</v>
      </c>
      <c r="G44" s="1" t="str">
        <f>IF(D44+E44=0,"-",D44/(D44+E44))</f>
        <v>-</v>
      </c>
    </row>
    <row r="45">
      <c r="A45" s="1" t="str">
        <v>Series &amp; Auto-generation</v>
      </c>
      <c r="B45" s="1" t="str">
        <v>Attendance</v>
      </c>
      <c r="C45" s="1">
        <v>3</v>
      </c>
      <c r="D45" s="1">
        <f>COUNTIFS('Test Case Register'!B5:B700,"Attendance",'Test Case Register'!C5:C700,"Series &amp; Auto-generation",'Test Case Register'!G5:G700,"Pass")</f>
        <v>0</v>
      </c>
      <c r="E45" s="1">
        <f>COUNTIFS('Test Case Register'!B5:B700,"Attendance",'Test Case Register'!C5:C700,"Series &amp; Auto-generation",'Test Case Register'!G5:G700,"Fail")</f>
        <v>0</v>
      </c>
      <c r="F45" s="1">
        <f>COUNTIFS('Test Case Register'!B5:B700,"Attendance",'Test Case Register'!C5:C700,"Series &amp; Auto-generation",'Test Case Register'!G5:G700,"Blocked")</f>
        <v>0</v>
      </c>
      <c r="G45" s="1" t="str">
        <f>IF(D45+E45=0,"-",D45/(D45+E45))</f>
        <v>-</v>
      </c>
    </row>
    <row r="46">
      <c r="A46" s="1" t="str">
        <v>Employee Selection</v>
      </c>
      <c r="B46" s="1" t="str">
        <v>Attendance</v>
      </c>
      <c r="C46" s="1">
        <v>4</v>
      </c>
      <c r="D46" s="1">
        <f>COUNTIFS('Test Case Register'!B5:B700,"Attendance",'Test Case Register'!C5:C700,"Employee Selection",'Test Case Register'!G5:G700,"Pass")</f>
        <v>0</v>
      </c>
      <c r="E46" s="1">
        <f>COUNTIFS('Test Case Register'!B5:B700,"Attendance",'Test Case Register'!C5:C700,"Employee Selection",'Test Case Register'!G5:G700,"Fail")</f>
        <v>0</v>
      </c>
      <c r="F46" s="1">
        <f>COUNTIFS('Test Case Register'!B5:B700,"Attendance",'Test Case Register'!C5:C700,"Employee Selection",'Test Case Register'!G5:G700,"Blocked")</f>
        <v>0</v>
      </c>
      <c r="G46" s="1" t="str">
        <f>IF(D46+E46=0,"-",D46/(D46+E46))</f>
        <v>-</v>
      </c>
    </row>
    <row r="47">
      <c r="A47" s="1" t="str">
        <v>Attendance Date</v>
      </c>
      <c r="B47" s="1" t="str">
        <v>Attendance</v>
      </c>
      <c r="C47" s="1">
        <v>5</v>
      </c>
      <c r="D47" s="1">
        <f>COUNTIFS('Test Case Register'!B5:B700,"Attendance",'Test Case Register'!C5:C700,"Attendance Date",'Test Case Register'!G5:G700,"Pass")</f>
        <v>0</v>
      </c>
      <c r="E47" s="1">
        <f>COUNTIFS('Test Case Register'!B5:B700,"Attendance",'Test Case Register'!C5:C700,"Attendance Date",'Test Case Register'!G5:G700,"Fail")</f>
        <v>0</v>
      </c>
      <c r="F47" s="1">
        <f>COUNTIFS('Test Case Register'!B5:B700,"Attendance",'Test Case Register'!C5:C700,"Attendance Date",'Test Case Register'!G5:G700,"Blocked")</f>
        <v>0</v>
      </c>
      <c r="G47" s="1" t="str">
        <f>IF(D47+E47=0,"-",D47/(D47+E47))</f>
        <v>-</v>
      </c>
    </row>
    <row r="48">
      <c r="A48" s="1" t="str">
        <v>Status Management</v>
      </c>
      <c r="B48" s="1" t="str">
        <v>Attendance</v>
      </c>
      <c r="C48" s="1">
        <v>3</v>
      </c>
      <c r="D48" s="1">
        <f>COUNTIFS('Test Case Register'!B5:B700,"Attendance",'Test Case Register'!C5:C700,"Status Management",'Test Case Register'!G5:G700,"Pass")</f>
        <v>0</v>
      </c>
      <c r="E48" s="1">
        <f>COUNTIFS('Test Case Register'!B5:B700,"Attendance",'Test Case Register'!C5:C700,"Status Management",'Test Case Register'!G5:G700,"Fail")</f>
        <v>0</v>
      </c>
      <c r="F48" s="1">
        <f>COUNTIFS('Test Case Register'!B5:B700,"Attendance",'Test Case Register'!C5:C700,"Status Management",'Test Case Register'!G5:G700,"Blocked")</f>
        <v>0</v>
      </c>
      <c r="G48" s="1" t="str">
        <f>IF(D48+E48=0,"-",D48/(D48+E48))</f>
        <v>-</v>
      </c>
    </row>
    <row r="49">
      <c r="A49" s="1" t="str">
        <v>Company Assignment</v>
      </c>
      <c r="B49" s="1" t="str">
        <v>Attendance</v>
      </c>
      <c r="C49" s="1">
        <v>3</v>
      </c>
      <c r="D49" s="1">
        <f>COUNTIFS('Test Case Register'!B5:B700,"Attendance",'Test Case Register'!C5:C700,"Company Assignment",'Test Case Register'!G5:G700,"Pass")</f>
        <v>0</v>
      </c>
      <c r="E49" s="1">
        <f>COUNTIFS('Test Case Register'!B5:B700,"Attendance",'Test Case Register'!C5:C700,"Company Assignment",'Test Case Register'!G5:G700,"Fail")</f>
        <v>0</v>
      </c>
      <c r="F49" s="1">
        <f>COUNTIFS('Test Case Register'!B5:B700,"Attendance",'Test Case Register'!C5:C700,"Company Assignment",'Test Case Register'!G5:G700,"Blocked")</f>
        <v>0</v>
      </c>
      <c r="G49" s="1" t="str">
        <f>IF(D49+E49=0,"-",D49/(D49+E49))</f>
        <v>-</v>
      </c>
    </row>
    <row r="50">
      <c r="A50" s="1" t="str">
        <v>Shift Details</v>
      </c>
      <c r="B50" s="1" t="str">
        <v>Attendance</v>
      </c>
      <c r="C50" s="1">
        <v>4</v>
      </c>
      <c r="D50" s="1">
        <f>COUNTIFS('Test Case Register'!B5:B700,"Attendance",'Test Case Register'!C5:C700,"Shift Details",'Test Case Register'!G5:G700,"Pass")</f>
        <v>0</v>
      </c>
      <c r="E50" s="1">
        <f>COUNTIFS('Test Case Register'!B5:B700,"Attendance",'Test Case Register'!C5:C700,"Shift Details",'Test Case Register'!G5:G700,"Fail")</f>
        <v>0</v>
      </c>
      <c r="F50" s="1">
        <f>COUNTIFS('Test Case Register'!B5:B700,"Attendance",'Test Case Register'!C5:C700,"Shift Details",'Test Case Register'!G5:G700,"Blocked")</f>
        <v>0</v>
      </c>
      <c r="G50" s="1" t="str">
        <f>IF(D50+E50=0,"-",D50/(D50+E50))</f>
        <v>-</v>
      </c>
    </row>
    <row r="51">
      <c r="A51" s="1" t="str">
        <v>Late Entry Tracking</v>
      </c>
      <c r="B51" s="1" t="str">
        <v>Attendance</v>
      </c>
      <c r="C51" s="1">
        <v>5</v>
      </c>
      <c r="D51" s="1">
        <f>COUNTIFS('Test Case Register'!B5:B700,"Attendance",'Test Case Register'!C5:C700,"Late Entry Tracking",'Test Case Register'!G5:G700,"Pass")</f>
        <v>0</v>
      </c>
      <c r="E51" s="1">
        <f>COUNTIFS('Test Case Register'!B5:B700,"Attendance",'Test Case Register'!C5:C700,"Late Entry Tracking",'Test Case Register'!G5:G700,"Fail")</f>
        <v>0</v>
      </c>
      <c r="F51" s="1">
        <f>COUNTIFS('Test Case Register'!B5:B700,"Attendance",'Test Case Register'!C5:C700,"Late Entry Tracking",'Test Case Register'!G5:G700,"Blocked")</f>
        <v>0</v>
      </c>
      <c r="G51" s="1" t="str">
        <f>IF(D51+E51=0,"-",D51/(D51+E51))</f>
        <v>-</v>
      </c>
    </row>
    <row r="52">
      <c r="A52" s="1" t="str">
        <v>Early Exit Tracking</v>
      </c>
      <c r="B52" s="1" t="str">
        <v>Attendance</v>
      </c>
      <c r="C52" s="1">
        <v>5</v>
      </c>
      <c r="D52" s="1">
        <f>COUNTIFS('Test Case Register'!B5:B700,"Attendance",'Test Case Register'!C5:C700,"Early Exit Tracking",'Test Case Register'!G5:G700,"Pass")</f>
        <v>0</v>
      </c>
      <c r="E52" s="1">
        <f>COUNTIFS('Test Case Register'!B5:B700,"Attendance",'Test Case Register'!C5:C700,"Early Exit Tracking",'Test Case Register'!G5:G700,"Fail")</f>
        <v>0</v>
      </c>
      <c r="F52" s="1">
        <f>COUNTIFS('Test Case Register'!B5:B700,"Attendance",'Test Case Register'!C5:C700,"Early Exit Tracking",'Test Case Register'!G5:G700,"Blocked")</f>
        <v>0</v>
      </c>
      <c r="G52" s="1" t="str">
        <f>IF(D52+E52=0,"-",D52/(D52+E52))</f>
        <v>-</v>
      </c>
    </row>
    <row r="53">
      <c r="A53" s="1" t="str">
        <v>Late Entry &amp; Early Exit Combination</v>
      </c>
      <c r="B53" s="1" t="str">
        <v>Attendance</v>
      </c>
      <c r="C53" s="1">
        <v>2</v>
      </c>
      <c r="D53" s="1">
        <f>COUNTIFS('Test Case Register'!B5:B700,"Attendance",'Test Case Register'!C5:C700,"Late Entry &amp; Early Exit Combination",'Test Case Register'!G5:G700,"Pass")</f>
        <v>0</v>
      </c>
      <c r="E53" s="1">
        <f>COUNTIFS('Test Case Register'!B5:B700,"Attendance",'Test Case Register'!C5:C700,"Late Entry &amp; Early Exit Combination",'Test Case Register'!G5:G700,"Fail")</f>
        <v>0</v>
      </c>
      <c r="F53" s="1">
        <f>COUNTIFS('Test Case Register'!B5:B700,"Attendance",'Test Case Register'!C5:C700,"Late Entry &amp; Early Exit Combination",'Test Case Register'!G5:G700,"Blocked")</f>
        <v>0</v>
      </c>
      <c r="G53" s="1" t="str">
        <f>IF(D53+E53=0,"-",D53/(D53+E53))</f>
        <v>-</v>
      </c>
    </row>
    <row r="54">
      <c r="A54" s="1" t="str">
        <v>Data Validation</v>
      </c>
      <c r="B54" s="1" t="str">
        <v>Attendance</v>
      </c>
      <c r="C54" s="1">
        <v>3</v>
      </c>
      <c r="D54" s="1">
        <f>COUNTIFS('Test Case Register'!B5:B700,"Attendance",'Test Case Register'!C5:C700,"Data Validation",'Test Case Register'!G5:G700,"Pass")</f>
        <v>0</v>
      </c>
      <c r="E54" s="1">
        <f>COUNTIFS('Test Case Register'!B5:B700,"Attendance",'Test Case Register'!C5:C700,"Data Validation",'Test Case Register'!G5:G700,"Fail")</f>
        <v>0</v>
      </c>
      <c r="F54" s="1">
        <f>COUNTIFS('Test Case Register'!B5:B700,"Attendance",'Test Case Register'!C5:C700,"Data Validation",'Test Case Register'!G5:G700,"Blocked")</f>
        <v>0</v>
      </c>
      <c r="G54" s="1" t="str">
        <f>IF(D54+E54=0,"-",D54/(D54+E54))</f>
        <v>-</v>
      </c>
    </row>
    <row r="55">
      <c r="A55" s="1" t="str">
        <v>Editing &amp; Updates</v>
      </c>
      <c r="B55" s="1" t="str">
        <v>Attendance</v>
      </c>
      <c r="C55" s="1">
        <v>6</v>
      </c>
      <c r="D55" s="1">
        <f>COUNTIFS('Test Case Register'!B5:B700,"Attendance",'Test Case Register'!C5:C700,"Editing &amp; Updates",'Test Case Register'!G5:G700,"Pass")</f>
        <v>0</v>
      </c>
      <c r="E55" s="1">
        <f>COUNTIFS('Test Case Register'!B5:B700,"Attendance",'Test Case Register'!C5:C700,"Editing &amp; Updates",'Test Case Register'!G5:G700,"Fail")</f>
        <v>0</v>
      </c>
      <c r="F55" s="1">
        <f>COUNTIFS('Test Case Register'!B5:B700,"Attendance",'Test Case Register'!C5:C700,"Editing &amp; Updates",'Test Case Register'!G5:G700,"Blocked")</f>
        <v>0</v>
      </c>
      <c r="G55" s="1" t="str">
        <f>IF(D55+E55=0,"-",D55/(D55+E55))</f>
        <v>-</v>
      </c>
    </row>
    <row r="56">
      <c r="A56" s="1" t="str">
        <v>Form Actions</v>
      </c>
      <c r="B56" s="1" t="str">
        <v>Attendance</v>
      </c>
      <c r="C56" s="1">
        <v>3</v>
      </c>
      <c r="D56" s="1">
        <f>COUNTIFS('Test Case Register'!B5:B700,"Attendance",'Test Case Register'!C5:C700,"Form Actions",'Test Case Register'!G5:G700,"Pass")</f>
        <v>0</v>
      </c>
      <c r="E56" s="1">
        <f>COUNTIFS('Test Case Register'!B5:B700,"Attendance",'Test Case Register'!C5:C700,"Form Actions",'Test Case Register'!G5:G700,"Fail")</f>
        <v>0</v>
      </c>
      <c r="F56" s="1">
        <f>COUNTIFS('Test Case Register'!B5:B700,"Attendance",'Test Case Register'!C5:C700,"Form Actions",'Test Case Register'!G5:G700,"Blocked")</f>
        <v>0</v>
      </c>
      <c r="G56" s="1" t="str">
        <f>IF(D56+E56=0,"-",D56/(D56+E56))</f>
        <v>-</v>
      </c>
    </row>
    <row r="57">
      <c r="A57" s="1" t="str">
        <v>Expense Claim Creation &amp; Basic Details</v>
      </c>
      <c r="B57" s="1" t="str">
        <v>Expense Claim</v>
      </c>
      <c r="C57" s="1">
        <v>2</v>
      </c>
      <c r="D57" s="1">
        <f>COUNTIFS('Test Case Register'!B5:B700,"Expense Claim",'Test Case Register'!C5:C700,"Expense Claim Creation &amp; Basic Details",'Test Case Register'!G5:G700,"Pass")</f>
        <v>0</v>
      </c>
      <c r="E57" s="1">
        <f>COUNTIFS('Test Case Register'!B5:B700,"Expense Claim",'Test Case Register'!C5:C700,"Expense Claim Creation &amp; Basic Details",'Test Case Register'!G5:G700,"Fail")</f>
        <v>0</v>
      </c>
      <c r="F57" s="1">
        <f>COUNTIFS('Test Case Register'!B5:B700,"Expense Claim",'Test Case Register'!C5:C700,"Expense Claim Creation &amp; Basic Details",'Test Case Register'!G5:G700,"Blocked")</f>
        <v>0</v>
      </c>
      <c r="G57" s="1" t="str">
        <f>IF(D57+E57=0,"-",D57/(D57+E57))</f>
        <v>-</v>
      </c>
    </row>
    <row r="58">
      <c r="A58" s="1" t="str">
        <v>Series &amp; Auto-generation</v>
      </c>
      <c r="B58" s="1" t="str">
        <v>Expense Claim</v>
      </c>
      <c r="C58" s="1">
        <v>3</v>
      </c>
      <c r="D58" s="1">
        <f>COUNTIFS('Test Case Register'!B5:B700,"Expense Claim",'Test Case Register'!C5:C700,"Series &amp; Auto-generation",'Test Case Register'!G5:G700,"Pass")</f>
        <v>0</v>
      </c>
      <c r="E58" s="1">
        <f>COUNTIFS('Test Case Register'!B5:B700,"Expense Claim",'Test Case Register'!C5:C700,"Series &amp; Auto-generation",'Test Case Register'!G5:G700,"Fail")</f>
        <v>0</v>
      </c>
      <c r="F58" s="1">
        <f>COUNTIFS('Test Case Register'!B5:B700,"Expense Claim",'Test Case Register'!C5:C700,"Series &amp; Auto-generation",'Test Case Register'!G5:G700,"Blocked")</f>
        <v>0</v>
      </c>
      <c r="G58" s="1" t="str">
        <f>IF(D58+E58=0,"-",D58/(D58+E58))</f>
        <v>-</v>
      </c>
    </row>
    <row r="59">
      <c r="A59" s="1" t="str">
        <v>Employee Selection</v>
      </c>
      <c r="B59" s="1" t="str">
        <v>Expense Claim</v>
      </c>
      <c r="C59" s="1">
        <v>4</v>
      </c>
      <c r="D59" s="1">
        <f>COUNTIFS('Test Case Register'!B5:B700,"Expense Claim",'Test Case Register'!C5:C700,"Employee Selection",'Test Case Register'!G5:G700,"Pass")</f>
        <v>0</v>
      </c>
      <c r="E59" s="1">
        <f>COUNTIFS('Test Case Register'!B5:B700,"Expense Claim",'Test Case Register'!C5:C700,"Employee Selection",'Test Case Register'!G5:G700,"Fail")</f>
        <v>0</v>
      </c>
      <c r="F59" s="1">
        <f>COUNTIFS('Test Case Register'!B5:B700,"Expense Claim",'Test Case Register'!C5:C700,"Employee Selection",'Test Case Register'!G5:G700,"Blocked")</f>
        <v>0</v>
      </c>
      <c r="G59" s="1" t="str">
        <f>IF(D59+E59=0,"-",D59/(D59+E59))</f>
        <v>-</v>
      </c>
    </row>
    <row r="60">
      <c r="A60" s="1" t="str">
        <v>Company Details</v>
      </c>
      <c r="B60" s="1" t="str">
        <v>Expense Claim</v>
      </c>
      <c r="C60" s="1">
        <v>4</v>
      </c>
      <c r="D60" s="1">
        <f>COUNTIFS('Test Case Register'!B5:B700,"Expense Claim",'Test Case Register'!C5:C700,"Company Details",'Test Case Register'!G5:G700,"Pass")</f>
        <v>0</v>
      </c>
      <c r="E60" s="1">
        <f>COUNTIFS('Test Case Register'!B5:B700,"Expense Claim",'Test Case Register'!C5:C700,"Company Details",'Test Case Register'!G5:G700,"Fail")</f>
        <v>0</v>
      </c>
      <c r="F60" s="1">
        <f>COUNTIFS('Test Case Register'!B5:B700,"Expense Claim",'Test Case Register'!C5:C700,"Company Details",'Test Case Register'!G5:G700,"Blocked")</f>
        <v>0</v>
      </c>
      <c r="G60" s="1" t="str">
        <f>IF(D60+E60=0,"-",D60/(D60+E60))</f>
        <v>-</v>
      </c>
    </row>
    <row r="61">
      <c r="A61" s="1" t="str">
        <v>Expense Approver</v>
      </c>
      <c r="B61" s="1" t="str">
        <v>Expense Claim</v>
      </c>
      <c r="C61" s="1">
        <v>3</v>
      </c>
      <c r="D61" s="1">
        <f>COUNTIFS('Test Case Register'!B5:B700,"Expense Claim",'Test Case Register'!C5:C700,"Expense Approver",'Test Case Register'!G5:G700,"Pass")</f>
        <v>0</v>
      </c>
      <c r="E61" s="1">
        <f>COUNTIFS('Test Case Register'!B5:B700,"Expense Claim",'Test Case Register'!C5:C700,"Expense Approver",'Test Case Register'!G5:G700,"Fail")</f>
        <v>0</v>
      </c>
      <c r="F61" s="1">
        <f>COUNTIFS('Test Case Register'!B5:B700,"Expense Claim",'Test Case Register'!C5:C700,"Expense Approver",'Test Case Register'!G5:G700,"Blocked")</f>
        <v>0</v>
      </c>
      <c r="G61" s="1" t="str">
        <f>IF(D61+E61=0,"-",D61/(D61+E61))</f>
        <v>-</v>
      </c>
    </row>
    <row r="62">
      <c r="A62" s="1" t="str">
        <v>Approval Status</v>
      </c>
      <c r="B62" s="1" t="str">
        <v>Expense Claim</v>
      </c>
      <c r="C62" s="1">
        <v>4</v>
      </c>
      <c r="D62" s="1">
        <f>COUNTIFS('Test Case Register'!B5:B700,"Expense Claim",'Test Case Register'!C5:C700,"Approval Status",'Test Case Register'!G5:G700,"Pass")</f>
        <v>0</v>
      </c>
      <c r="E62" s="1">
        <f>COUNTIFS('Test Case Register'!B5:B700,"Expense Claim",'Test Case Register'!C5:C700,"Approval Status",'Test Case Register'!G5:G700,"Fail")</f>
        <v>0</v>
      </c>
      <c r="F62" s="1">
        <f>COUNTIFS('Test Case Register'!B5:B700,"Expense Claim",'Test Case Register'!C5:C700,"Approval Status",'Test Case Register'!G5:G700,"Blocked")</f>
        <v>0</v>
      </c>
      <c r="G62" s="1" t="str">
        <f>IF(D62+E62=0,"-",D62/(D62+E62))</f>
        <v>-</v>
      </c>
    </row>
    <row r="63">
      <c r="A63" s="1" t="str">
        <v>Expenses Table</v>
      </c>
      <c r="B63" s="1" t="str">
        <v>Expense Claim</v>
      </c>
      <c r="C63" s="1">
        <v>13</v>
      </c>
      <c r="D63" s="1">
        <f>COUNTIFS('Test Case Register'!B5:B700,"Expense Claim",'Test Case Register'!C5:C700,"Expenses Table",'Test Case Register'!G5:G700,"Pass")</f>
        <v>0</v>
      </c>
      <c r="E63" s="1">
        <f>COUNTIFS('Test Case Register'!B5:B700,"Expense Claim",'Test Case Register'!C5:C700,"Expenses Table",'Test Case Register'!G5:G700,"Fail")</f>
        <v>0</v>
      </c>
      <c r="F63" s="1">
        <f>COUNTIFS('Test Case Register'!B5:B700,"Expense Claim",'Test Case Register'!C5:C700,"Expenses Table",'Test Case Register'!G5:G700,"Blocked")</f>
        <v>0</v>
      </c>
      <c r="G63" s="1" t="str">
        <f>IF(D63+E63=0,"-",D63/(D63+E63))</f>
        <v>-</v>
      </c>
    </row>
    <row r="64">
      <c r="A64" s="1" t="str">
        <v>Taxes &amp; Charges</v>
      </c>
      <c r="B64" s="1" t="str">
        <v>Expense Claim</v>
      </c>
      <c r="C64" s="1">
        <v>7</v>
      </c>
      <c r="D64" s="1">
        <f>COUNTIFS('Test Case Register'!B5:B700,"Expense Claim",'Test Case Register'!C5:C700,"Taxes &amp; Charges",'Test Case Register'!G5:G700,"Pass")</f>
        <v>0</v>
      </c>
      <c r="E64" s="1">
        <f>COUNTIFS('Test Case Register'!B5:B700,"Expense Claim",'Test Case Register'!C5:C700,"Taxes &amp; Charges",'Test Case Register'!G5:G700,"Fail")</f>
        <v>0</v>
      </c>
      <c r="F64" s="1">
        <f>COUNTIFS('Test Case Register'!B5:B700,"Expense Claim",'Test Case Register'!C5:C700,"Taxes &amp; Charges",'Test Case Register'!G5:G700,"Blocked")</f>
        <v>0</v>
      </c>
      <c r="G64" s="1" t="str">
        <f>IF(D64+E64=0,"-",D64/(D64+E64))</f>
        <v>-</v>
      </c>
    </row>
    <row r="65">
      <c r="A65" s="1" t="str">
        <v>Accounting Details</v>
      </c>
      <c r="B65" s="1" t="str">
        <v>Expense Claim</v>
      </c>
      <c r="C65" s="1">
        <v>6</v>
      </c>
      <c r="D65" s="1">
        <f>COUNTIFS('Test Case Register'!B5:B700,"Expense Claim",'Test Case Register'!C5:C700,"Accounting Details",'Test Case Register'!G5:G700,"Pass")</f>
        <v>0</v>
      </c>
      <c r="E65" s="1">
        <f>COUNTIFS('Test Case Register'!B5:B700,"Expense Claim",'Test Case Register'!C5:C700,"Accounting Details",'Test Case Register'!G5:G700,"Fail")</f>
        <v>0</v>
      </c>
      <c r="F65" s="1">
        <f>COUNTIFS('Test Case Register'!B5:B700,"Expense Claim",'Test Case Register'!C5:C700,"Accounting Details",'Test Case Register'!G5:G700,"Blocked")</f>
        <v>0</v>
      </c>
      <c r="G65" s="1" t="str">
        <f>IF(D65+E65=0,"-",D65/(D65+E65))</f>
        <v>-</v>
      </c>
    </row>
    <row r="66">
      <c r="A66" s="1" t="str">
        <v>Data Validation</v>
      </c>
      <c r="B66" s="1" t="str">
        <v>Expense Claim</v>
      </c>
      <c r="C66" s="1">
        <v>4</v>
      </c>
      <c r="D66" s="1">
        <f>COUNTIFS('Test Case Register'!B5:B700,"Expense Claim",'Test Case Register'!C5:C700,"Data Validation",'Test Case Register'!G5:G700,"Pass")</f>
        <v>0</v>
      </c>
      <c r="E66" s="1">
        <f>COUNTIFS('Test Case Register'!B5:B700,"Expense Claim",'Test Case Register'!C5:C700,"Data Validation",'Test Case Register'!G5:G700,"Fail")</f>
        <v>0</v>
      </c>
      <c r="F66" s="1">
        <f>COUNTIFS('Test Case Register'!B5:B700,"Expense Claim",'Test Case Register'!C5:C700,"Data Validation",'Test Case Register'!G5:G700,"Blocked")</f>
        <v>0</v>
      </c>
      <c r="G66" s="1" t="str">
        <f>IF(D66+E66=0,"-",D66/(D66+E66))</f>
        <v>-</v>
      </c>
    </row>
    <row r="67">
      <c r="A67" s="1" t="str">
        <v>Editing &amp; Updates</v>
      </c>
      <c r="B67" s="1" t="str">
        <v>Expense Claim</v>
      </c>
      <c r="C67" s="1">
        <v>4</v>
      </c>
      <c r="D67" s="1">
        <f>COUNTIFS('Test Case Register'!B5:B700,"Expense Claim",'Test Case Register'!C5:C700,"Editing &amp; Updates",'Test Case Register'!G5:G700,"Pass")</f>
        <v>0</v>
      </c>
      <c r="E67" s="1">
        <f>COUNTIFS('Test Case Register'!B5:B700,"Expense Claim",'Test Case Register'!C5:C700,"Editing &amp; Updates",'Test Case Register'!G5:G700,"Fail")</f>
        <v>0</v>
      </c>
      <c r="F67" s="1">
        <f>COUNTIFS('Test Case Register'!B5:B700,"Expense Claim",'Test Case Register'!C5:C700,"Editing &amp; Updates",'Test Case Register'!G5:G700,"Blocked")</f>
        <v>0</v>
      </c>
      <c r="G67" s="1" t="str">
        <f>IF(D67+E67=0,"-",D67/(D67+E67))</f>
        <v>-</v>
      </c>
    </row>
    <row r="68">
      <c r="A68" s="1" t="str">
        <v>Form Actions</v>
      </c>
      <c r="B68" s="1" t="str">
        <v>Expense Claim</v>
      </c>
      <c r="C68" s="1">
        <v>6</v>
      </c>
      <c r="D68" s="1">
        <f>COUNTIFS('Test Case Register'!B5:B700,"Expense Claim",'Test Case Register'!C5:C700,"Form Actions",'Test Case Register'!G5:G700,"Pass")</f>
        <v>0</v>
      </c>
      <c r="E68" s="1">
        <f>COUNTIFS('Test Case Register'!B5:B700,"Expense Claim",'Test Case Register'!C5:C700,"Form Actions",'Test Case Register'!G5:G700,"Fail")</f>
        <v>0</v>
      </c>
      <c r="F68" s="1">
        <f>COUNTIFS('Test Case Register'!B5:B700,"Expense Claim",'Test Case Register'!C5:C700,"Form Actions",'Test Case Register'!G5:G700,"Blocked")</f>
        <v>0</v>
      </c>
      <c r="G68" s="1" t="str">
        <f>IF(D68+E68=0,"-",D68/(D68+E68))</f>
        <v>-</v>
      </c>
    </row>
    <row r="69">
      <c r="A69" s="1" t="str">
        <v>Leave Application Creation &amp; Basic Details</v>
      </c>
      <c r="B69" s="1" t="str">
        <v>Leave Application</v>
      </c>
      <c r="C69" s="1">
        <v>2</v>
      </c>
      <c r="D69" s="1">
        <f>COUNTIFS('Test Case Register'!B5:B700,"Leave Application",'Test Case Register'!C5:C700,"Leave Application Creation &amp; Basic Details",'Test Case Register'!G5:G700,"Pass")</f>
        <v>0</v>
      </c>
      <c r="E69" s="1">
        <f>COUNTIFS('Test Case Register'!B5:B700,"Leave Application",'Test Case Register'!C5:C700,"Leave Application Creation &amp; Basic Details",'Test Case Register'!G5:G700,"Fail")</f>
        <v>0</v>
      </c>
      <c r="F69" s="1">
        <f>COUNTIFS('Test Case Register'!B5:B700,"Leave Application",'Test Case Register'!C5:C700,"Leave Application Creation &amp; Basic Details",'Test Case Register'!G5:G700,"Blocked")</f>
        <v>0</v>
      </c>
      <c r="G69" s="1" t="str">
        <f>IF(D69+E69=0,"-",D69/(D69+E69))</f>
        <v>-</v>
      </c>
    </row>
    <row r="70">
      <c r="A70" s="1" t="str">
        <v>Series &amp; Auto-generation</v>
      </c>
      <c r="B70" s="1" t="str">
        <v>Leave Application</v>
      </c>
      <c r="C70" s="1">
        <v>3</v>
      </c>
      <c r="D70" s="1">
        <f>COUNTIFS('Test Case Register'!B5:B700,"Leave Application",'Test Case Register'!C5:C700,"Series &amp; Auto-generation",'Test Case Register'!G5:G700,"Pass")</f>
        <v>0</v>
      </c>
      <c r="E70" s="1">
        <f>COUNTIFS('Test Case Register'!B5:B700,"Leave Application",'Test Case Register'!C5:C700,"Series &amp; Auto-generation",'Test Case Register'!G5:G700,"Fail")</f>
        <v>0</v>
      </c>
      <c r="F70" s="1">
        <f>COUNTIFS('Test Case Register'!B5:B700,"Leave Application",'Test Case Register'!C5:C700,"Series &amp; Auto-generation",'Test Case Register'!G5:G700,"Blocked")</f>
        <v>0</v>
      </c>
      <c r="G70" s="1" t="str">
        <f>IF(D70+E70=0,"-",D70/(D70+E70))</f>
        <v>-</v>
      </c>
    </row>
    <row r="71">
      <c r="A71" s="1" t="str">
        <v>Employee Selection</v>
      </c>
      <c r="B71" s="1" t="str">
        <v>Leave Application</v>
      </c>
      <c r="C71" s="1">
        <v>3</v>
      </c>
      <c r="D71" s="1">
        <f>COUNTIFS('Test Case Register'!B5:B700,"Leave Application",'Test Case Register'!C5:C700,"Employee Selection",'Test Case Register'!G5:G700,"Pass")</f>
        <v>0</v>
      </c>
      <c r="E71" s="1">
        <f>COUNTIFS('Test Case Register'!B5:B700,"Leave Application",'Test Case Register'!C5:C700,"Employee Selection",'Test Case Register'!G5:G700,"Fail")</f>
        <v>0</v>
      </c>
      <c r="F71" s="1">
        <f>COUNTIFS('Test Case Register'!B5:B700,"Leave Application",'Test Case Register'!C5:C700,"Employee Selection",'Test Case Register'!G5:G700,"Blocked")</f>
        <v>0</v>
      </c>
      <c r="G71" s="1" t="str">
        <f>IF(D71+E71=0,"-",D71/(D71+E71))</f>
        <v>-</v>
      </c>
    </row>
    <row r="72">
      <c r="A72" s="1" t="str">
        <v>Leave Type Selection</v>
      </c>
      <c r="B72" s="1" t="str">
        <v>Leave Application</v>
      </c>
      <c r="C72" s="1">
        <v>4</v>
      </c>
      <c r="D72" s="1">
        <f>COUNTIFS('Test Case Register'!B5:B700,"Leave Application",'Test Case Register'!C5:C700,"Leave Type Selection",'Test Case Register'!G5:G700,"Pass")</f>
        <v>0</v>
      </c>
      <c r="E72" s="1">
        <f>COUNTIFS('Test Case Register'!B5:B700,"Leave Application",'Test Case Register'!C5:C700,"Leave Type Selection",'Test Case Register'!G5:G700,"Fail")</f>
        <v>0</v>
      </c>
      <c r="F72" s="1">
        <f>COUNTIFS('Test Case Register'!B5:B700,"Leave Application",'Test Case Register'!C5:C700,"Leave Type Selection",'Test Case Register'!G5:G700,"Blocked")</f>
        <v>0</v>
      </c>
      <c r="G72" s="1" t="str">
        <f>IF(D72+E72=0,"-",D72/(D72+E72))</f>
        <v>-</v>
      </c>
    </row>
    <row r="73">
      <c r="A73" s="1" t="str">
        <v>Company Details</v>
      </c>
      <c r="B73" s="1" t="str">
        <v>Leave Application</v>
      </c>
      <c r="C73" s="1">
        <v>3</v>
      </c>
      <c r="D73" s="1">
        <f>COUNTIFS('Test Case Register'!B5:B700,"Leave Application",'Test Case Register'!C5:C700,"Company Details",'Test Case Register'!G5:G700,"Pass")</f>
        <v>0</v>
      </c>
      <c r="E73" s="1">
        <f>COUNTIFS('Test Case Register'!B5:B700,"Leave Application",'Test Case Register'!C5:C700,"Company Details",'Test Case Register'!G5:G700,"Fail")</f>
        <v>0</v>
      </c>
      <c r="F73" s="1">
        <f>COUNTIFS('Test Case Register'!B5:B700,"Leave Application",'Test Case Register'!C5:C700,"Company Details",'Test Case Register'!G5:G700,"Blocked")</f>
        <v>0</v>
      </c>
      <c r="G73" s="1" t="str">
        <f>IF(D73+E73=0,"-",D73/(D73+E73))</f>
        <v>-</v>
      </c>
    </row>
    <row r="74">
      <c r="A74" s="1" t="str">
        <v>Date Range</v>
      </c>
      <c r="B74" s="1" t="str">
        <v>Leave Application</v>
      </c>
      <c r="C74" s="1">
        <v>7</v>
      </c>
      <c r="D74" s="1">
        <f>COUNTIFS('Test Case Register'!B5:B700,"Leave Application",'Test Case Register'!C5:C700,"Date Range",'Test Case Register'!G5:G700,"Pass")</f>
        <v>0</v>
      </c>
      <c r="E74" s="1">
        <f>COUNTIFS('Test Case Register'!B5:B700,"Leave Application",'Test Case Register'!C5:C700,"Date Range",'Test Case Register'!G5:G700,"Fail")</f>
        <v>0</v>
      </c>
      <c r="F74" s="1">
        <f>COUNTIFS('Test Case Register'!B5:B700,"Leave Application",'Test Case Register'!C5:C700,"Date Range",'Test Case Register'!G5:G700,"Blocked")</f>
        <v>0</v>
      </c>
      <c r="G74" s="1" t="str">
        <f>IF(D74+E74=0,"-",D74/(D74+E74))</f>
        <v>-</v>
      </c>
    </row>
    <row r="75">
      <c r="A75" s="1" t="str">
        <v>Half Day Leave</v>
      </c>
      <c r="B75" s="1" t="str">
        <v>Leave Application</v>
      </c>
      <c r="C75" s="1">
        <v>6</v>
      </c>
      <c r="D75" s="1">
        <f>COUNTIFS('Test Case Register'!B5:B700,"Leave Application",'Test Case Register'!C5:C700,"Half Day Leave",'Test Case Register'!G5:G700,"Pass")</f>
        <v>0</v>
      </c>
      <c r="E75" s="1">
        <f>COUNTIFS('Test Case Register'!B5:B700,"Leave Application",'Test Case Register'!C5:C700,"Half Day Leave",'Test Case Register'!G5:G700,"Fail")</f>
        <v>0</v>
      </c>
      <c r="F75" s="1">
        <f>COUNTIFS('Test Case Register'!B5:B700,"Leave Application",'Test Case Register'!C5:C700,"Half Day Leave",'Test Case Register'!G5:G700,"Blocked")</f>
        <v>0</v>
      </c>
      <c r="G75" s="1" t="str">
        <f>IF(D75+E75=0,"-",D75/(D75+E75))</f>
        <v>-</v>
      </c>
    </row>
    <row r="76">
      <c r="A76" s="1" t="str">
        <v>Reason</v>
      </c>
      <c r="B76" s="1" t="str">
        <v>Leave Application</v>
      </c>
      <c r="C76" s="1">
        <v>3</v>
      </c>
      <c r="D76" s="1">
        <f>COUNTIFS('Test Case Register'!B5:B700,"Leave Application",'Test Case Register'!C5:C700,"Reason",'Test Case Register'!G5:G700,"Pass")</f>
        <v>0</v>
      </c>
      <c r="E76" s="1">
        <f>COUNTIFS('Test Case Register'!B5:B700,"Leave Application",'Test Case Register'!C5:C700,"Reason",'Test Case Register'!G5:G700,"Fail")</f>
        <v>0</v>
      </c>
      <c r="F76" s="1">
        <f>COUNTIFS('Test Case Register'!B5:B700,"Leave Application",'Test Case Register'!C5:C700,"Reason",'Test Case Register'!G5:G700,"Blocked")</f>
        <v>0</v>
      </c>
      <c r="G76" s="1" t="str">
        <f>IF(D76+E76=0,"-",D76/(D76+E76))</f>
        <v>-</v>
      </c>
    </row>
    <row r="77">
      <c r="A77" s="1" t="str">
        <v>Leave Approver</v>
      </c>
      <c r="B77" s="1" t="str">
        <v>Leave Application</v>
      </c>
      <c r="C77" s="1">
        <v>4</v>
      </c>
      <c r="D77" s="1">
        <f>COUNTIFS('Test Case Register'!B5:B700,"Leave Application",'Test Case Register'!C5:C700,"Leave Approver",'Test Case Register'!G5:G700,"Pass")</f>
        <v>0</v>
      </c>
      <c r="E77" s="1">
        <f>COUNTIFS('Test Case Register'!B5:B700,"Leave Application",'Test Case Register'!C5:C700,"Leave Approver",'Test Case Register'!G5:G700,"Fail")</f>
        <v>0</v>
      </c>
      <c r="F77" s="1">
        <f>COUNTIFS('Test Case Register'!B5:B700,"Leave Application",'Test Case Register'!C5:C700,"Leave Approver",'Test Case Register'!G5:G700,"Blocked")</f>
        <v>0</v>
      </c>
      <c r="G77" s="1" t="str">
        <f>IF(D77+E77=0,"-",D77/(D77+E77))</f>
        <v>-</v>
      </c>
    </row>
    <row r="78">
      <c r="A78" s="1" t="str">
        <v>Posting Date</v>
      </c>
      <c r="B78" s="1" t="str">
        <v>Leave Application</v>
      </c>
      <c r="C78" s="1">
        <v>3</v>
      </c>
      <c r="D78" s="1">
        <f>COUNTIFS('Test Case Register'!B5:B700,"Leave Application",'Test Case Register'!C5:C700,"Posting Date",'Test Case Register'!G5:G700,"Pass")</f>
        <v>0</v>
      </c>
      <c r="E78" s="1">
        <f>COUNTIFS('Test Case Register'!B5:B700,"Leave Application",'Test Case Register'!C5:C700,"Posting Date",'Test Case Register'!G5:G700,"Fail")</f>
        <v>0</v>
      </c>
      <c r="F78" s="1">
        <f>COUNTIFS('Test Case Register'!B5:B700,"Leave Application",'Test Case Register'!C5:C700,"Posting Date",'Test Case Register'!G5:G700,"Blocked")</f>
        <v>0</v>
      </c>
      <c r="G78" s="1" t="str">
        <f>IF(D78+E78=0,"-",D78/(D78+E78))</f>
        <v>-</v>
      </c>
    </row>
    <row r="79">
      <c r="A79" s="1" t="str">
        <v>Leave Balance</v>
      </c>
      <c r="B79" s="1" t="str">
        <v>Leave Application</v>
      </c>
      <c r="C79" s="1">
        <v>5</v>
      </c>
      <c r="D79" s="1">
        <f>COUNTIFS('Test Case Register'!B5:B700,"Leave Application",'Test Case Register'!C5:C700,"Leave Balance",'Test Case Register'!G5:G700,"Pass")</f>
        <v>0</v>
      </c>
      <c r="E79" s="1">
        <f>COUNTIFS('Test Case Register'!B5:B700,"Leave Application",'Test Case Register'!C5:C700,"Leave Balance",'Test Case Register'!G5:G700,"Fail")</f>
        <v>0</v>
      </c>
      <c r="F79" s="1">
        <f>COUNTIFS('Test Case Register'!B5:B700,"Leave Application",'Test Case Register'!C5:C700,"Leave Balance",'Test Case Register'!G5:G700,"Blocked")</f>
        <v>0</v>
      </c>
      <c r="G79" s="1" t="str">
        <f>IF(D79+E79=0,"-",D79/(D79+E79))</f>
        <v>-</v>
      </c>
    </row>
    <row r="80">
      <c r="A80" s="1" t="str">
        <v>Status &amp; Workflow</v>
      </c>
      <c r="B80" s="1" t="str">
        <v>Leave Application</v>
      </c>
      <c r="C80" s="1">
        <v>5</v>
      </c>
      <c r="D80" s="1">
        <f>COUNTIFS('Test Case Register'!B5:B700,"Leave Application",'Test Case Register'!C5:C700,"Status &amp; Workflow",'Test Case Register'!G5:G700,"Pass")</f>
        <v>0</v>
      </c>
      <c r="E80" s="1">
        <f>COUNTIFS('Test Case Register'!B5:B700,"Leave Application",'Test Case Register'!C5:C700,"Status &amp; Workflow",'Test Case Register'!G5:G700,"Fail")</f>
        <v>0</v>
      </c>
      <c r="F80" s="1">
        <f>COUNTIFS('Test Case Register'!B5:B700,"Leave Application",'Test Case Register'!C5:C700,"Status &amp; Workflow",'Test Case Register'!G5:G700,"Blocked")</f>
        <v>0</v>
      </c>
      <c r="G80" s="1" t="str">
        <f>IF(D80+E80=0,"-",D80/(D80+E80))</f>
        <v>-</v>
      </c>
    </row>
    <row r="81">
      <c r="A81" s="1" t="str">
        <v>Data Validation</v>
      </c>
      <c r="B81" s="1" t="str">
        <v>Leave Application</v>
      </c>
      <c r="C81" s="1">
        <v>5</v>
      </c>
      <c r="D81" s="1">
        <f>COUNTIFS('Test Case Register'!B5:B700,"Leave Application",'Test Case Register'!C5:C700,"Data Validation",'Test Case Register'!G5:G700,"Pass")</f>
        <v>0</v>
      </c>
      <c r="E81" s="1">
        <f>COUNTIFS('Test Case Register'!B5:B700,"Leave Application",'Test Case Register'!C5:C700,"Data Validation",'Test Case Register'!G5:G700,"Fail")</f>
        <v>0</v>
      </c>
      <c r="F81" s="1">
        <f>COUNTIFS('Test Case Register'!B5:B700,"Leave Application",'Test Case Register'!C5:C700,"Data Validation",'Test Case Register'!G5:G700,"Blocked")</f>
        <v>0</v>
      </c>
      <c r="G81" s="1" t="str">
        <f>IF(D81+E81=0,"-",D81/(D81+E81))</f>
        <v>-</v>
      </c>
    </row>
    <row r="82">
      <c r="A82" s="1" t="str">
        <v>Editing &amp; Updates</v>
      </c>
      <c r="B82" s="1" t="str">
        <v>Leave Application</v>
      </c>
      <c r="C82" s="1">
        <v>5</v>
      </c>
      <c r="D82" s="1">
        <f>COUNTIFS('Test Case Register'!B5:B700,"Leave Application",'Test Case Register'!C5:C700,"Editing &amp; Updates",'Test Case Register'!G5:G700,"Pass")</f>
        <v>0</v>
      </c>
      <c r="E82" s="1">
        <f>COUNTIFS('Test Case Register'!B5:B700,"Leave Application",'Test Case Register'!C5:C700,"Editing &amp; Updates",'Test Case Register'!G5:G700,"Fail")</f>
        <v>0</v>
      </c>
      <c r="F82" s="1">
        <f>COUNTIFS('Test Case Register'!B5:B700,"Leave Application",'Test Case Register'!C5:C700,"Editing &amp; Updates",'Test Case Register'!G5:G700,"Blocked")</f>
        <v>0</v>
      </c>
      <c r="G82" s="1" t="str">
        <f>IF(D82+E82=0,"-",D82/(D82+E82))</f>
        <v>-</v>
      </c>
    </row>
    <row r="83">
      <c r="A83" s="1" t="str">
        <v>Form Actions</v>
      </c>
      <c r="B83" s="1" t="str">
        <v>Leave Application</v>
      </c>
      <c r="C83" s="1">
        <v>7</v>
      </c>
      <c r="D83" s="1">
        <f>COUNTIFS('Test Case Register'!B5:B700,"Leave Application",'Test Case Register'!C5:C700,"Form Actions",'Test Case Register'!G5:G700,"Pass")</f>
        <v>0</v>
      </c>
      <c r="E83" s="1">
        <f>COUNTIFS('Test Case Register'!B5:B700,"Leave Application",'Test Case Register'!C5:C700,"Form Actions",'Test Case Register'!G5:G700,"Fail")</f>
        <v>0</v>
      </c>
      <c r="F83" s="1">
        <f>COUNTIFS('Test Case Register'!B5:B700,"Leave Application",'Test Case Register'!C5:C700,"Form Actions",'Test Case Register'!G5:G700,"Blocked")</f>
        <v>0</v>
      </c>
      <c r="G83" s="1" t="str">
        <f>IF(D83+E83=0,"-",D83/(D83+E83))</f>
        <v>-</v>
      </c>
    </row>
    <row r="84">
      <c r="A84" s="1" t="str">
        <v>Service Call Creation &amp; Basic Details</v>
      </c>
      <c r="B84" s="1" t="str">
        <v>Service Call</v>
      </c>
      <c r="C84" s="1">
        <v>5</v>
      </c>
      <c r="D84" s="1">
        <f>COUNTIFS('Test Case Register'!B5:B700,"Service Call",'Test Case Register'!C5:C700,"Service Call Creation &amp; Basic Details",'Test Case Register'!G5:G700,"Pass")</f>
        <v>0</v>
      </c>
      <c r="E84" s="1">
        <f>COUNTIFS('Test Case Register'!B5:B700,"Service Call",'Test Case Register'!C5:C700,"Service Call Creation &amp; Basic Details",'Test Case Register'!G5:G700,"Fail")</f>
        <v>0</v>
      </c>
      <c r="F84" s="1">
        <f>COUNTIFS('Test Case Register'!B5:B700,"Service Call",'Test Case Register'!C5:C700,"Service Call Creation &amp; Basic Details",'Test Case Register'!G5:G700,"Blocked")</f>
        <v>0</v>
      </c>
      <c r="G84" s="1" t="str">
        <f>IF(D84+E84=0,"-",D84/(D84+E84))</f>
        <v>-</v>
      </c>
    </row>
    <row r="85">
      <c r="A85" s="1" t="str">
        <v>Customer &amp; Location Validation</v>
      </c>
      <c r="B85" s="1" t="str">
        <v>Service Call</v>
      </c>
      <c r="C85" s="1">
        <v>4</v>
      </c>
      <c r="D85" s="1">
        <f>COUNTIFS('Test Case Register'!B5:B700,"Service Call",'Test Case Register'!C5:C700,"Customer &amp; Location Validation",'Test Case Register'!G5:G700,"Pass")</f>
        <v>0</v>
      </c>
      <c r="E85" s="1">
        <f>COUNTIFS('Test Case Register'!B5:B700,"Service Call",'Test Case Register'!C5:C700,"Customer &amp; Location Validation",'Test Case Register'!G5:G700,"Fail")</f>
        <v>0</v>
      </c>
      <c r="F85" s="1">
        <f>COUNTIFS('Test Case Register'!B5:B700,"Service Call",'Test Case Register'!C5:C700,"Customer &amp; Location Validation",'Test Case Register'!G5:G700,"Blocked")</f>
        <v>0</v>
      </c>
      <c r="G85" s="1" t="str">
        <f>IF(D85+E85=0,"-",D85/(D85+E85))</f>
        <v>-</v>
      </c>
    </row>
    <row r="86">
      <c r="A86" s="1" t="str">
        <v>Technician Assignment</v>
      </c>
      <c r="B86" s="1" t="str">
        <v>Service Call</v>
      </c>
      <c r="C86" s="1">
        <v>4</v>
      </c>
      <c r="D86" s="1">
        <f>COUNTIFS('Test Case Register'!B5:B700,"Service Call",'Test Case Register'!C5:C700,"Technician Assignment",'Test Case Register'!G5:G700,"Pass")</f>
        <v>0</v>
      </c>
      <c r="E86" s="1">
        <f>COUNTIFS('Test Case Register'!B5:B700,"Service Call",'Test Case Register'!C5:C700,"Technician Assignment",'Test Case Register'!G5:G700,"Fail")</f>
        <v>0</v>
      </c>
      <c r="F86" s="1">
        <f>COUNTIFS('Test Case Register'!B5:B700,"Service Call",'Test Case Register'!C5:C700,"Technician Assignment",'Test Case Register'!G5:G700,"Blocked")</f>
        <v>0</v>
      </c>
      <c r="G86" s="1" t="str">
        <f>IF(D86+E86=0,"-",D86/(D86+E86))</f>
        <v>-</v>
      </c>
    </row>
    <row r="87">
      <c r="A87" s="1" t="str">
        <v>Priority &amp; Status Management</v>
      </c>
      <c r="B87" s="1" t="str">
        <v>Service Call</v>
      </c>
      <c r="C87" s="1">
        <v>5</v>
      </c>
      <c r="D87" s="1">
        <f>COUNTIFS('Test Case Register'!B5:B700,"Service Call",'Test Case Register'!C5:C700,"Priority &amp; Status Management",'Test Case Register'!G5:G700,"Pass")</f>
        <v>0</v>
      </c>
      <c r="E87" s="1">
        <f>COUNTIFS('Test Case Register'!B5:B700,"Service Call",'Test Case Register'!C5:C700,"Priority &amp; Status Management",'Test Case Register'!G5:G700,"Fail")</f>
        <v>0</v>
      </c>
      <c r="F87" s="1">
        <f>COUNTIFS('Test Case Register'!B5:B700,"Service Call",'Test Case Register'!C5:C700,"Priority &amp; Status Management",'Test Case Register'!G5:G700,"Blocked")</f>
        <v>0</v>
      </c>
      <c r="G87" s="1" t="str">
        <f>IF(D87+E87=0,"-",D87/(D87+E87))</f>
        <v>-</v>
      </c>
    </row>
    <row r="88">
      <c r="A88" s="1" t="str">
        <v>Service Date &amp; Time</v>
      </c>
      <c r="B88" s="1" t="str">
        <v>Service Call</v>
      </c>
      <c r="C88" s="1">
        <v>4</v>
      </c>
      <c r="D88" s="1">
        <f>COUNTIFS('Test Case Register'!B5:B700,"Service Call",'Test Case Register'!C5:C700,"Service Date &amp; Time",'Test Case Register'!G5:G700,"Pass")</f>
        <v>0</v>
      </c>
      <c r="E88" s="1">
        <f>COUNTIFS('Test Case Register'!B5:B700,"Service Call",'Test Case Register'!C5:C700,"Service Date &amp; Time",'Test Case Register'!G5:G700,"Fail")</f>
        <v>0</v>
      </c>
      <c r="F88" s="1">
        <f>COUNTIFS('Test Case Register'!B5:B700,"Service Call",'Test Case Register'!C5:C700,"Service Date &amp; Time",'Test Case Register'!G5:G700,"Blocked")</f>
        <v>0</v>
      </c>
      <c r="G88" s="1" t="str">
        <f>IF(D88+E88=0,"-",D88/(D88+E88))</f>
        <v>-</v>
      </c>
    </row>
    <row r="89">
      <c r="A89" s="1" t="str">
        <v>Service Items &amp; Inventory</v>
      </c>
      <c r="B89" s="1" t="str">
        <v>Service Call</v>
      </c>
      <c r="C89" s="1">
        <v>5</v>
      </c>
      <c r="D89" s="1">
        <f>COUNTIFS('Test Case Register'!B5:B700,"Service Call",'Test Case Register'!C5:C700,"Service Items &amp; Inventory",'Test Case Register'!G5:G700,"Pass")</f>
        <v>0</v>
      </c>
      <c r="E89" s="1">
        <f>COUNTIFS('Test Case Register'!B5:B700,"Service Call",'Test Case Register'!C5:C700,"Service Items &amp; Inventory",'Test Case Register'!G5:G700,"Fail")</f>
        <v>0</v>
      </c>
      <c r="F89" s="1">
        <f>COUNTIFS('Test Case Register'!B5:B700,"Service Call",'Test Case Register'!C5:C700,"Service Items &amp; Inventory",'Test Case Register'!G5:G700,"Blocked")</f>
        <v>0</v>
      </c>
      <c r="G89" s="1" t="str">
        <f>IF(D89+E89=0,"-",D89/(D89+E89))</f>
        <v>-</v>
      </c>
    </row>
    <row r="90">
      <c r="A90" s="1" t="str">
        <v>Billing &amp; Cost Calculation</v>
      </c>
      <c r="B90" s="1" t="str">
        <v>Service Call</v>
      </c>
      <c r="C90" s="1">
        <v>4</v>
      </c>
      <c r="D90" s="1">
        <f>COUNTIFS('Test Case Register'!B5:B700,"Service Call",'Test Case Register'!C5:C700,"Billing &amp; Cost Calculation",'Test Case Register'!G5:G700,"Pass")</f>
        <v>0</v>
      </c>
      <c r="E90" s="1">
        <f>COUNTIFS('Test Case Register'!B5:B700,"Service Call",'Test Case Register'!C5:C700,"Billing &amp; Cost Calculation",'Test Case Register'!G5:G700,"Fail")</f>
        <v>0</v>
      </c>
      <c r="F90" s="1">
        <f>COUNTIFS('Test Case Register'!B5:B700,"Service Call",'Test Case Register'!C5:C700,"Billing &amp; Cost Calculation",'Test Case Register'!G5:G700,"Blocked")</f>
        <v>0</v>
      </c>
      <c r="G90" s="1" t="str">
        <f>IF(D90+E90=0,"-",D90/(D90+E90))</f>
        <v>-</v>
      </c>
    </row>
    <row r="91">
      <c r="A91" s="1" t="str">
        <v>SLA &amp; Warranty</v>
      </c>
      <c r="B91" s="1" t="str">
        <v>Service Call</v>
      </c>
      <c r="C91" s="1">
        <v>3</v>
      </c>
      <c r="D91" s="1">
        <f>COUNTIFS('Test Case Register'!B5:B700,"Service Call",'Test Case Register'!C5:C700,"SLA &amp; Warranty",'Test Case Register'!G5:G700,"Pass")</f>
        <v>0</v>
      </c>
      <c r="E91" s="1">
        <f>COUNTIFS('Test Case Register'!B5:B700,"Service Call",'Test Case Register'!C5:C700,"SLA &amp; Warranty",'Test Case Register'!G5:G700,"Fail")</f>
        <v>0</v>
      </c>
      <c r="F91" s="1">
        <f>COUNTIFS('Test Case Register'!B5:B700,"Service Call",'Test Case Register'!C5:C700,"SLA &amp; Warranty",'Test Case Register'!G5:G700,"Blocked")</f>
        <v>0</v>
      </c>
      <c r="G91" s="1" t="str">
        <f>IF(D91+E91=0,"-",D91/(D91+E91))</f>
        <v>-</v>
      </c>
    </row>
    <row r="92">
      <c r="A92" s="1" t="str">
        <v>Documentation</v>
      </c>
      <c r="B92" s="1" t="str">
        <v>Service Call</v>
      </c>
      <c r="C92" s="1">
        <v>4</v>
      </c>
      <c r="D92" s="1">
        <f>COUNTIFS('Test Case Register'!B5:B700,"Service Call",'Test Case Register'!C5:C700,"Documentation",'Test Case Register'!G5:G700,"Pass")</f>
        <v>0</v>
      </c>
      <c r="E92" s="1">
        <f>COUNTIFS('Test Case Register'!B5:B700,"Service Call",'Test Case Register'!C5:C700,"Documentation",'Test Case Register'!G5:G700,"Fail")</f>
        <v>0</v>
      </c>
      <c r="F92" s="1">
        <f>COUNTIFS('Test Case Register'!B5:B700,"Service Call",'Test Case Register'!C5:C700,"Documentation",'Test Case Register'!G5:G700,"Blocked")</f>
        <v>0</v>
      </c>
      <c r="G92" s="1" t="str">
        <f>IF(D92+E92=0,"-",D92/(D92+E92))</f>
        <v>-</v>
      </c>
    </row>
    <row r="93">
      <c r="A93" s="1" t="str">
        <v>Data Validation</v>
      </c>
      <c r="B93" s="1" t="str">
        <v>Service Call</v>
      </c>
      <c r="C93" s="1">
        <v>3</v>
      </c>
      <c r="D93" s="1">
        <f>COUNTIFS('Test Case Register'!B5:B700,"Service Call",'Test Case Register'!C5:C700,"Data Validation",'Test Case Register'!G5:G700,"Pass")</f>
        <v>0</v>
      </c>
      <c r="E93" s="1">
        <f>COUNTIFS('Test Case Register'!B5:B700,"Service Call",'Test Case Register'!C5:C700,"Data Validation",'Test Case Register'!G5:G700,"Fail")</f>
        <v>0</v>
      </c>
      <c r="F93" s="1">
        <f>COUNTIFS('Test Case Register'!B5:B700,"Service Call",'Test Case Register'!C5:C700,"Data Validation",'Test Case Register'!G5:G700,"Blocked")</f>
        <v>0</v>
      </c>
      <c r="G93" s="1" t="str">
        <f>IF(D93+E93=0,"-",D93/(D93+E93))</f>
        <v>-</v>
      </c>
    </row>
    <row r="94">
      <c r="A94" s="1" t="str">
        <v>Editing &amp; Updates</v>
      </c>
      <c r="B94" s="1" t="str">
        <v>Service Call</v>
      </c>
      <c r="C94" s="1">
        <v>3</v>
      </c>
      <c r="D94" s="1">
        <f>COUNTIFS('Test Case Register'!B5:B700,"Service Call",'Test Case Register'!C5:C700,"Editing &amp; Updates",'Test Case Register'!G5:G700,"Pass")</f>
        <v>0</v>
      </c>
      <c r="E94" s="1">
        <f>COUNTIFS('Test Case Register'!B5:B700,"Service Call",'Test Case Register'!C5:C700,"Editing &amp; Updates",'Test Case Register'!G5:G700,"Fail")</f>
        <v>0</v>
      </c>
      <c r="F94" s="1">
        <f>COUNTIFS('Test Case Register'!B5:B700,"Service Call",'Test Case Register'!C5:C700,"Editing &amp; Updates",'Test Case Register'!G5:G700,"Blocked")</f>
        <v>0</v>
      </c>
      <c r="G94" s="1" t="str">
        <f>IF(D94+E94=0,"-",D94/(D94+E94))</f>
        <v>-</v>
      </c>
    </row>
    <row r="95">
      <c r="A95" s="1" t="str">
        <v>Bulk Operations</v>
      </c>
      <c r="B95" s="1" t="str">
        <v>Service Call</v>
      </c>
      <c r="C95" s="1">
        <v>3</v>
      </c>
      <c r="D95" s="1">
        <f>COUNTIFS('Test Case Register'!B5:B700,"Service Call",'Test Case Register'!C5:C700,"Bulk Operations",'Test Case Register'!G5:G700,"Pass")</f>
        <v>0</v>
      </c>
      <c r="E95" s="1">
        <f>COUNTIFS('Test Case Register'!B5:B700,"Service Call",'Test Case Register'!C5:C700,"Bulk Operations",'Test Case Register'!G5:G700,"Fail")</f>
        <v>0</v>
      </c>
      <c r="F95" s="1">
        <f>COUNTIFS('Test Case Register'!B5:B700,"Service Call",'Test Case Register'!C5:C700,"Bulk Operations",'Test Case Register'!G5:G700,"Blocked")</f>
        <v>0</v>
      </c>
      <c r="G95" s="1" t="str">
        <f>IF(D95+E95=0,"-",D95/(D95+E95))</f>
        <v>-</v>
      </c>
    </row>
    <row r="96">
      <c r="A96" s="1" t="str">
        <v>Permissions &amp; Access</v>
      </c>
      <c r="B96" s="1" t="str">
        <v>Service Call</v>
      </c>
      <c r="C96" s="1">
        <v>3</v>
      </c>
      <c r="D96" s="1">
        <f>COUNTIFS('Test Case Register'!B5:B700,"Service Call",'Test Case Register'!C5:C700,"Permissions &amp; Access",'Test Case Register'!G5:G700,"Pass")</f>
        <v>0</v>
      </c>
      <c r="E96" s="1">
        <f>COUNTIFS('Test Case Register'!B5:B700,"Service Call",'Test Case Register'!C5:C700,"Permissions &amp; Access",'Test Case Register'!G5:G700,"Fail")</f>
        <v>0</v>
      </c>
      <c r="F96" s="1">
        <f>COUNTIFS('Test Case Register'!B5:B700,"Service Call",'Test Case Register'!C5:C700,"Permissions &amp; Access",'Test Case Register'!G5:G700,"Blocked")</f>
        <v>0</v>
      </c>
      <c r="G96" s="1" t="str">
        <f>IF(D96+E96=0,"-",D96/(D96+E96))</f>
        <v>-</v>
      </c>
    </row>
  </sheetData>
  <mergeCells count="64">
    <mergeCell ref="A1:L1"/>
    <mergeCell ref="A2:L2"/>
    <mergeCell ref="A4:B4"/>
    <mergeCell ref="C4:D4"/>
    <mergeCell ref="E4:F4"/>
    <mergeCell ref="G4:H4"/>
    <mergeCell ref="I4:J4"/>
    <mergeCell ref="K4:L4"/>
    <mergeCell ref="A5:B5"/>
    <mergeCell ref="C5:D5"/>
    <mergeCell ref="E5:F5"/>
    <mergeCell ref="G5:H5"/>
    <mergeCell ref="I5:J5"/>
    <mergeCell ref="K5:L5"/>
    <mergeCell ref="A7:L7"/>
    <mergeCell ref="A8:B8"/>
    <mergeCell ref="C8:D8"/>
    <mergeCell ref="E8:F8"/>
    <mergeCell ref="G8:H8"/>
    <mergeCell ref="I8:J8"/>
    <mergeCell ref="K8:L8"/>
    <mergeCell ref="A9:B9"/>
    <mergeCell ref="C9:D9"/>
    <mergeCell ref="E9:F9"/>
    <mergeCell ref="G9:H9"/>
    <mergeCell ref="I9:J9"/>
    <mergeCell ref="K9:L9"/>
    <mergeCell ref="A10:B10"/>
    <mergeCell ref="C10:D10"/>
    <mergeCell ref="E10:F10"/>
    <mergeCell ref="G10:H10"/>
    <mergeCell ref="I10:J10"/>
    <mergeCell ref="K10:L10"/>
    <mergeCell ref="A11:B11"/>
    <mergeCell ref="C11:D11"/>
    <mergeCell ref="E11:F11"/>
    <mergeCell ref="G11:H11"/>
    <mergeCell ref="I11:J11"/>
    <mergeCell ref="K11:L11"/>
    <mergeCell ref="A12:B12"/>
    <mergeCell ref="C12:D12"/>
    <mergeCell ref="E12:F12"/>
    <mergeCell ref="G12:H12"/>
    <mergeCell ref="I12:J12"/>
    <mergeCell ref="K12:L12"/>
    <mergeCell ref="A13:B13"/>
    <mergeCell ref="C13:D13"/>
    <mergeCell ref="E13:F13"/>
    <mergeCell ref="G13:H13"/>
    <mergeCell ref="I13:J13"/>
    <mergeCell ref="K13:L13"/>
    <mergeCell ref="A14:B14"/>
    <mergeCell ref="C14:D14"/>
    <mergeCell ref="E14:F14"/>
    <mergeCell ref="G14:H14"/>
    <mergeCell ref="I14:J14"/>
    <mergeCell ref="K14:L14"/>
    <mergeCell ref="A15:B15"/>
    <mergeCell ref="C15:D15"/>
    <mergeCell ref="E15:F15"/>
    <mergeCell ref="G15:H15"/>
    <mergeCell ref="I15:J15"/>
    <mergeCell ref="K15:L15"/>
    <mergeCell ref="A18:L18"/>
  </mergeCells>
  <pageMargins left="0.75" right="0.75" top="1" bottom="1" header="0.511811023622047" footer="0.511811023622047"/>
  <ignoredErrors>
    <ignoredError numberStoredAsText="1" sqref="A1:L96"/>
  </ignoredErrors>
</worksheet>
</file>

<file path=xl/worksheets/sheet4.xml><?xml version="1.0" encoding="utf-8"?>
<worksheet xmlns="http://schemas.openxmlformats.org/spreadsheetml/2006/main" xmlns:r="http://schemas.openxmlformats.org/officeDocument/2006/relationships">
  <dimension ref="A1:F331"/>
  <sheetViews>
    <sheetView workbookViewId="0" rightToLeft="0"/>
  </sheetViews>
  <sheetData>
    <row r="1">
      <c r="A1" s="1" t="str">
        <v>AMC Core — Master Priority &amp; Coverage Analysis</v>
      </c>
    </row>
    <row r="2">
      <c r="A2" s="1" t="str">
        <v>All 320 test cases sorted by priority. Execute Critical first across all DocTypes.</v>
      </c>
    </row>
    <row r="4">
      <c r="A4" s="1" t="str">
        <v>Priority</v>
      </c>
      <c r="B4" s="1" t="str">
        <v>Test ID</v>
      </c>
      <c r="C4" s="1" t="str">
        <v>DocType</v>
      </c>
      <c r="D4" s="1" t="str">
        <v>Module</v>
      </c>
      <c r="E4" s="1" t="str">
        <v>Test Case Title</v>
      </c>
      <c r="F4" s="1" t="str">
        <v>Business Rule</v>
      </c>
    </row>
    <row r="5">
      <c r="A5" s="1" t="str">
        <v>Critical</v>
      </c>
      <c r="B5" s="1" t="str">
        <v>CUST-001</v>
      </c>
      <c r="C5" s="1" t="str">
        <v>AMC Customers</v>
      </c>
      <c r="D5" s="1" t="str">
        <v>Customer Creation &amp; Basic Details</v>
      </c>
      <c r="E5" s="1" t="str">
        <v>Create customer with Customer Name only (minimum required)</v>
      </c>
      <c r="F5" s="1" t="str">
        <v>BR-CUST-01</v>
      </c>
    </row>
    <row r="6">
      <c r="A6" s="1" t="str">
        <v>Critical</v>
      </c>
      <c r="B6" s="1" t="str">
        <v>CUST-002</v>
      </c>
      <c r="C6" s="1" t="str">
        <v>AMC Customers</v>
      </c>
      <c r="D6" s="1" t="str">
        <v>Customer Creation &amp; Basic Details</v>
      </c>
      <c r="E6" s="1" t="str">
        <v>Create Company customer with all basic fields (Name, Type, GST, PAN)</v>
      </c>
      <c r="F6" s="1" t="str">
        <v>BR-CUST-01, BR-CUST-02</v>
      </c>
    </row>
    <row r="7">
      <c r="A7" s="1" t="str">
        <v>Critical</v>
      </c>
      <c r="B7" s="1" t="str">
        <v>CUST-005</v>
      </c>
      <c r="C7" s="1" t="str">
        <v>AMC Customers</v>
      </c>
      <c r="D7" s="1" t="str">
        <v>GST Validation</v>
      </c>
      <c r="E7" s="1" t="str">
        <v>Valid 15-character GSTIN is accepted</v>
      </c>
      <c r="F7" s="1" t="str">
        <v>BR-CUST-03</v>
      </c>
    </row>
    <row r="8">
      <c r="A8" s="1" t="str">
        <v>Critical</v>
      </c>
      <c r="B8" s="1" t="str">
        <v>CUST-006</v>
      </c>
      <c r="C8" s="1" t="str">
        <v>AMC Customers</v>
      </c>
      <c r="D8" s="1" t="str">
        <v>GST Validation</v>
      </c>
      <c r="E8" s="1" t="str">
        <v>Invalid GST format is rejected with specific error message</v>
      </c>
      <c r="F8" s="1" t="str">
        <v>BR-CUST-03</v>
      </c>
    </row>
    <row r="9">
      <c r="A9" s="1" t="str">
        <v>Critical</v>
      </c>
      <c r="B9" s="1" t="str">
        <v>CUST-007</v>
      </c>
      <c r="C9" s="1" t="str">
        <v>AMC Customers</v>
      </c>
      <c r="D9" s="1" t="str">
        <v>GST Validation</v>
      </c>
      <c r="E9" s="1" t="str">
        <v>Duplicate GSTIN across two customers is blocked</v>
      </c>
      <c r="F9" s="1" t="str">
        <v>BR-CUST-04</v>
      </c>
    </row>
    <row r="10">
      <c r="A10" s="1" t="str">
        <v>Critical</v>
      </c>
      <c r="B10" s="1" t="str">
        <v>CUST-010</v>
      </c>
      <c r="C10" s="1" t="str">
        <v>AMC Customers</v>
      </c>
      <c r="D10" s="1" t="str">
        <v>Branch Locations</v>
      </c>
      <c r="E10" s="1" t="str">
        <v>Add single branch location to customer</v>
      </c>
      <c r="F10" s="1" t="str">
        <v>BR-CUST-06</v>
      </c>
    </row>
    <row r="11">
      <c r="A11" s="1" t="str">
        <v>Critical</v>
      </c>
      <c r="B11" s="1" t="str">
        <v>CUST-014</v>
      </c>
      <c r="C11" s="1" t="str">
        <v>AMC Customers</v>
      </c>
      <c r="D11" s="1" t="str">
        <v>Contact Details</v>
      </c>
      <c r="E11" s="1" t="str">
        <v>Add primary contact to customer</v>
      </c>
      <c r="F11" s="1" t="str">
        <v>BR-CUST-07</v>
      </c>
    </row>
    <row r="12">
      <c r="A12" s="1" t="str">
        <v>Critical</v>
      </c>
      <c r="B12" s="1" t="str">
        <v>CUST-020</v>
      </c>
      <c r="C12" s="1" t="str">
        <v>AMC Customers</v>
      </c>
      <c r="D12" s="1" t="str">
        <v>Permissions</v>
      </c>
      <c r="E12" s="1" t="str">
        <v>Technician role can only READ AMC Customers</v>
      </c>
      <c r="F12" s="1" t="str">
        <v>BR-CUST-11</v>
      </c>
    </row>
    <row r="13">
      <c r="A13" s="1" t="str">
        <v>Critical</v>
      </c>
      <c r="B13" s="1" t="str">
        <v>CON-001</v>
      </c>
      <c r="C13" s="1" t="str">
        <v>AMC Contract</v>
      </c>
      <c r="D13" s="1" t="str">
        <v>Contract Creation</v>
      </c>
      <c r="E13" s="1" t="str">
        <v>Create AMC Contract with all mandatory fields</v>
      </c>
      <c r="F13" s="1" t="str">
        <v>BR-CON-01</v>
      </c>
    </row>
    <row r="14">
      <c r="A14" s="1" t="str">
        <v>Critical</v>
      </c>
      <c r="B14" s="1" t="str">
        <v>CON-002</v>
      </c>
      <c r="C14" s="1" t="str">
        <v>AMC Contract</v>
      </c>
      <c r="D14" s="1" t="str">
        <v>Contract Creation</v>
      </c>
      <c r="E14" s="1" t="str">
        <v>Start Date is mandatory — save fails without it</v>
      </c>
      <c r="F14" s="1" t="str">
        <v>BR-CON-01</v>
      </c>
    </row>
    <row r="15">
      <c r="A15" s="1" t="str">
        <v>Critical</v>
      </c>
      <c r="B15" s="1" t="str">
        <v>CON-003</v>
      </c>
      <c r="C15" s="1" t="str">
        <v>AMC Contract</v>
      </c>
      <c r="D15" s="1" t="str">
        <v>Contract Creation</v>
      </c>
      <c r="E15" s="1" t="str">
        <v>End Date is mandatory — save fails without it</v>
      </c>
      <c r="F15" s="1" t="str">
        <v>BR-CON-01</v>
      </c>
    </row>
    <row r="16">
      <c r="A16" s="1" t="str">
        <v>Critical</v>
      </c>
      <c r="B16" s="1" t="str">
        <v>CON-004</v>
      </c>
      <c r="C16" s="1" t="str">
        <v>AMC Contract</v>
      </c>
      <c r="D16" s="1" t="str">
        <v>Contract Creation</v>
      </c>
      <c r="E16" s="1" t="str">
        <v>No of Services is mandatory — save fails without it</v>
      </c>
      <c r="F16" s="1" t="str">
        <v>BR-CON-01</v>
      </c>
    </row>
    <row r="17">
      <c r="A17" s="1" t="str">
        <v>Critical</v>
      </c>
      <c r="B17" s="1" t="str">
        <v>CON-006</v>
      </c>
      <c r="C17" s="1" t="str">
        <v>AMC Contract</v>
      </c>
      <c r="D17" s="1" t="str">
        <v>Contract Date Logic</v>
      </c>
      <c r="E17" s="1" t="str">
        <v>End Date before Start Date is rejected</v>
      </c>
      <c r="F17" s="1" t="str">
        <v>BR-CON-03</v>
      </c>
    </row>
    <row r="18">
      <c r="A18" s="1" t="str">
        <v>Critical</v>
      </c>
      <c r="B18" s="1" t="str">
        <v>CON-009</v>
      </c>
      <c r="C18" s="1" t="str">
        <v>AMC Contract</v>
      </c>
      <c r="D18" s="1" t="str">
        <v>Service Count &amp; Schedule</v>
      </c>
      <c r="E18" s="1" t="str">
        <v>4 services Jan-Dec creates exactly 4 Maintenance Schedule rows</v>
      </c>
      <c r="F18" s="1" t="str">
        <v>BR-CON-04</v>
      </c>
    </row>
    <row r="19">
      <c r="A19" s="1" t="str">
        <v>Critical</v>
      </c>
      <c r="B19" s="1" t="str">
        <v>CON-010</v>
      </c>
      <c r="C19" s="1" t="str">
        <v>AMC Contract</v>
      </c>
      <c r="D19" s="1" t="str">
        <v>Service Count &amp; Schedule</v>
      </c>
      <c r="E19" s="1" t="str">
        <v>12 services creates 12 monthly Maintenance Schedule rows</v>
      </c>
      <c r="F19" s="1" t="str">
        <v>BR-CON-04</v>
      </c>
    </row>
    <row r="20">
      <c r="A20" s="1" t="str">
        <v>Critical</v>
      </c>
      <c r="B20" s="1" t="str">
        <v>CON-011</v>
      </c>
      <c r="C20" s="1" t="str">
        <v>AMC Contract</v>
      </c>
      <c r="D20" s="1" t="str">
        <v>Service Count &amp; Schedule</v>
      </c>
      <c r="E20" s="1" t="str">
        <v>1 service creates exactly 1 Maintenance Schedule row</v>
      </c>
      <c r="F20" s="1" t="str">
        <v>BR-CON-04</v>
      </c>
    </row>
    <row r="21">
      <c r="A21" s="1" t="str">
        <v>Critical</v>
      </c>
      <c r="B21" s="1" t="str">
        <v>CON-012</v>
      </c>
      <c r="C21" s="1" t="str">
        <v>AMC Contract</v>
      </c>
      <c r="D21" s="1" t="str">
        <v>Service Count &amp; Schedule</v>
      </c>
      <c r="E21" s="1" t="str">
        <v>All schedule dates fall within contract Start-End range</v>
      </c>
      <c r="F21" s="1" t="str">
        <v>BR-CON-05</v>
      </c>
    </row>
    <row r="22">
      <c r="A22" s="1" t="str">
        <v>Critical</v>
      </c>
      <c r="B22" s="1" t="str">
        <v>CON-015</v>
      </c>
      <c r="C22" s="1" t="str">
        <v>AMC Contract</v>
      </c>
      <c r="D22" s="1" t="str">
        <v>Customer &amp; Branch Linkage</v>
      </c>
      <c r="E22" s="1" t="str">
        <v>Contract cannot reference non-existent AMC Customer</v>
      </c>
      <c r="F22" s="1" t="str">
        <v>BR-CON-06</v>
      </c>
    </row>
    <row r="23">
      <c r="A23" s="1" t="str">
        <v>Critical</v>
      </c>
      <c r="B23" s="1" t="str">
        <v>CON-022</v>
      </c>
      <c r="C23" s="1" t="str">
        <v>AMC Contract</v>
      </c>
      <c r="D23" s="1" t="str">
        <v>Submit &amp; Amend Workflow</v>
      </c>
      <c r="E23" s="1" t="str">
        <v>Draft contract can be submitted</v>
      </c>
      <c r="F23" s="1" t="str">
        <v>BR-CON-10</v>
      </c>
    </row>
    <row r="24">
      <c r="A24" s="1" t="str">
        <v>Critical</v>
      </c>
      <c r="B24" s="1" t="str">
        <v>CON-023</v>
      </c>
      <c r="C24" s="1" t="str">
        <v>AMC Contract</v>
      </c>
      <c r="D24" s="1" t="str">
        <v>Submit &amp; Amend Workflow</v>
      </c>
      <c r="E24" s="1" t="str">
        <v>Submitted contract fields are read-only</v>
      </c>
      <c r="F24" s="1" t="str">
        <v>BR-CON-10</v>
      </c>
    </row>
    <row r="25">
      <c r="A25" s="1" t="str">
        <v>Critical</v>
      </c>
      <c r="B25" s="1" t="str">
        <v>CON-024</v>
      </c>
      <c r="C25" s="1" t="str">
        <v>AMC Contract</v>
      </c>
      <c r="D25" s="1" t="str">
        <v>Submit &amp; Amend Workflow</v>
      </c>
      <c r="E25" s="1" t="str">
        <v>Submitted contract can be amended to create new draft</v>
      </c>
      <c r="F25" s="1" t="str">
        <v>BR-CON-11</v>
      </c>
    </row>
    <row r="26">
      <c r="A26" s="1" t="str">
        <v>Critical</v>
      </c>
      <c r="B26" s="1" t="str">
        <v>CON-027</v>
      </c>
      <c r="C26" s="1" t="str">
        <v>AMC Contract</v>
      </c>
      <c r="D26" s="1" t="str">
        <v>Service Calls Tab</v>
      </c>
      <c r="E26" s="1" t="str">
        <v>Service Calls tab shows generated calls after submission</v>
      </c>
      <c r="F26" s="1" t="str">
        <v>BR-CON-12</v>
      </c>
    </row>
    <row r="27">
      <c r="A27" s="1" t="str">
        <v>Critical</v>
      </c>
      <c r="B27" s="1" t="str">
        <v>CON-029</v>
      </c>
      <c r="C27" s="1" t="str">
        <v>AMC Contract</v>
      </c>
      <c r="D27" s="1" t="str">
        <v>Service Calls Tab</v>
      </c>
      <c r="E27" s="1" t="str">
        <v>Service Call count equals No of Services on contract</v>
      </c>
      <c r="F27" s="1" t="str">
        <v>BR-CON-04, BR-CON-12</v>
      </c>
    </row>
    <row r="28">
      <c r="A28" s="1" t="str">
        <v>Critical</v>
      </c>
      <c r="B28" s="1" t="str">
        <v>CON-030</v>
      </c>
      <c r="C28" s="1" t="str">
        <v>AMC Contract</v>
      </c>
      <c r="D28" s="1" t="str">
        <v>Cross-DocType Integration</v>
      </c>
      <c r="E28" s="1" t="str">
        <v>One customer can have contracts for multiple branches</v>
      </c>
      <c r="F28" s="1" t="str">
        <v>BR-CON-13</v>
      </c>
    </row>
    <row r="29">
      <c r="A29" s="1" t="str">
        <v>Critical</v>
      </c>
      <c r="B29" s="1" t="str">
        <v>CON-032</v>
      </c>
      <c r="C29" s="1" t="str">
        <v>AMC Contract</v>
      </c>
      <c r="D29" s="1" t="str">
        <v>Cross-DocType Integration</v>
      </c>
      <c r="E29" s="1" t="str">
        <v>Technician cannot cancel or delete AMC Contract</v>
      </c>
      <c r="F29" s="1" t="str">
        <v>BR-CON-14</v>
      </c>
    </row>
    <row r="30">
      <c r="A30" s="1" t="str">
        <v>Critical</v>
      </c>
      <c r="B30" s="1" t="str">
        <v>VEN-001</v>
      </c>
      <c r="C30" s="1" t="str">
        <v>Vendor</v>
      </c>
      <c r="D30" s="1" t="str">
        <v>Vendor Creation &amp; Basic Details</v>
      </c>
      <c r="E30" s="1" t="str">
        <v>Create Vendor with Vendor Name only (mandatory field)</v>
      </c>
      <c r="F30" s="1" t="str">
        <v>BR-VEN-01</v>
      </c>
    </row>
    <row r="31">
      <c r="A31" s="1" t="str">
        <v>Critical</v>
      </c>
      <c r="B31" s="1" t="str">
        <v>VEN-002</v>
      </c>
      <c r="C31" s="1" t="str">
        <v>Vendor</v>
      </c>
      <c r="D31" s="1" t="str">
        <v>Vendor Creation &amp; Basic Details</v>
      </c>
      <c r="E31" s="1" t="str">
        <v>Create Vendor with all basic fields (Name, Type, PAN)</v>
      </c>
      <c r="F31" s="1" t="str">
        <v>BR-VEN-01, BR-VEN-02</v>
      </c>
    </row>
    <row r="32">
      <c r="A32" s="1" t="str">
        <v>Critical</v>
      </c>
      <c r="B32" s="1" t="str">
        <v>VEN-005</v>
      </c>
      <c r="C32" s="1" t="str">
        <v>Vendor</v>
      </c>
      <c r="D32" s="1" t="str">
        <v>Primary Contact Details</v>
      </c>
      <c r="E32" s="1" t="str">
        <v>Add Primary Contact Person</v>
      </c>
      <c r="F32" s="1" t="str">
        <v>BR-VEN-03</v>
      </c>
    </row>
    <row r="33">
      <c r="A33" s="1" t="str">
        <v>Critical</v>
      </c>
      <c r="B33" s="1" t="str">
        <v>VEN-007</v>
      </c>
      <c r="C33" s="1" t="str">
        <v>Vendor</v>
      </c>
      <c r="D33" s="1" t="str">
        <v>Primary Contact Details</v>
      </c>
      <c r="E33" s="1" t="str">
        <v>Invalid phone number format is rejected</v>
      </c>
      <c r="F33" s="1" t="str">
        <v>BR-VEN-03</v>
      </c>
    </row>
    <row r="34">
      <c r="A34" s="1" t="str">
        <v>Critical</v>
      </c>
      <c r="B34" s="1" t="str">
        <v>VEN-009</v>
      </c>
      <c r="C34" s="1" t="str">
        <v>Vendor</v>
      </c>
      <c r="D34" s="1" t="str">
        <v>Primary Contact Details</v>
      </c>
      <c r="E34" s="1" t="str">
        <v>Invalid email format is rejected with error message</v>
      </c>
      <c r="F34" s="1" t="str">
        <v>BR-VEN-03</v>
      </c>
    </row>
    <row r="35">
      <c r="A35" s="1" t="str">
        <v>Critical</v>
      </c>
      <c r="B35" s="1" t="str">
        <v>VEN-010</v>
      </c>
      <c r="C35" s="1" t="str">
        <v>Vendor</v>
      </c>
      <c r="D35" s="1" t="str">
        <v>Tax Identification</v>
      </c>
      <c r="E35" s="1" t="str">
        <v>Valid PAN number format is accepted</v>
      </c>
      <c r="F35" s="1" t="str">
        <v>BR-VEN-04</v>
      </c>
    </row>
    <row r="36">
      <c r="A36" s="1" t="str">
        <v>Critical</v>
      </c>
      <c r="B36" s="1" t="str">
        <v>VEN-011</v>
      </c>
      <c r="C36" s="1" t="str">
        <v>Vendor</v>
      </c>
      <c r="D36" s="1" t="str">
        <v>Tax Identification</v>
      </c>
      <c r="E36" s="1" t="str">
        <v>Invalid PAN format is rejected</v>
      </c>
      <c r="F36" s="1" t="str">
        <v>BR-VEN-04</v>
      </c>
    </row>
    <row r="37">
      <c r="A37" s="1" t="str">
        <v>Critical</v>
      </c>
      <c r="B37" s="1" t="str">
        <v>VEN-012</v>
      </c>
      <c r="C37" s="1" t="str">
        <v>Vendor</v>
      </c>
      <c r="D37" s="1" t="str">
        <v>Tax Identification</v>
      </c>
      <c r="E37" s="1" t="str">
        <v>Duplicate PAN across two vendors is blocked</v>
      </c>
      <c r="F37" s="1" t="str">
        <v>BR-VEN-05</v>
      </c>
    </row>
    <row r="38">
      <c r="A38" s="1" t="str">
        <v>Critical</v>
      </c>
      <c r="B38" s="1" t="str">
        <v>VEN-017</v>
      </c>
      <c r="C38" s="1" t="str">
        <v>Vendor</v>
      </c>
      <c r="D38" s="1" t="str">
        <v>Address Table</v>
      </c>
      <c r="E38" s="1" t="str">
        <v>Add single address row to Vendor</v>
      </c>
      <c r="F38" s="1" t="str">
        <v>BR-VEN-07</v>
      </c>
    </row>
    <row r="39">
      <c r="A39" s="1" t="str">
        <v>Critical</v>
      </c>
      <c r="B39" s="1" t="str">
        <v>VEN-023</v>
      </c>
      <c r="C39" s="1" t="str">
        <v>Vendor</v>
      </c>
      <c r="D39" s="1" t="str">
        <v>Address Table</v>
      </c>
      <c r="E39" s="1" t="str">
        <v>Address row GST No is validated and accepted</v>
      </c>
      <c r="F39" s="1" t="str">
        <v>BR-VEN-08</v>
      </c>
    </row>
    <row r="40">
      <c r="A40" s="1" t="str">
        <v>Critical</v>
      </c>
      <c r="B40" s="1" t="str">
        <v>VEN-024</v>
      </c>
      <c r="C40" s="1" t="str">
        <v>Vendor</v>
      </c>
      <c r="D40" s="1" t="str">
        <v>Address Table</v>
      </c>
      <c r="E40" s="1" t="str">
        <v>Invalid GST No in address row is rejected</v>
      </c>
      <c r="F40" s="1" t="str">
        <v>BR-VEN-08</v>
      </c>
    </row>
    <row r="41">
      <c r="A41" s="1" t="str">
        <v>Critical</v>
      </c>
      <c r="B41" s="1" t="str">
        <v>VEN-026</v>
      </c>
      <c r="C41" s="1" t="str">
        <v>Vendor</v>
      </c>
      <c r="D41" s="1" t="str">
        <v>Address Table</v>
      </c>
      <c r="E41" s="1" t="str">
        <v>Duplicate GST No across address rows is blocked</v>
      </c>
      <c r="F41" s="1" t="str">
        <v>BR-VEN-09</v>
      </c>
    </row>
    <row r="42">
      <c r="A42" s="1" t="str">
        <v>Critical</v>
      </c>
      <c r="B42" s="1" t="str">
        <v>VEN-027</v>
      </c>
      <c r="C42" s="1" t="str">
        <v>Vendor</v>
      </c>
      <c r="D42" s="1" t="str">
        <v>Data Validation</v>
      </c>
      <c r="E42" s="1" t="str">
        <v>Vendor cannot be saved without Vendor Name</v>
      </c>
      <c r="F42" s="1" t="str">
        <v>BR-VEN-01</v>
      </c>
    </row>
    <row r="43">
      <c r="A43" s="1" t="str">
        <v>Critical</v>
      </c>
      <c r="B43" s="1" t="str">
        <v>VEN-036</v>
      </c>
      <c r="C43" s="1" t="str">
        <v>Vendor</v>
      </c>
      <c r="D43" s="1" t="str">
        <v>Form Actions</v>
      </c>
      <c r="E43" s="1" t="str">
        <v>Save Vendor successfully</v>
      </c>
      <c r="F43" s="1" t="str">
        <v>BR-VEN-01</v>
      </c>
    </row>
    <row r="44">
      <c r="A44" s="1" t="str">
        <v>Critical</v>
      </c>
      <c r="B44" s="1" t="str">
        <v>ATT-001</v>
      </c>
      <c r="C44" s="1" t="str">
        <v>Attendance</v>
      </c>
      <c r="D44" s="1" t="str">
        <v>Attendance Creation &amp; Basic Details</v>
      </c>
      <c r="E44" s="1" t="str">
        <v>Create Attendance with mandatory fields only (Employee, Status, Attendance Date)</v>
      </c>
      <c r="F44" s="1" t="str">
        <v>BR-ATT-01</v>
      </c>
    </row>
    <row r="45">
      <c r="A45" s="1" t="str">
        <v>Critical</v>
      </c>
      <c r="B45" s="1" t="str">
        <v>ATT-002</v>
      </c>
      <c r="C45" s="1" t="str">
        <v>Attendance</v>
      </c>
      <c r="D45" s="1" t="str">
        <v>Attendance Creation &amp; Basic Details</v>
      </c>
      <c r="E45" s="1" t="str">
        <v>Create Attendance with all basic fields (Employee, Status, Date, Company, Shift)</v>
      </c>
      <c r="F45" s="1" t="str">
        <v>BR-ATT-01, BR-ATT-02</v>
      </c>
    </row>
    <row r="46">
      <c r="A46" s="1" t="str">
        <v>Critical</v>
      </c>
      <c r="B46" s="1" t="str">
        <v>ATT-003</v>
      </c>
      <c r="C46" s="1" t="str">
        <v>Attendance</v>
      </c>
      <c r="D46" s="1" t="str">
        <v>Attendance Creation &amp; Basic Details</v>
      </c>
      <c r="E46" s="1" t="str">
        <v>Create Attendance with Status as Present</v>
      </c>
      <c r="F46" s="1" t="str">
        <v>BR-ATT-03</v>
      </c>
    </row>
    <row r="47">
      <c r="A47" s="1" t="str">
        <v>Critical</v>
      </c>
      <c r="B47" s="1" t="str">
        <v>ATT-004</v>
      </c>
      <c r="C47" s="1" t="str">
        <v>Attendance</v>
      </c>
      <c r="D47" s="1" t="str">
        <v>Attendance Creation &amp; Basic Details</v>
      </c>
      <c r="E47" s="1" t="str">
        <v>Create Attendance with Status as Absent</v>
      </c>
      <c r="F47" s="1" t="str">
        <v>BR-ATT-03</v>
      </c>
    </row>
    <row r="48">
      <c r="A48" s="1" t="str">
        <v>Critical</v>
      </c>
      <c r="B48" s="1" t="str">
        <v>ATT-007</v>
      </c>
      <c r="C48" s="1" t="str">
        <v>Attendance</v>
      </c>
      <c r="D48" s="1" t="str">
        <v>Series &amp; Auto-generation</v>
      </c>
      <c r="E48" s="1" t="str">
        <v>Series field is auto-generated in format HR-ATT-.YYYY.-</v>
      </c>
      <c r="F48" s="1" t="str">
        <v>BR-ATT-04</v>
      </c>
    </row>
    <row r="49">
      <c r="A49" s="1" t="str">
        <v>Critical</v>
      </c>
      <c r="B49" s="1" t="str">
        <v>ATT-009</v>
      </c>
      <c r="C49" s="1" t="str">
        <v>Attendance</v>
      </c>
      <c r="D49" s="1" t="str">
        <v>Series &amp; Auto-generation</v>
      </c>
      <c r="E49" s="1" t="str">
        <v>Unique Series is generated for each attendance record</v>
      </c>
      <c r="F49" s="1" t="str">
        <v>BR-ATT-04</v>
      </c>
    </row>
    <row r="50">
      <c r="A50" s="1" t="str">
        <v>Critical</v>
      </c>
      <c r="B50" s="1" t="str">
        <v>ATT-010</v>
      </c>
      <c r="C50" s="1" t="str">
        <v>Attendance</v>
      </c>
      <c r="D50" s="1" t="str">
        <v>Employee Selection</v>
      </c>
      <c r="E50" s="1" t="str">
        <v>Valid employee can be selected from dropdown</v>
      </c>
      <c r="F50" s="1" t="str">
        <v>BR-ATT-05</v>
      </c>
    </row>
    <row r="51">
      <c r="A51" s="1" t="str">
        <v>Critical</v>
      </c>
      <c r="B51" s="1" t="str">
        <v>ATT-011</v>
      </c>
      <c r="C51" s="1" t="str">
        <v>Attendance</v>
      </c>
      <c r="D51" s="1" t="str">
        <v>Employee Selection</v>
      </c>
      <c r="E51" s="1" t="str">
        <v>Invalid/non-existent employee is rejected</v>
      </c>
      <c r="F51" s="1" t="str">
        <v>BR-ATT-05</v>
      </c>
    </row>
    <row r="52">
      <c r="A52" s="1" t="str">
        <v>Critical</v>
      </c>
      <c r="B52" s="1" t="str">
        <v>ATT-012</v>
      </c>
      <c r="C52" s="1" t="str">
        <v>Attendance</v>
      </c>
      <c r="D52" s="1" t="str">
        <v>Employee Selection</v>
      </c>
      <c r="E52" s="1" t="str">
        <v>Employee field is mandatory and cannot be left blank</v>
      </c>
      <c r="F52" s="1" t="str">
        <v>BR-ATT-05</v>
      </c>
    </row>
    <row r="53">
      <c r="A53" s="1" t="str">
        <v>Critical</v>
      </c>
      <c r="B53" s="1" t="str">
        <v>ATT-013</v>
      </c>
      <c r="C53" s="1" t="str">
        <v>Attendance</v>
      </c>
      <c r="D53" s="1" t="str">
        <v>Employee Selection</v>
      </c>
      <c r="E53" s="1" t="str">
        <v>Duplicate attendance for same employee on same date is blocked</v>
      </c>
      <c r="F53" s="1" t="str">
        <v>BR-ATT-06</v>
      </c>
    </row>
    <row r="54">
      <c r="A54" s="1" t="str">
        <v>Critical</v>
      </c>
      <c r="B54" s="1" t="str">
        <v>ATT-014</v>
      </c>
      <c r="C54" s="1" t="str">
        <v>Attendance</v>
      </c>
      <c r="D54" s="1" t="str">
        <v>Attendance Date</v>
      </c>
      <c r="E54" s="1" t="str">
        <v>Valid attendance date is accepted</v>
      </c>
      <c r="F54" s="1" t="str">
        <v>BR-ATT-07</v>
      </c>
    </row>
    <row r="55">
      <c r="A55" s="1" t="str">
        <v>Critical</v>
      </c>
      <c r="B55" s="1" t="str">
        <v>ATT-015</v>
      </c>
      <c r="C55" s="1" t="str">
        <v>Attendance</v>
      </c>
      <c r="D55" s="1" t="str">
        <v>Attendance Date</v>
      </c>
      <c r="E55" s="1" t="str">
        <v>Attendance Date cannot be left blank (mandatory)</v>
      </c>
      <c r="F55" s="1" t="str">
        <v>BR-ATT-07</v>
      </c>
    </row>
    <row r="56">
      <c r="A56" s="1" t="str">
        <v>Critical</v>
      </c>
      <c r="B56" s="1" t="str">
        <v>ATT-018</v>
      </c>
      <c r="C56" s="1" t="str">
        <v>Attendance</v>
      </c>
      <c r="D56" s="1" t="str">
        <v>Attendance Date</v>
      </c>
      <c r="E56" s="1" t="str">
        <v>Invalid date format is rejected</v>
      </c>
      <c r="F56" s="1" t="str">
        <v>BR-ATT-07</v>
      </c>
    </row>
    <row r="57">
      <c r="A57" s="1" t="str">
        <v>Critical</v>
      </c>
      <c r="B57" s="1" t="str">
        <v>ATT-020</v>
      </c>
      <c r="C57" s="1" t="str">
        <v>Attendance</v>
      </c>
      <c r="D57" s="1" t="str">
        <v>Status Management</v>
      </c>
      <c r="E57" s="1" t="str">
        <v>Status cannot be left blank (mandatory)</v>
      </c>
      <c r="F57" s="1" t="str">
        <v>BR-ATT-03</v>
      </c>
    </row>
    <row r="58">
      <c r="A58" s="1" t="str">
        <v>Critical</v>
      </c>
      <c r="B58" s="1" t="str">
        <v>ATT-031</v>
      </c>
      <c r="C58" s="1" t="str">
        <v>Attendance</v>
      </c>
      <c r="D58" s="1" t="str">
        <v>Late Entry Tracking</v>
      </c>
      <c r="E58" s="1" t="str">
        <v>Late Entry with Present status is valid</v>
      </c>
      <c r="F58" s="1" t="str">
        <v>BR-ATT-10</v>
      </c>
    </row>
    <row r="59">
      <c r="A59" s="1" t="str">
        <v>Critical</v>
      </c>
      <c r="B59" s="1" t="str">
        <v>ATT-032</v>
      </c>
      <c r="C59" s="1" t="str">
        <v>Attendance</v>
      </c>
      <c r="D59" s="1" t="str">
        <v>Late Entry Tracking</v>
      </c>
      <c r="E59" s="1" t="str">
        <v>Late Entry with Absent status is invalid</v>
      </c>
      <c r="F59" s="1" t="str">
        <v>BR-ATT-10</v>
      </c>
    </row>
    <row r="60">
      <c r="A60" s="1" t="str">
        <v>Critical</v>
      </c>
      <c r="B60" s="1" t="str">
        <v>ATT-036</v>
      </c>
      <c r="C60" s="1" t="str">
        <v>Attendance</v>
      </c>
      <c r="D60" s="1" t="str">
        <v>Early Exit Tracking</v>
      </c>
      <c r="E60" s="1" t="str">
        <v>Early Exit with Present status is valid</v>
      </c>
      <c r="F60" s="1" t="str">
        <v>BR-ATT-11</v>
      </c>
    </row>
    <row r="61">
      <c r="A61" s="1" t="str">
        <v>Critical</v>
      </c>
      <c r="B61" s="1" t="str">
        <v>ATT-037</v>
      </c>
      <c r="C61" s="1" t="str">
        <v>Attendance</v>
      </c>
      <c r="D61" s="1" t="str">
        <v>Early Exit Tracking</v>
      </c>
      <c r="E61" s="1" t="str">
        <v>Early Exit with Absent status is invalid</v>
      </c>
      <c r="F61" s="1" t="str">
        <v>BR-ATT-11</v>
      </c>
    </row>
    <row r="62">
      <c r="A62" s="1" t="str">
        <v>Critical</v>
      </c>
      <c r="B62" s="1" t="str">
        <v>ATT-040</v>
      </c>
      <c r="C62" s="1" t="str">
        <v>Attendance</v>
      </c>
      <c r="D62" s="1" t="str">
        <v>Late Entry &amp; Early Exit Combination</v>
      </c>
      <c r="E62" s="1" t="str">
        <v>Both Late Entry and Early Exit cannot be checked with Absent status</v>
      </c>
      <c r="F62" s="1" t="str">
        <v>BR-ATT-12</v>
      </c>
    </row>
    <row r="63">
      <c r="A63" s="1" t="str">
        <v>Critical</v>
      </c>
      <c r="B63" s="1" t="str">
        <v>ATT-041</v>
      </c>
      <c r="C63" s="1" t="str">
        <v>Attendance</v>
      </c>
      <c r="D63" s="1" t="str">
        <v>Data Validation</v>
      </c>
      <c r="E63" s="1" t="str">
        <v>Attendance cannot be saved without Employee</v>
      </c>
      <c r="F63" s="1" t="str">
        <v>BR-ATT-05</v>
      </c>
    </row>
    <row r="64">
      <c r="A64" s="1" t="str">
        <v>Critical</v>
      </c>
      <c r="B64" s="1" t="str">
        <v>ATT-042</v>
      </c>
      <c r="C64" s="1" t="str">
        <v>Attendance</v>
      </c>
      <c r="D64" s="1" t="str">
        <v>Data Validation</v>
      </c>
      <c r="E64" s="1" t="str">
        <v>Attendance cannot be saved without Status</v>
      </c>
      <c r="F64" s="1" t="str">
        <v>BR-ATT-03</v>
      </c>
    </row>
    <row r="65">
      <c r="A65" s="1" t="str">
        <v>Critical</v>
      </c>
      <c r="B65" s="1" t="str">
        <v>ATT-043</v>
      </c>
      <c r="C65" s="1" t="str">
        <v>Attendance</v>
      </c>
      <c r="D65" s="1" t="str">
        <v>Data Validation</v>
      </c>
      <c r="E65" s="1" t="str">
        <v>Attendance cannot be saved without Attendance Date</v>
      </c>
      <c r="F65" s="1" t="str">
        <v>BR-ATT-07</v>
      </c>
    </row>
    <row r="66">
      <c r="A66" s="1" t="str">
        <v>Critical</v>
      </c>
      <c r="B66" s="1" t="str">
        <v>ATT-050</v>
      </c>
      <c r="C66" s="1" t="str">
        <v>Attendance</v>
      </c>
      <c r="D66" s="1" t="str">
        <v>Form Actions</v>
      </c>
      <c r="E66" s="1" t="str">
        <v>Save Attendance successfully</v>
      </c>
      <c r="F66" s="1" t="str">
        <v>BR-ATT-01</v>
      </c>
    </row>
    <row r="67">
      <c r="A67" s="1" t="str">
        <v>Critical</v>
      </c>
      <c r="B67" s="1" t="str">
        <v>EXP-001</v>
      </c>
      <c r="C67" s="1" t="str">
        <v>Expense Claim</v>
      </c>
      <c r="D67" s="1" t="str">
        <v>Expense Claim Creation &amp; Basic Details</v>
      </c>
      <c r="E67" s="1" t="str">
        <v>Create Expense Claim with mandatory fields only (From Employee, Expense Approver)</v>
      </c>
      <c r="F67" s="1" t="str">
        <v>BR-EXP-01</v>
      </c>
    </row>
    <row r="68">
      <c r="A68" s="1" t="str">
        <v>Critical</v>
      </c>
      <c r="B68" s="1" t="str">
        <v>EXP-002</v>
      </c>
      <c r="C68" s="1" t="str">
        <v>Expense Claim</v>
      </c>
      <c r="D68" s="1" t="str">
        <v>Expense Claim Creation &amp; Basic Details</v>
      </c>
      <c r="E68" s="1" t="str">
        <v>Create Expense Claim with all basic fields (Employee, Department, Company, Approver)</v>
      </c>
      <c r="F68" s="1" t="str">
        <v>BR-EXP-01, BR-EXP-02</v>
      </c>
    </row>
    <row r="69">
      <c r="A69" s="1" t="str">
        <v>Critical</v>
      </c>
      <c r="B69" s="1" t="str">
        <v>EXP-003</v>
      </c>
      <c r="C69" s="1" t="str">
        <v>Expense Claim</v>
      </c>
      <c r="D69" s="1" t="str">
        <v>Series &amp; Auto-generation</v>
      </c>
      <c r="E69" s="1" t="str">
        <v>Series field is auto-generated in format HR-EXP-.YYYY.-</v>
      </c>
      <c r="F69" s="1" t="str">
        <v>BR-EXP-03</v>
      </c>
    </row>
    <row r="70">
      <c r="A70" s="1" t="str">
        <v>Critical</v>
      </c>
      <c r="B70" s="1" t="str">
        <v>EXP-005</v>
      </c>
      <c r="C70" s="1" t="str">
        <v>Expense Claim</v>
      </c>
      <c r="D70" s="1" t="str">
        <v>Series &amp; Auto-generation</v>
      </c>
      <c r="E70" s="1" t="str">
        <v>Unique Series is generated for each expense claim record</v>
      </c>
      <c r="F70" s="1" t="str">
        <v>BR-EXP-03</v>
      </c>
    </row>
    <row r="71">
      <c r="A71" s="1" t="str">
        <v>Critical</v>
      </c>
      <c r="B71" s="1" t="str">
        <v>EXP-006</v>
      </c>
      <c r="C71" s="1" t="str">
        <v>Expense Claim</v>
      </c>
      <c r="D71" s="1" t="str">
        <v>Employee Selection</v>
      </c>
      <c r="E71" s="1" t="str">
        <v>Valid employee can be selected in From Employee field</v>
      </c>
      <c r="F71" s="1" t="str">
        <v>BR-EXP-04</v>
      </c>
    </row>
    <row r="72">
      <c r="A72" s="1" t="str">
        <v>Critical</v>
      </c>
      <c r="B72" s="1" t="str">
        <v>EXP-007</v>
      </c>
      <c r="C72" s="1" t="str">
        <v>Expense Claim</v>
      </c>
      <c r="D72" s="1" t="str">
        <v>Employee Selection</v>
      </c>
      <c r="E72" s="1" t="str">
        <v>Invalid/non-existent employee is rejected</v>
      </c>
      <c r="F72" s="1" t="str">
        <v>BR-EXP-04</v>
      </c>
    </row>
    <row r="73">
      <c r="A73" s="1" t="str">
        <v>Critical</v>
      </c>
      <c r="B73" s="1" t="str">
        <v>EXP-008</v>
      </c>
      <c r="C73" s="1" t="str">
        <v>Expense Claim</v>
      </c>
      <c r="D73" s="1" t="str">
        <v>Employee Selection</v>
      </c>
      <c r="E73" s="1" t="str">
        <v>From Employee field is mandatory and cannot be left blank</v>
      </c>
      <c r="F73" s="1" t="str">
        <v>BR-EXP-04</v>
      </c>
    </row>
    <row r="74">
      <c r="A74" s="1" t="str">
        <v>Critical</v>
      </c>
      <c r="B74" s="1" t="str">
        <v>EXP-010</v>
      </c>
      <c r="C74" s="1" t="str">
        <v>Expense Claim</v>
      </c>
      <c r="D74" s="1" t="str">
        <v>Company Details</v>
      </c>
      <c r="E74" s="1" t="str">
        <v>Valid company is selected and displayed</v>
      </c>
      <c r="F74" s="1" t="str">
        <v>BR-EXP-05</v>
      </c>
    </row>
    <row r="75">
      <c r="A75" s="1" t="str">
        <v>Critical</v>
      </c>
      <c r="B75" s="1" t="str">
        <v>EXP-011</v>
      </c>
      <c r="C75" s="1" t="str">
        <v>Expense Claim</v>
      </c>
      <c r="D75" s="1" t="str">
        <v>Company Details</v>
      </c>
      <c r="E75" s="1" t="str">
        <v>Company field is mandatory</v>
      </c>
      <c r="F75" s="1" t="str">
        <v>BR-EXP-05</v>
      </c>
    </row>
    <row r="76">
      <c r="A76" s="1" t="str">
        <v>Critical</v>
      </c>
      <c r="B76" s="1" t="str">
        <v>EXP-014</v>
      </c>
      <c r="C76" s="1" t="str">
        <v>Expense Claim</v>
      </c>
      <c r="D76" s="1" t="str">
        <v>Expense Approver</v>
      </c>
      <c r="E76" s="1" t="str">
        <v>Valid expense approver can be selected</v>
      </c>
      <c r="F76" s="1" t="str">
        <v>BR-EXP-06</v>
      </c>
    </row>
    <row r="77">
      <c r="A77" s="1" t="str">
        <v>Critical</v>
      </c>
      <c r="B77" s="1" t="str">
        <v>EXP-015</v>
      </c>
      <c r="C77" s="1" t="str">
        <v>Expense Claim</v>
      </c>
      <c r="D77" s="1" t="str">
        <v>Expense Approver</v>
      </c>
      <c r="E77" s="1" t="str">
        <v>Invalid approver is rejected</v>
      </c>
      <c r="F77" s="1" t="str">
        <v>BR-EXP-06</v>
      </c>
    </row>
    <row r="78">
      <c r="A78" s="1" t="str">
        <v>Critical</v>
      </c>
      <c r="B78" s="1" t="str">
        <v>EXP-016</v>
      </c>
      <c r="C78" s="1" t="str">
        <v>Expense Claim</v>
      </c>
      <c r="D78" s="1" t="str">
        <v>Expense Approver</v>
      </c>
      <c r="E78" s="1" t="str">
        <v>Expense Approver field is mandatory</v>
      </c>
      <c r="F78" s="1" t="str">
        <v>BR-EXP-06</v>
      </c>
    </row>
    <row r="79">
      <c r="A79" s="1" t="str">
        <v>Critical</v>
      </c>
      <c r="B79" s="1" t="str">
        <v>EXP-017</v>
      </c>
      <c r="C79" s="1" t="str">
        <v>Expense Claim</v>
      </c>
      <c r="D79" s="1" t="str">
        <v>Approval Status</v>
      </c>
      <c r="E79" s="1" t="str">
        <v>Approval Status defaults to Draft on creation</v>
      </c>
      <c r="F79" s="1" t="str">
        <v>BR-EXP-07</v>
      </c>
    </row>
    <row r="80">
      <c r="A80" s="1" t="str">
        <v>Critical</v>
      </c>
      <c r="B80" s="1" t="str">
        <v>EXP-018</v>
      </c>
      <c r="C80" s="1" t="str">
        <v>Expense Claim</v>
      </c>
      <c r="D80" s="1" t="str">
        <v>Approval Status</v>
      </c>
      <c r="E80" s="1" t="str">
        <v>Approval Status can be changed to Approved</v>
      </c>
      <c r="F80" s="1" t="str">
        <v>BR-EXP-07</v>
      </c>
    </row>
    <row r="81">
      <c r="A81" s="1" t="str">
        <v>Critical</v>
      </c>
      <c r="B81" s="1" t="str">
        <v>EXP-019</v>
      </c>
      <c r="C81" s="1" t="str">
        <v>Expense Claim</v>
      </c>
      <c r="D81" s="1" t="str">
        <v>Approval Status</v>
      </c>
      <c r="E81" s="1" t="str">
        <v>Approval Status can be changed to Rejected</v>
      </c>
      <c r="F81" s="1" t="str">
        <v>BR-EXP-07</v>
      </c>
    </row>
    <row r="82">
      <c r="A82" s="1" t="str">
        <v>Critical</v>
      </c>
      <c r="B82" s="1" t="str">
        <v>EXP-021</v>
      </c>
      <c r="C82" s="1" t="str">
        <v>Expense Claim</v>
      </c>
      <c r="D82" s="1" t="str">
        <v>Expenses Table</v>
      </c>
      <c r="E82" s="1" t="str">
        <v>Add single expense row to claim</v>
      </c>
      <c r="F82" s="1" t="str">
        <v>BR-EXP-08</v>
      </c>
    </row>
    <row r="83">
      <c r="A83" s="1" t="str">
        <v>Critical</v>
      </c>
      <c r="B83" s="1" t="str">
        <v>EXP-024</v>
      </c>
      <c r="C83" s="1" t="str">
        <v>Expense Claim</v>
      </c>
      <c r="D83" s="1" t="str">
        <v>Expenses Table</v>
      </c>
      <c r="E83" s="1" t="str">
        <v>Expense Date is populated and validated</v>
      </c>
      <c r="F83" s="1" t="str">
        <v>BR-EXP-08</v>
      </c>
    </row>
    <row r="84">
      <c r="A84" s="1" t="str">
        <v>Critical</v>
      </c>
      <c r="B84" s="1" t="str">
        <v>EXP-026</v>
      </c>
      <c r="C84" s="1" t="str">
        <v>Expense Claim</v>
      </c>
      <c r="D84" s="1" t="str">
        <v>Expenses Table</v>
      </c>
      <c r="E84" s="1" t="str">
        <v>Expense Claim Type field is mandatory</v>
      </c>
      <c r="F84" s="1" t="str">
        <v>BR-EXP-09</v>
      </c>
    </row>
    <row r="85">
      <c r="A85" s="1" t="str">
        <v>Critical</v>
      </c>
      <c r="B85" s="1" t="str">
        <v>EXP-028</v>
      </c>
      <c r="C85" s="1" t="str">
        <v>Expense Claim</v>
      </c>
      <c r="D85" s="1" t="str">
        <v>Expenses Table</v>
      </c>
      <c r="E85" s="1" t="str">
        <v>Amount field is mandatory</v>
      </c>
      <c r="F85" s="1" t="str">
        <v>BR-EXP-08</v>
      </c>
    </row>
    <row r="86">
      <c r="A86" s="1" t="str">
        <v>Critical</v>
      </c>
      <c r="B86" s="1" t="str">
        <v>EXP-030</v>
      </c>
      <c r="C86" s="1" t="str">
        <v>Expense Claim</v>
      </c>
      <c r="D86" s="1" t="str">
        <v>Expenses Table</v>
      </c>
      <c r="E86" s="1" t="str">
        <v>Negative amount is rejected</v>
      </c>
      <c r="F86" s="1" t="str">
        <v>BR-EXP-08</v>
      </c>
    </row>
    <row r="87">
      <c r="A87" s="1" t="str">
        <v>Critical</v>
      </c>
      <c r="B87" s="1" t="str">
        <v>EXP-032</v>
      </c>
      <c r="C87" s="1" t="str">
        <v>Expense Claim</v>
      </c>
      <c r="D87" s="1" t="str">
        <v>Expenses Table</v>
      </c>
      <c r="E87" s="1" t="str">
        <v>Sanctioned Amount cannot exceed Amount</v>
      </c>
      <c r="F87" s="1" t="str">
        <v>BR-EXP-10</v>
      </c>
    </row>
    <row r="88">
      <c r="A88" s="1" t="str">
        <v>Critical</v>
      </c>
      <c r="B88" s="1" t="str">
        <v>EXP-033</v>
      </c>
      <c r="C88" s="1" t="str">
        <v>Expense Claim</v>
      </c>
      <c r="D88" s="1" t="str">
        <v>Expenses Table</v>
      </c>
      <c r="E88" s="1" t="str">
        <v>Total claim amount is calculated from all expense rows</v>
      </c>
      <c r="F88" s="1" t="str">
        <v>BR-EXP-11</v>
      </c>
    </row>
    <row r="89">
      <c r="A89" s="1" t="str">
        <v>Critical</v>
      </c>
      <c r="B89" s="1" t="str">
        <v>EXP-037</v>
      </c>
      <c r="C89" s="1" t="str">
        <v>Expense Claim</v>
      </c>
      <c r="D89" s="1" t="str">
        <v>Taxes &amp; Charges</v>
      </c>
      <c r="E89" s="1" t="str">
        <v>Tax Account Head is mandatory in tax row</v>
      </c>
      <c r="F89" s="1" t="str">
        <v>BR-EXP-12</v>
      </c>
    </row>
    <row r="90">
      <c r="A90" s="1" t="str">
        <v>Critical</v>
      </c>
      <c r="B90" s="1" t="str">
        <v>EXP-038</v>
      </c>
      <c r="C90" s="1" t="str">
        <v>Expense Claim</v>
      </c>
      <c r="D90" s="1" t="str">
        <v>Taxes &amp; Charges</v>
      </c>
      <c r="E90" s="1" t="str">
        <v>Tax Amount is mandatory in tax row</v>
      </c>
      <c r="F90" s="1" t="str">
        <v>BR-EXP-12</v>
      </c>
    </row>
    <row r="91">
      <c r="A91" s="1" t="str">
        <v>Critical</v>
      </c>
      <c r="B91" s="1" t="str">
        <v>EXP-039</v>
      </c>
      <c r="C91" s="1" t="str">
        <v>Expense Claim</v>
      </c>
      <c r="D91" s="1" t="str">
        <v>Taxes &amp; Charges</v>
      </c>
      <c r="E91" s="1" t="str">
        <v>Total taxes calculated correctly from all tax rows</v>
      </c>
      <c r="F91" s="1" t="str">
        <v>BR-EXP-12</v>
      </c>
    </row>
    <row r="92">
      <c r="A92" s="1" t="str">
        <v>Critical</v>
      </c>
      <c r="B92" s="1" t="str">
        <v>EXP-040</v>
      </c>
      <c r="C92" s="1" t="str">
        <v>Expense Claim</v>
      </c>
      <c r="D92" s="1" t="str">
        <v>Taxes &amp; Charges</v>
      </c>
      <c r="E92" s="1" t="str">
        <v>Grand Total includes taxes and sanctioned amount</v>
      </c>
      <c r="F92" s="1" t="str">
        <v>BR-EXP-11, BR-EXP-12</v>
      </c>
    </row>
    <row r="93">
      <c r="A93" s="1" t="str">
        <v>Critical</v>
      </c>
      <c r="B93" s="1" t="str">
        <v>EXP-043</v>
      </c>
      <c r="C93" s="1" t="str">
        <v>Expense Claim</v>
      </c>
      <c r="D93" s="1" t="str">
        <v>Accounting Details</v>
      </c>
      <c r="E93" s="1" t="str">
        <v>Payable Account is auto-populated</v>
      </c>
      <c r="F93" s="1" t="str">
        <v>BR-EXP-13</v>
      </c>
    </row>
    <row r="94">
      <c r="A94" s="1" t="str">
        <v>Critical</v>
      </c>
      <c r="B94" s="1" t="str">
        <v>EXP-047</v>
      </c>
      <c r="C94" s="1" t="str">
        <v>Expense Claim</v>
      </c>
      <c r="D94" s="1" t="str">
        <v>Data Validation</v>
      </c>
      <c r="E94" s="1" t="str">
        <v>Expense Claim cannot be saved without From Employee</v>
      </c>
      <c r="F94" s="1" t="str">
        <v>BR-EXP-04</v>
      </c>
    </row>
    <row r="95">
      <c r="A95" s="1" t="str">
        <v>Critical</v>
      </c>
      <c r="B95" s="1" t="str">
        <v>EXP-048</v>
      </c>
      <c r="C95" s="1" t="str">
        <v>Expense Claim</v>
      </c>
      <c r="D95" s="1" t="str">
        <v>Data Validation</v>
      </c>
      <c r="E95" s="1" t="str">
        <v>Expense Claim cannot be saved without Company</v>
      </c>
      <c r="F95" s="1" t="str">
        <v>BR-EXP-05</v>
      </c>
    </row>
    <row r="96">
      <c r="A96" s="1" t="str">
        <v>Critical</v>
      </c>
      <c r="B96" s="1" t="str">
        <v>EXP-049</v>
      </c>
      <c r="C96" s="1" t="str">
        <v>Expense Claim</v>
      </c>
      <c r="D96" s="1" t="str">
        <v>Data Validation</v>
      </c>
      <c r="E96" s="1" t="str">
        <v>Expense Claim cannot be saved without Expense Approver</v>
      </c>
      <c r="F96" s="1" t="str">
        <v>BR-EXP-06</v>
      </c>
    </row>
    <row r="97">
      <c r="A97" s="1" t="str">
        <v>Critical</v>
      </c>
      <c r="B97" s="1" t="str">
        <v>EXP-050</v>
      </c>
      <c r="C97" s="1" t="str">
        <v>Expense Claim</v>
      </c>
      <c r="D97" s="1" t="str">
        <v>Data Validation</v>
      </c>
      <c r="E97" s="1" t="str">
        <v>Expense Claim cannot be submitted without expense rows</v>
      </c>
      <c r="F97" s="1" t="str">
        <v>BR-EXP-08</v>
      </c>
    </row>
    <row r="98">
      <c r="A98" s="1" t="str">
        <v>Critical</v>
      </c>
      <c r="B98" s="1" t="str">
        <v>EXP-054</v>
      </c>
      <c r="C98" s="1" t="str">
        <v>Expense Claim</v>
      </c>
      <c r="D98" s="1" t="str">
        <v>Editing &amp; Updates</v>
      </c>
      <c r="E98" s="1" t="str">
        <v>Edit is restricted after Approval Status is Approved</v>
      </c>
      <c r="F98" s="1" t="str">
        <v>BR-EXP-07</v>
      </c>
    </row>
    <row r="99">
      <c r="A99" s="1" t="str">
        <v>Critical</v>
      </c>
      <c r="B99" s="1" t="str">
        <v>EXP-055</v>
      </c>
      <c r="C99" s="1" t="str">
        <v>Expense Claim</v>
      </c>
      <c r="D99" s="1" t="str">
        <v>Form Actions</v>
      </c>
      <c r="E99" s="1" t="str">
        <v>Save Expense Claim successfully</v>
      </c>
      <c r="F99" s="1" t="str">
        <v>BR-EXP-01</v>
      </c>
    </row>
    <row r="100">
      <c r="A100" s="1" t="str">
        <v>Critical</v>
      </c>
      <c r="B100" s="1" t="str">
        <v>EXP-056</v>
      </c>
      <c r="C100" s="1" t="str">
        <v>Expense Claim</v>
      </c>
      <c r="D100" s="1" t="str">
        <v>Form Actions</v>
      </c>
      <c r="E100" s="1" t="str">
        <v>Submit Expense Claim successfully</v>
      </c>
      <c r="F100" s="1" t="str">
        <v>BR-EXP-16</v>
      </c>
    </row>
    <row r="101">
      <c r="A101" s="1" t="str">
        <v>Critical</v>
      </c>
      <c r="B101" s="1" t="str">
        <v>EXP-060</v>
      </c>
      <c r="C101" s="1" t="str">
        <v>Expense Claim</v>
      </c>
      <c r="D101" s="1" t="str">
        <v>Form Actions</v>
      </c>
      <c r="E101" s="1" t="str">
        <v>Cancel submitted Expense Claim</v>
      </c>
      <c r="F101" s="1" t="str">
        <v>BR-EXP-16</v>
      </c>
    </row>
    <row r="102">
      <c r="A102" s="1" t="str">
        <v>Critical</v>
      </c>
      <c r="B102" s="1" t="str">
        <v>LEA-001</v>
      </c>
      <c r="C102" s="1" t="str">
        <v>Leave Application</v>
      </c>
      <c r="D102" s="1" t="str">
        <v>Leave Application Creation &amp; Basic Details</v>
      </c>
      <c r="E102" s="1" t="str">
        <v>Create Leave Application with mandatory fields only (Employee, Leave Type, From Date, To Date)</v>
      </c>
      <c r="F102" s="1" t="str">
        <v>BR-LEA-01</v>
      </c>
    </row>
    <row r="103">
      <c r="A103" s="1" t="str">
        <v>Critical</v>
      </c>
      <c r="B103" s="1" t="str">
        <v>LEA-002</v>
      </c>
      <c r="C103" s="1" t="str">
        <v>Leave Application</v>
      </c>
      <c r="D103" s="1" t="str">
        <v>Leave Application Creation &amp; Basic Details</v>
      </c>
      <c r="E103" s="1" t="str">
        <v>Create Leave Application with all basic fields (Employee, Leave Type, Dates, Company, Approver)</v>
      </c>
      <c r="F103" s="1" t="str">
        <v>BR-LEA-01, BR-LEA-02</v>
      </c>
    </row>
    <row r="104">
      <c r="A104" s="1" t="str">
        <v>Critical</v>
      </c>
      <c r="B104" s="1" t="str">
        <v>LEA-003</v>
      </c>
      <c r="C104" s="1" t="str">
        <v>Leave Application</v>
      </c>
      <c r="D104" s="1" t="str">
        <v>Series &amp; Auto-generation</v>
      </c>
      <c r="E104" s="1" t="str">
        <v>Series field is auto-generated in format HR-LAP-.YYYY.-</v>
      </c>
      <c r="F104" s="1" t="str">
        <v>BR-LEA-03</v>
      </c>
    </row>
    <row r="105">
      <c r="A105" s="1" t="str">
        <v>Critical</v>
      </c>
      <c r="B105" s="1" t="str">
        <v>LEA-005</v>
      </c>
      <c r="C105" s="1" t="str">
        <v>Leave Application</v>
      </c>
      <c r="D105" s="1" t="str">
        <v>Series &amp; Auto-generation</v>
      </c>
      <c r="E105" s="1" t="str">
        <v>Unique Series is generated for each leave application</v>
      </c>
      <c r="F105" s="1" t="str">
        <v>BR-LEA-03</v>
      </c>
    </row>
    <row r="106">
      <c r="A106" s="1" t="str">
        <v>Critical</v>
      </c>
      <c r="B106" s="1" t="str">
        <v>LEA-006</v>
      </c>
      <c r="C106" s="1" t="str">
        <v>Leave Application</v>
      </c>
      <c r="D106" s="1" t="str">
        <v>Employee Selection</v>
      </c>
      <c r="E106" s="1" t="str">
        <v>Valid employee can be selected in Employee field</v>
      </c>
      <c r="F106" s="1" t="str">
        <v>BR-LEA-04</v>
      </c>
    </row>
    <row r="107">
      <c r="A107" s="1" t="str">
        <v>Critical</v>
      </c>
      <c r="B107" s="1" t="str">
        <v>LEA-007</v>
      </c>
      <c r="C107" s="1" t="str">
        <v>Leave Application</v>
      </c>
      <c r="D107" s="1" t="str">
        <v>Employee Selection</v>
      </c>
      <c r="E107" s="1" t="str">
        <v>Invalid/non-existent employee is rejected</v>
      </c>
      <c r="F107" s="1" t="str">
        <v>BR-LEA-04</v>
      </c>
    </row>
    <row r="108">
      <c r="A108" s="1" t="str">
        <v>Critical</v>
      </c>
      <c r="B108" s="1" t="str">
        <v>LEA-008</v>
      </c>
      <c r="C108" s="1" t="str">
        <v>Leave Application</v>
      </c>
      <c r="D108" s="1" t="str">
        <v>Employee Selection</v>
      </c>
      <c r="E108" s="1" t="str">
        <v>Employee field is mandatory and cannot be left blank</v>
      </c>
      <c r="F108" s="1" t="str">
        <v>BR-LEA-04</v>
      </c>
    </row>
    <row r="109">
      <c r="A109" s="1" t="str">
        <v>Critical</v>
      </c>
      <c r="B109" s="1" t="str">
        <v>LEA-009</v>
      </c>
      <c r="C109" s="1" t="str">
        <v>Leave Application</v>
      </c>
      <c r="D109" s="1" t="str">
        <v>Leave Type Selection</v>
      </c>
      <c r="E109" s="1" t="str">
        <v>Valid leave type can be selected from dropdown</v>
      </c>
      <c r="F109" s="1" t="str">
        <v>BR-LEA-05</v>
      </c>
    </row>
    <row r="110">
      <c r="A110" s="1" t="str">
        <v>Critical</v>
      </c>
      <c r="B110" s="1" t="str">
        <v>LEA-010</v>
      </c>
      <c r="C110" s="1" t="str">
        <v>Leave Application</v>
      </c>
      <c r="D110" s="1" t="str">
        <v>Leave Type Selection</v>
      </c>
      <c r="E110" s="1" t="str">
        <v>Leave Type field is mandatory and cannot be left blank</v>
      </c>
      <c r="F110" s="1" t="str">
        <v>BR-LEA-05</v>
      </c>
    </row>
    <row r="111">
      <c r="A111" s="1" t="str">
        <v>Critical</v>
      </c>
      <c r="B111" s="1" t="str">
        <v>LEA-012</v>
      </c>
      <c r="C111" s="1" t="str">
        <v>Leave Application</v>
      </c>
      <c r="D111" s="1" t="str">
        <v>Leave Type Selection</v>
      </c>
      <c r="E111" s="1" t="str">
        <v>Employee's leave balance is checked for selected leave type</v>
      </c>
      <c r="F111" s="1" t="str">
        <v>BR-LEA-06</v>
      </c>
    </row>
    <row r="112">
      <c r="A112" s="1" t="str">
        <v>Critical</v>
      </c>
      <c r="B112" s="1" t="str">
        <v>LEA-013</v>
      </c>
      <c r="C112" s="1" t="str">
        <v>Leave Application</v>
      </c>
      <c r="D112" s="1" t="str">
        <v>Company Details</v>
      </c>
      <c r="E112" s="1" t="str">
        <v>Valid company is selected and displayed</v>
      </c>
      <c r="F112" s="1" t="str">
        <v>BR-LEA-07</v>
      </c>
    </row>
    <row r="113">
      <c r="A113" s="1" t="str">
        <v>Critical</v>
      </c>
      <c r="B113" s="1" t="str">
        <v>LEA-014</v>
      </c>
      <c r="C113" s="1" t="str">
        <v>Leave Application</v>
      </c>
      <c r="D113" s="1" t="str">
        <v>Company Details</v>
      </c>
      <c r="E113" s="1" t="str">
        <v>Company field is mandatory</v>
      </c>
      <c r="F113" s="1" t="str">
        <v>BR-LEA-07</v>
      </c>
    </row>
    <row r="114">
      <c r="A114" s="1" t="str">
        <v>Critical</v>
      </c>
      <c r="B114" s="1" t="str">
        <v>LEA-016</v>
      </c>
      <c r="C114" s="1" t="str">
        <v>Leave Application</v>
      </c>
      <c r="D114" s="1" t="str">
        <v>Date Range</v>
      </c>
      <c r="E114" s="1" t="str">
        <v>From Date is mandatory and cannot be left blank</v>
      </c>
      <c r="F114" s="1" t="str">
        <v>BR-LEA-08</v>
      </c>
    </row>
    <row r="115">
      <c r="A115" s="1" t="str">
        <v>Critical</v>
      </c>
      <c r="B115" s="1" t="str">
        <v>LEA-017</v>
      </c>
      <c r="C115" s="1" t="str">
        <v>Leave Application</v>
      </c>
      <c r="D115" s="1" t="str">
        <v>Date Range</v>
      </c>
      <c r="E115" s="1" t="str">
        <v>To Date is mandatory and cannot be left blank</v>
      </c>
      <c r="F115" s="1" t="str">
        <v>BR-LEA-08</v>
      </c>
    </row>
    <row r="116">
      <c r="A116" s="1" t="str">
        <v>Critical</v>
      </c>
      <c r="B116" s="1" t="str">
        <v>LEA-018</v>
      </c>
      <c r="C116" s="1" t="str">
        <v>Leave Application</v>
      </c>
      <c r="D116" s="1" t="str">
        <v>Date Range</v>
      </c>
      <c r="E116" s="1" t="str">
        <v>From Date cannot be after To Date</v>
      </c>
      <c r="F116" s="1" t="str">
        <v>BR-LEA-08</v>
      </c>
    </row>
    <row r="117">
      <c r="A117" s="1" t="str">
        <v>Critical</v>
      </c>
      <c r="B117" s="1" t="str">
        <v>LEA-020</v>
      </c>
      <c r="C117" s="1" t="str">
        <v>Leave Application</v>
      </c>
      <c r="D117" s="1" t="str">
        <v>Date Range</v>
      </c>
      <c r="E117" s="1" t="str">
        <v>To Date cannot be before From Date</v>
      </c>
      <c r="F117" s="1" t="str">
        <v>BR-LEA-08</v>
      </c>
    </row>
    <row r="118">
      <c r="A118" s="1" t="str">
        <v>Critical</v>
      </c>
      <c r="B118" s="1" t="str">
        <v>LEA-021</v>
      </c>
      <c r="C118" s="1" t="str">
        <v>Leave Application</v>
      </c>
      <c r="D118" s="1" t="str">
        <v>Date Range</v>
      </c>
      <c r="E118" s="1" t="str">
        <v>Invalid date format is rejected</v>
      </c>
      <c r="F118" s="1" t="str">
        <v>BR-LEA-08</v>
      </c>
    </row>
    <row r="119">
      <c r="A119" s="1" t="str">
        <v>Critical</v>
      </c>
      <c r="B119" s="1" t="str">
        <v>LEA-022</v>
      </c>
      <c r="C119" s="1" t="str">
        <v>Leave Application</v>
      </c>
      <c r="D119" s="1" t="str">
        <v>Date Range</v>
      </c>
      <c r="E119" s="1" t="str">
        <v>Leave duration is calculated correctly (From Date to To Date)</v>
      </c>
      <c r="F119" s="1" t="str">
        <v>BR-LEA-09</v>
      </c>
    </row>
    <row r="120">
      <c r="A120" s="1" t="str">
        <v>Critical</v>
      </c>
      <c r="B120" s="1" t="str">
        <v>LEA-025</v>
      </c>
      <c r="C120" s="1" t="str">
        <v>Leave Application</v>
      </c>
      <c r="D120" s="1" t="str">
        <v>Half Day Leave</v>
      </c>
      <c r="E120" s="1" t="str">
        <v>Half Day with single date (From Date = To Date) is valid</v>
      </c>
      <c r="F120" s="1" t="str">
        <v>BR-LEA-10</v>
      </c>
    </row>
    <row r="121">
      <c r="A121" s="1" t="str">
        <v>Critical</v>
      </c>
      <c r="B121" s="1" t="str">
        <v>LEA-026</v>
      </c>
      <c r="C121" s="1" t="str">
        <v>Leave Application</v>
      </c>
      <c r="D121" s="1" t="str">
        <v>Half Day Leave</v>
      </c>
      <c r="E121" s="1" t="str">
        <v>Half Day with date range is rejected</v>
      </c>
      <c r="F121" s="1" t="str">
        <v>BR-LEA-10</v>
      </c>
    </row>
    <row r="122">
      <c r="A122" s="1" t="str">
        <v>Critical</v>
      </c>
      <c r="B122" s="1" t="str">
        <v>LEA-027</v>
      </c>
      <c r="C122" s="1" t="str">
        <v>Leave Application</v>
      </c>
      <c r="D122" s="1" t="str">
        <v>Half Day Leave</v>
      </c>
      <c r="E122" s="1" t="str">
        <v>Half Day reduces leave balance by 0.5 days</v>
      </c>
      <c r="F122" s="1" t="str">
        <v>BR-LEA-10</v>
      </c>
    </row>
    <row r="123">
      <c r="A123" s="1" t="str">
        <v>Critical</v>
      </c>
      <c r="B123" s="1" t="str">
        <v>LEA-028</v>
      </c>
      <c r="C123" s="1" t="str">
        <v>Leave Application</v>
      </c>
      <c r="D123" s="1" t="str">
        <v>Half Day Leave</v>
      </c>
      <c r="E123" s="1" t="str">
        <v>Full day reduces leave balance by 1 day</v>
      </c>
      <c r="F123" s="1" t="str">
        <v>BR-LEA-09</v>
      </c>
    </row>
    <row r="124">
      <c r="A124" s="1" t="str">
        <v>Critical</v>
      </c>
      <c r="B124" s="1" t="str">
        <v>LEA-032</v>
      </c>
      <c r="C124" s="1" t="str">
        <v>Leave Application</v>
      </c>
      <c r="D124" s="1" t="str">
        <v>Leave Approver</v>
      </c>
      <c r="E124" s="1" t="str">
        <v>Valid leave approver can be selected</v>
      </c>
      <c r="F124" s="1" t="str">
        <v>BR-LEA-12</v>
      </c>
    </row>
    <row r="125">
      <c r="A125" s="1" t="str">
        <v>Critical</v>
      </c>
      <c r="B125" s="1" t="str">
        <v>LEA-033</v>
      </c>
      <c r="C125" s="1" t="str">
        <v>Leave Application</v>
      </c>
      <c r="D125" s="1" t="str">
        <v>Leave Approver</v>
      </c>
      <c r="E125" s="1" t="str">
        <v>Invalid approver is rejected</v>
      </c>
      <c r="F125" s="1" t="str">
        <v>BR-LEA-12</v>
      </c>
    </row>
    <row r="126">
      <c r="A126" s="1" t="str">
        <v>Critical</v>
      </c>
      <c r="B126" s="1" t="str">
        <v>LEA-034</v>
      </c>
      <c r="C126" s="1" t="str">
        <v>Leave Application</v>
      </c>
      <c r="D126" s="1" t="str">
        <v>Leave Approver</v>
      </c>
      <c r="E126" s="1" t="str">
        <v>Leave Approver field is mandatory and cannot be left blank</v>
      </c>
      <c r="F126" s="1" t="str">
        <v>BR-LEA-12</v>
      </c>
    </row>
    <row r="127">
      <c r="A127" s="1" t="str">
        <v>Critical</v>
      </c>
      <c r="B127" s="1" t="str">
        <v>LEA-035</v>
      </c>
      <c r="C127" s="1" t="str">
        <v>Leave Application</v>
      </c>
      <c r="D127" s="1" t="str">
        <v>Leave Approver</v>
      </c>
      <c r="E127" s="1" t="str">
        <v>Leave Approver must have approval authority for the employee</v>
      </c>
      <c r="F127" s="1" t="str">
        <v>BR-LEA-12</v>
      </c>
    </row>
    <row r="128">
      <c r="A128" s="1" t="str">
        <v>Critical</v>
      </c>
      <c r="B128" s="1" t="str">
        <v>LEA-039</v>
      </c>
      <c r="C128" s="1" t="str">
        <v>Leave Application</v>
      </c>
      <c r="D128" s="1" t="str">
        <v>Leave Balance</v>
      </c>
      <c r="E128" s="1" t="str">
        <v>Leave balance is displayed for selected leave type</v>
      </c>
      <c r="F128" s="1" t="str">
        <v>BR-LEA-06</v>
      </c>
    </row>
    <row r="129">
      <c r="A129" s="1" t="str">
        <v>Critical</v>
      </c>
      <c r="B129" s="1" t="str">
        <v>LEA-040</v>
      </c>
      <c r="C129" s="1" t="str">
        <v>Leave Application</v>
      </c>
      <c r="D129" s="1" t="str">
        <v>Leave Balance</v>
      </c>
      <c r="E129" s="1" t="str">
        <v>Leave balance decreases after leave application is approved</v>
      </c>
      <c r="F129" s="1" t="str">
        <v>BR-LEA-06</v>
      </c>
    </row>
    <row r="130">
      <c r="A130" s="1" t="str">
        <v>Critical</v>
      </c>
      <c r="B130" s="1" t="str">
        <v>LEA-041</v>
      </c>
      <c r="C130" s="1" t="str">
        <v>Leave Application</v>
      </c>
      <c r="D130" s="1" t="str">
        <v>Leave Balance</v>
      </c>
      <c r="E130" s="1" t="str">
        <v>Leave balance is restored after leave is cancelled</v>
      </c>
      <c r="F130" s="1" t="str">
        <v>BR-LEA-06</v>
      </c>
    </row>
    <row r="131">
      <c r="A131" s="1" t="str">
        <v>Critical</v>
      </c>
      <c r="B131" s="1" t="str">
        <v>LEA-042</v>
      </c>
      <c r="C131" s="1" t="str">
        <v>Leave Application</v>
      </c>
      <c r="D131" s="1" t="str">
        <v>Leave Balance</v>
      </c>
      <c r="E131" s="1" t="str">
        <v>Leave application is rejected if balance is insufficient</v>
      </c>
      <c r="F131" s="1" t="str">
        <v>BR-LEA-06</v>
      </c>
    </row>
    <row r="132">
      <c r="A132" s="1" t="str">
        <v>Critical</v>
      </c>
      <c r="B132" s="1" t="str">
        <v>LEA-044</v>
      </c>
      <c r="C132" s="1" t="str">
        <v>Leave Application</v>
      </c>
      <c r="D132" s="1" t="str">
        <v>Status &amp; Workflow</v>
      </c>
      <c r="E132" s="1" t="str">
        <v>Status defaults to Open on creation</v>
      </c>
      <c r="F132" s="1" t="str">
        <v>BR-LEA-14</v>
      </c>
    </row>
    <row r="133">
      <c r="A133" s="1" t="str">
        <v>Critical</v>
      </c>
      <c r="B133" s="1" t="str">
        <v>LEA-045</v>
      </c>
      <c r="C133" s="1" t="str">
        <v>Leave Application</v>
      </c>
      <c r="D133" s="1" t="str">
        <v>Status &amp; Workflow</v>
      </c>
      <c r="E133" s="1" t="str">
        <v>Status changes to Approved after approval</v>
      </c>
      <c r="F133" s="1" t="str">
        <v>BR-LEA-14</v>
      </c>
    </row>
    <row r="134">
      <c r="A134" s="1" t="str">
        <v>Critical</v>
      </c>
      <c r="B134" s="1" t="str">
        <v>LEA-046</v>
      </c>
      <c r="C134" s="1" t="str">
        <v>Leave Application</v>
      </c>
      <c r="D134" s="1" t="str">
        <v>Status &amp; Workflow</v>
      </c>
      <c r="E134" s="1" t="str">
        <v>Status changes to Rejected after rejection</v>
      </c>
      <c r="F134" s="1" t="str">
        <v>BR-LEA-14</v>
      </c>
    </row>
    <row r="135">
      <c r="A135" s="1" t="str">
        <v>Critical</v>
      </c>
      <c r="B135" s="1" t="str">
        <v>LEA-047</v>
      </c>
      <c r="C135" s="1" t="str">
        <v>Leave Application</v>
      </c>
      <c r="D135" s="1" t="str">
        <v>Status &amp; Workflow</v>
      </c>
      <c r="E135" s="1" t="str">
        <v>Cancelled leave application shows Cancelled status</v>
      </c>
      <c r="F135" s="1" t="str">
        <v>BR-LEA-14</v>
      </c>
    </row>
    <row r="136">
      <c r="A136" s="1" t="str">
        <v>Critical</v>
      </c>
      <c r="B136" s="1" t="str">
        <v>LEA-048</v>
      </c>
      <c r="C136" s="1" t="str">
        <v>Leave Application</v>
      </c>
      <c r="D136" s="1" t="str">
        <v>Status &amp; Workflow</v>
      </c>
      <c r="E136" s="1" t="str">
        <v>Only authorised user can approve leave application</v>
      </c>
      <c r="F136" s="1" t="str">
        <v>BR-LEA-12</v>
      </c>
    </row>
    <row r="137">
      <c r="A137" s="1" t="str">
        <v>Critical</v>
      </c>
      <c r="B137" s="1" t="str">
        <v>LEA-049</v>
      </c>
      <c r="C137" s="1" t="str">
        <v>Leave Application</v>
      </c>
      <c r="D137" s="1" t="str">
        <v>Data Validation</v>
      </c>
      <c r="E137" s="1" t="str">
        <v>Leave Application cannot be saved without Employee</v>
      </c>
      <c r="F137" s="1" t="str">
        <v>BR-LEA-04</v>
      </c>
    </row>
    <row r="138">
      <c r="A138" s="1" t="str">
        <v>Critical</v>
      </c>
      <c r="B138" s="1" t="str">
        <v>LEA-050</v>
      </c>
      <c r="C138" s="1" t="str">
        <v>Leave Application</v>
      </c>
      <c r="D138" s="1" t="str">
        <v>Data Validation</v>
      </c>
      <c r="E138" s="1" t="str">
        <v>Leave Application cannot be saved without Leave Type</v>
      </c>
      <c r="F138" s="1" t="str">
        <v>BR-LEA-05</v>
      </c>
    </row>
    <row r="139">
      <c r="A139" s="1" t="str">
        <v>Critical</v>
      </c>
      <c r="B139" s="1" t="str">
        <v>LEA-051</v>
      </c>
      <c r="C139" s="1" t="str">
        <v>Leave Application</v>
      </c>
      <c r="D139" s="1" t="str">
        <v>Data Validation</v>
      </c>
      <c r="E139" s="1" t="str">
        <v>Leave Application cannot be saved without From Date</v>
      </c>
      <c r="F139" s="1" t="str">
        <v>BR-LEA-08</v>
      </c>
    </row>
    <row r="140">
      <c r="A140" s="1" t="str">
        <v>Critical</v>
      </c>
      <c r="B140" s="1" t="str">
        <v>LEA-052</v>
      </c>
      <c r="C140" s="1" t="str">
        <v>Leave Application</v>
      </c>
      <c r="D140" s="1" t="str">
        <v>Data Validation</v>
      </c>
      <c r="E140" s="1" t="str">
        <v>Leave Application cannot be saved without To Date</v>
      </c>
      <c r="F140" s="1" t="str">
        <v>BR-LEA-08</v>
      </c>
    </row>
    <row r="141">
      <c r="A141" s="1" t="str">
        <v>Critical</v>
      </c>
      <c r="B141" s="1" t="str">
        <v>LEA-053</v>
      </c>
      <c r="C141" s="1" t="str">
        <v>Leave Application</v>
      </c>
      <c r="D141" s="1" t="str">
        <v>Data Validation</v>
      </c>
      <c r="E141" s="1" t="str">
        <v>Leave Application cannot be submitted with From Date after To Date</v>
      </c>
      <c r="F141" s="1" t="str">
        <v>BR-LEA-08</v>
      </c>
    </row>
    <row r="142">
      <c r="A142" s="1" t="str">
        <v>Critical</v>
      </c>
      <c r="B142" s="1" t="str">
        <v>LEA-058</v>
      </c>
      <c r="C142" s="1" t="str">
        <v>Leave Application</v>
      </c>
      <c r="D142" s="1" t="str">
        <v>Editing &amp; Updates</v>
      </c>
      <c r="E142" s="1" t="str">
        <v>Edit is restricted after leave is approved</v>
      </c>
      <c r="F142" s="1" t="str">
        <v>BR-LEA-14</v>
      </c>
    </row>
    <row r="143">
      <c r="A143" s="1" t="str">
        <v>Critical</v>
      </c>
      <c r="B143" s="1" t="str">
        <v>LEA-059</v>
      </c>
      <c r="C143" s="1" t="str">
        <v>Leave Application</v>
      </c>
      <c r="D143" s="1" t="str">
        <v>Form Actions</v>
      </c>
      <c r="E143" s="1" t="str">
        <v>Save Leave Application successfully</v>
      </c>
      <c r="F143" s="1" t="str">
        <v>BR-LEA-01</v>
      </c>
    </row>
    <row r="144">
      <c r="A144" s="1" t="str">
        <v>Critical</v>
      </c>
      <c r="B144" s="1" t="str">
        <v>LEA-060</v>
      </c>
      <c r="C144" s="1" t="str">
        <v>Leave Application</v>
      </c>
      <c r="D144" s="1" t="str">
        <v>Form Actions</v>
      </c>
      <c r="E144" s="1" t="str">
        <v>Submit Leave Application successfully</v>
      </c>
      <c r="F144" s="1" t="str">
        <v>BR-LEA-16</v>
      </c>
    </row>
    <row r="145">
      <c r="A145" s="1" t="str">
        <v>Critical</v>
      </c>
      <c r="B145" s="1" t="str">
        <v>LEA-064</v>
      </c>
      <c r="C145" s="1" t="str">
        <v>Leave Application</v>
      </c>
      <c r="D145" s="1" t="str">
        <v>Form Actions</v>
      </c>
      <c r="E145" s="1" t="str">
        <v>Cancel submitted Leave Application</v>
      </c>
      <c r="F145" s="1" t="str">
        <v>BR-LEA-16</v>
      </c>
    </row>
    <row r="146">
      <c r="A146" s="1" t="str">
        <v>Critical</v>
      </c>
      <c r="B146" s="1" t="str">
        <v>SC-001</v>
      </c>
      <c r="C146" s="1" t="str">
        <v>Service Call</v>
      </c>
      <c r="D146" s="1" t="str">
        <v>Service Call Creation &amp; Basic Details</v>
      </c>
      <c r="E146" s="1" t="str">
        <v>Create Service Call with mandatory fields only (Customer, Service Type)</v>
      </c>
      <c r="F146" s="1" t="str">
        <v>BR-SC-01</v>
      </c>
    </row>
    <row r="147">
      <c r="A147" s="1" t="str">
        <v>Critical</v>
      </c>
      <c r="B147" s="1" t="str">
        <v>SC-002</v>
      </c>
      <c r="C147" s="1" t="str">
        <v>Service Call</v>
      </c>
      <c r="D147" s="1" t="str">
        <v>Service Call Creation &amp; Basic Details</v>
      </c>
      <c r="E147" s="1" t="str">
        <v>Create Service Call with all basic fields (Customer, Title, Description, Priority)</v>
      </c>
      <c r="F147" s="1" t="str">
        <v>BR-SC-01, BR-SC-02</v>
      </c>
    </row>
    <row r="148">
      <c r="A148" s="1" t="str">
        <v>Critical</v>
      </c>
      <c r="B148" s="1" t="str">
        <v>SC-006</v>
      </c>
      <c r="C148" s="1" t="str">
        <v>Service Call</v>
      </c>
      <c r="D148" s="1" t="str">
        <v>Customer &amp; Location Validation</v>
      </c>
      <c r="E148" s="1" t="str">
        <v>Valid customer selection populates branch locations</v>
      </c>
      <c r="F148" s="1" t="str">
        <v>BR-SC-03</v>
      </c>
    </row>
    <row r="149">
      <c r="A149" s="1" t="str">
        <v>Critical</v>
      </c>
      <c r="B149" s="1" t="str">
        <v>SC-007</v>
      </c>
      <c r="C149" s="1" t="str">
        <v>Service Call</v>
      </c>
      <c r="D149" s="1" t="str">
        <v>Customer &amp; Location Validation</v>
      </c>
      <c r="E149" s="1" t="str">
        <v>Invalid/non-existent customer is rejected</v>
      </c>
      <c r="F149" s="1" t="str">
        <v>BR-SC-03</v>
      </c>
    </row>
    <row r="150">
      <c r="A150" s="1" t="str">
        <v>Critical</v>
      </c>
      <c r="B150" s="1" t="str">
        <v>SC-010</v>
      </c>
      <c r="C150" s="1" t="str">
        <v>Service Call</v>
      </c>
      <c r="D150" s="1" t="str">
        <v>Technician Assignment</v>
      </c>
      <c r="E150" s="1" t="str">
        <v>Assign available technician to Service Call</v>
      </c>
      <c r="F150" s="1" t="str">
        <v>BR-SC-05</v>
      </c>
    </row>
    <row r="151">
      <c r="A151" s="1" t="str">
        <v>Critical</v>
      </c>
      <c r="B151" s="1" t="str">
        <v>SC-013</v>
      </c>
      <c r="C151" s="1" t="str">
        <v>Service Call</v>
      </c>
      <c r="D151" s="1" t="str">
        <v>Technician Assignment</v>
      </c>
      <c r="E151" s="1" t="str">
        <v>Duplicate technician assignment is blocked</v>
      </c>
      <c r="F151" s="1" t="str">
        <v>BR-SC-05</v>
      </c>
    </row>
    <row r="152">
      <c r="A152" s="1" t="str">
        <v>Critical</v>
      </c>
      <c r="B152" s="1" t="str">
        <v>SC-016</v>
      </c>
      <c r="C152" s="1" t="str">
        <v>Service Call</v>
      </c>
      <c r="D152" s="1" t="str">
        <v>Priority &amp; Status Management</v>
      </c>
      <c r="E152" s="1" t="str">
        <v>Status transitions from Draft to Assigned to In Progress</v>
      </c>
      <c r="F152" s="1" t="str">
        <v>BR-SC-07</v>
      </c>
    </row>
    <row r="153">
      <c r="A153" s="1" t="str">
        <v>Critical</v>
      </c>
      <c r="B153" s="1" t="str">
        <v>SC-017</v>
      </c>
      <c r="C153" s="1" t="str">
        <v>Service Call</v>
      </c>
      <c r="D153" s="1" t="str">
        <v>Priority &amp; Status Management</v>
      </c>
      <c r="E153" s="1" t="str">
        <v>Status transitions from In Progress to Completed</v>
      </c>
      <c r="F153" s="1" t="str">
        <v>BR-SC-07</v>
      </c>
    </row>
    <row r="154">
      <c r="A154" s="1" t="str">
        <v>Critical</v>
      </c>
      <c r="B154" s="1" t="str">
        <v>SC-018</v>
      </c>
      <c r="C154" s="1" t="str">
        <v>Service Call</v>
      </c>
      <c r="D154" s="1" t="str">
        <v>Priority &amp; Status Management</v>
      </c>
      <c r="E154" s="1" t="str">
        <v>Invalid status transition is rejected with error message</v>
      </c>
      <c r="F154" s="1" t="str">
        <v>BR-SC-07</v>
      </c>
    </row>
    <row r="155">
      <c r="A155" s="1" t="str">
        <v>Critical</v>
      </c>
      <c r="B155" s="1" t="str">
        <v>SC-019</v>
      </c>
      <c r="C155" s="1" t="str">
        <v>Service Call</v>
      </c>
      <c r="D155" s="1" t="str">
        <v>Service Date &amp; Time</v>
      </c>
      <c r="E155" s="1" t="str">
        <v>Schedule Service Call with valid date &amp; time</v>
      </c>
      <c r="F155" s="1" t="str">
        <v>BR-SC-09</v>
      </c>
    </row>
    <row r="156">
      <c r="A156" s="1" t="str">
        <v>Critical</v>
      </c>
      <c r="B156" s="1" t="str">
        <v>SC-020</v>
      </c>
      <c r="C156" s="1" t="str">
        <v>Service Call</v>
      </c>
      <c r="D156" s="1" t="str">
        <v>Service Date &amp; Time</v>
      </c>
      <c r="E156" s="1" t="str">
        <v>Service date in past is rejected</v>
      </c>
      <c r="F156" s="1" t="str">
        <v>BR-SC-09</v>
      </c>
    </row>
    <row r="157">
      <c r="A157" s="1" t="str">
        <v>Critical</v>
      </c>
      <c r="B157" s="1" t="str">
        <v>SC-021</v>
      </c>
      <c r="C157" s="1" t="str">
        <v>Service Call</v>
      </c>
      <c r="D157" s="1" t="str">
        <v>Service Date &amp; Time</v>
      </c>
      <c r="E157" s="1" t="str">
        <v>Service date cannot be left blank</v>
      </c>
      <c r="F157" s="1" t="str">
        <v>BR-SC-09</v>
      </c>
    </row>
    <row r="158">
      <c r="A158" s="1" t="str">
        <v>Critical</v>
      </c>
      <c r="B158" s="1" t="str">
        <v>SC-023</v>
      </c>
      <c r="C158" s="1" t="str">
        <v>Service Call</v>
      </c>
      <c r="D158" s="1" t="str">
        <v>Service Items &amp; Inventory</v>
      </c>
      <c r="E158" s="1" t="str">
        <v>Add single Service Item to Service Call</v>
      </c>
      <c r="F158" s="1" t="str">
        <v>BR-SC-08</v>
      </c>
    </row>
    <row r="159">
      <c r="A159" s="1" t="str">
        <v>Critical</v>
      </c>
      <c r="B159" s="1" t="str">
        <v>SC-027</v>
      </c>
      <c r="C159" s="1" t="str">
        <v>Service Call</v>
      </c>
      <c r="D159" s="1" t="str">
        <v>Service Items &amp; Inventory</v>
      </c>
      <c r="E159" s="1" t="str">
        <v>Out-of-stock Service Item is flagged with warning</v>
      </c>
      <c r="F159" s="1" t="str">
        <v>BR-SC-08</v>
      </c>
    </row>
    <row r="160">
      <c r="A160" s="1" t="str">
        <v>Critical</v>
      </c>
      <c r="B160" s="1" t="str">
        <v>SC-028</v>
      </c>
      <c r="C160" s="1" t="str">
        <v>Service Call</v>
      </c>
      <c r="D160" s="1" t="str">
        <v>Billing &amp; Cost Calculation</v>
      </c>
      <c r="E160" s="1" t="str">
        <v>Service Call total cost is calculated correctly</v>
      </c>
      <c r="F160" s="1" t="str">
        <v>BR-SC-10</v>
      </c>
    </row>
    <row r="161">
      <c r="A161" s="1" t="str">
        <v>Critical</v>
      </c>
      <c r="B161" s="1" t="str">
        <v>SC-031</v>
      </c>
      <c r="C161" s="1" t="str">
        <v>Service Call</v>
      </c>
      <c r="D161" s="1" t="str">
        <v>Billing &amp; Cost Calculation</v>
      </c>
      <c r="E161" s="1" t="str">
        <v>Billable flag determines invoice eligibility</v>
      </c>
      <c r="F161" s="1" t="str">
        <v>BR-SC-10</v>
      </c>
    </row>
    <row r="162">
      <c r="A162" s="1" t="str">
        <v>Critical</v>
      </c>
      <c r="B162" s="1" t="str">
        <v>SC-032</v>
      </c>
      <c r="C162" s="1" t="str">
        <v>Service Call</v>
      </c>
      <c r="D162" s="1" t="str">
        <v>SLA &amp; Warranty</v>
      </c>
      <c r="E162" s="1" t="str">
        <v>Service Call within warranty period is marked correctly</v>
      </c>
      <c r="F162" s="1" t="str">
        <v>BR-SC-11</v>
      </c>
    </row>
    <row r="163">
      <c r="A163" s="1" t="str">
        <v>Critical</v>
      </c>
      <c r="B163" s="1" t="str">
        <v>SC-033</v>
      </c>
      <c r="C163" s="1" t="str">
        <v>Service Call</v>
      </c>
      <c r="D163" s="1" t="str">
        <v>SLA &amp; Warranty</v>
      </c>
      <c r="E163" s="1" t="str">
        <v>Service Call outside warranty period is marked correctly</v>
      </c>
      <c r="F163" s="1" t="str">
        <v>BR-SC-11</v>
      </c>
    </row>
    <row r="164">
      <c r="A164" s="1" t="str">
        <v>Critical</v>
      </c>
      <c r="B164" s="1" t="str">
        <v>SC-034</v>
      </c>
      <c r="C164" s="1" t="str">
        <v>Service Call</v>
      </c>
      <c r="D164" s="1" t="str">
        <v>SLA &amp; Warranty</v>
      </c>
      <c r="E164" s="1" t="str">
        <v>SLA response time is tracked and validated</v>
      </c>
      <c r="F164" s="1" t="str">
        <v>BR-SC-11</v>
      </c>
    </row>
    <row r="165">
      <c r="A165" s="1" t="str">
        <v>Critical</v>
      </c>
      <c r="B165" s="1" t="str">
        <v>SC-039</v>
      </c>
      <c r="C165" s="1" t="str">
        <v>Service Call</v>
      </c>
      <c r="D165" s="1" t="str">
        <v>Data Validation</v>
      </c>
      <c r="E165" s="1" t="str">
        <v>Service Call with missing mandatory fields cannot be saved</v>
      </c>
      <c r="F165" s="1" t="str">
        <v>BR-SC-01</v>
      </c>
    </row>
    <row r="166">
      <c r="A166" s="1" t="str">
        <v>Critical</v>
      </c>
      <c r="B166" s="1" t="str">
        <v>SC-040</v>
      </c>
      <c r="C166" s="1" t="str">
        <v>Service Call</v>
      </c>
      <c r="D166" s="1" t="str">
        <v>Data Validation</v>
      </c>
      <c r="E166" s="1" t="str">
        <v>Invalid email format in contact field is rejected</v>
      </c>
      <c r="F166" s="1" t="str">
        <v>BR-SC-13</v>
      </c>
    </row>
    <row r="167">
      <c r="A167" s="1" t="str">
        <v>Critical</v>
      </c>
      <c r="B167" s="1" t="str">
        <v>SC-041</v>
      </c>
      <c r="C167" s="1" t="str">
        <v>Service Call</v>
      </c>
      <c r="D167" s="1" t="str">
        <v>Data Validation</v>
      </c>
      <c r="E167" s="1" t="str">
        <v>Invalid phone number format is rejected</v>
      </c>
      <c r="F167" s="1" t="str">
        <v>BR-SC-13</v>
      </c>
    </row>
    <row r="168">
      <c r="A168" s="1" t="str">
        <v>Critical</v>
      </c>
      <c r="B168" s="1" t="str">
        <v>SC-043</v>
      </c>
      <c r="C168" s="1" t="str">
        <v>Service Call</v>
      </c>
      <c r="D168" s="1" t="str">
        <v>Editing &amp; Updates</v>
      </c>
      <c r="E168" s="1" t="str">
        <v>Edit Service Call after status change is restricted</v>
      </c>
      <c r="F168" s="1" t="str">
        <v>BR-SC-14</v>
      </c>
    </row>
    <row r="169">
      <c r="A169" s="1" t="str">
        <v>Critical</v>
      </c>
      <c r="B169" s="1" t="str">
        <v>SC-046</v>
      </c>
      <c r="C169" s="1" t="str">
        <v>Service Call</v>
      </c>
      <c r="D169" s="1" t="str">
        <v>Bulk Operations</v>
      </c>
      <c r="E169" s="1" t="str">
        <v>Delete Service Call (permitted status only)</v>
      </c>
      <c r="F169" s="1" t="str">
        <v>BR-SC-15</v>
      </c>
    </row>
    <row r="170">
      <c r="A170" s="1" t="str">
        <v>Critical</v>
      </c>
      <c r="B170" s="1" t="str">
        <v>SC-048</v>
      </c>
      <c r="C170" s="1" t="str">
        <v>Service Call</v>
      </c>
      <c r="D170" s="1" t="str">
        <v>Permissions &amp; Access</v>
      </c>
      <c r="E170" s="1" t="str">
        <v>Technician views only assigned Service Calls</v>
      </c>
      <c r="F170" s="1" t="str">
        <v>BR-SC-16</v>
      </c>
    </row>
    <row r="171">
      <c r="A171" s="1" t="str">
        <v>Critical</v>
      </c>
      <c r="B171" s="1" t="str">
        <v>SC-049</v>
      </c>
      <c r="C171" s="1" t="str">
        <v>Service Call</v>
      </c>
      <c r="D171" s="1" t="str">
        <v>Permissions &amp; Access</v>
      </c>
      <c r="E171" s="1" t="str">
        <v>Customer views only their own Service Calls</v>
      </c>
      <c r="F171" s="1" t="str">
        <v>BR-SC-16</v>
      </c>
    </row>
    <row r="172">
      <c r="A172" s="1" t="str">
        <v>Critical</v>
      </c>
      <c r="B172" s="1" t="str">
        <v>SC-050</v>
      </c>
      <c r="C172" s="1" t="str">
        <v>Service Call</v>
      </c>
      <c r="D172" s="1" t="str">
        <v>Permissions &amp; Access</v>
      </c>
      <c r="E172" s="1" t="str">
        <v>Manager can approve/reject Service Calls</v>
      </c>
      <c r="F172" s="1" t="str">
        <v>BR-SC-16</v>
      </c>
    </row>
    <row r="173">
      <c r="A173" s="1" t="str">
        <v>High</v>
      </c>
      <c r="B173" s="1" t="str">
        <v>CUST-003</v>
      </c>
      <c r="C173" s="1" t="str">
        <v>AMC Customers</v>
      </c>
      <c r="D173" s="1" t="str">
        <v>Customer Creation &amp; Basic Details</v>
      </c>
      <c r="E173" s="1" t="str">
        <v>Create Individual customer type</v>
      </c>
      <c r="F173" s="1" t="str">
        <v>BR-CUST-02</v>
      </c>
    </row>
    <row r="174">
      <c r="A174" s="1" t="str">
        <v>High</v>
      </c>
      <c r="B174" s="1" t="str">
        <v>CUST-004</v>
      </c>
      <c r="C174" s="1" t="str">
        <v>AMC Customers</v>
      </c>
      <c r="D174" s="1" t="str">
        <v>Customer Creation &amp; Basic Details</v>
      </c>
      <c r="E174" s="1" t="str">
        <v>Create Partnership customer type</v>
      </c>
      <c r="F174" s="1" t="str">
        <v>BR-CUST-02</v>
      </c>
    </row>
    <row r="175">
      <c r="A175" s="1" t="str">
        <v>High</v>
      </c>
      <c r="B175" s="1" t="str">
        <v>CUST-008</v>
      </c>
      <c r="C175" s="1" t="str">
        <v>AMC Customers</v>
      </c>
      <c r="D175" s="1" t="str">
        <v>GST Validation</v>
      </c>
      <c r="E175" s="1" t="str">
        <v>GST field can be left blank (optional for Individual)</v>
      </c>
      <c r="F175" s="1" t="str">
        <v>BR-CUST-03</v>
      </c>
    </row>
    <row r="176">
      <c r="A176" s="1" t="str">
        <v>High</v>
      </c>
      <c r="B176" s="1" t="str">
        <v>CUST-009</v>
      </c>
      <c r="C176" s="1" t="str">
        <v>AMC Customers</v>
      </c>
      <c r="D176" s="1" t="str">
        <v>GST Validation</v>
      </c>
      <c r="E176" s="1" t="str">
        <v>Duplicate PAN across two customers is blocked</v>
      </c>
      <c r="F176" s="1" t="str">
        <v>BR-CUST-05</v>
      </c>
    </row>
    <row r="177">
      <c r="A177" s="1" t="str">
        <v>High</v>
      </c>
      <c r="B177" s="1" t="str">
        <v>CUST-011</v>
      </c>
      <c r="C177" s="1" t="str">
        <v>AMC Customers</v>
      </c>
      <c r="D177" s="1" t="str">
        <v>Branch Locations</v>
      </c>
      <c r="E177" s="1" t="str">
        <v>Add multiple branch locations to same customer</v>
      </c>
      <c r="F177" s="1" t="str">
        <v>BR-CUST-06</v>
      </c>
    </row>
    <row r="178">
      <c r="A178" s="1" t="str">
        <v>High</v>
      </c>
      <c r="B178" s="1" t="str">
        <v>CUST-013</v>
      </c>
      <c r="C178" s="1" t="str">
        <v>AMC Customers</v>
      </c>
      <c r="D178" s="1" t="str">
        <v>Branch Locations</v>
      </c>
      <c r="E178" s="1" t="str">
        <v>Branch on AMC Contract is filtered by selected customer</v>
      </c>
      <c r="F178" s="1" t="str">
        <v>BR-CUST-06, BR-CON-06</v>
      </c>
    </row>
    <row r="179">
      <c r="A179" s="1" t="str">
        <v>High</v>
      </c>
      <c r="B179" s="1" t="str">
        <v>CUST-015</v>
      </c>
      <c r="C179" s="1" t="str">
        <v>AMC Customers</v>
      </c>
      <c r="D179" s="1" t="str">
        <v>Contact Details</v>
      </c>
      <c r="E179" s="1" t="str">
        <v>Only one contact marked as Is Primary per customer</v>
      </c>
      <c r="F179" s="1" t="str">
        <v>BR-CUST-08</v>
      </c>
    </row>
    <row r="180">
      <c r="A180" s="1" t="str">
        <v>High</v>
      </c>
      <c r="B180" s="1" t="str">
        <v>CUST-016</v>
      </c>
      <c r="C180" s="1" t="str">
        <v>AMC Customers</v>
      </c>
      <c r="D180" s="1" t="str">
        <v>Contact Details</v>
      </c>
      <c r="E180" s="1" t="str">
        <v>Contact Person on AMC Contract filtered by selected Branch</v>
      </c>
      <c r="F180" s="1" t="str">
        <v>BR-CUST-07, BR-CON-07</v>
      </c>
    </row>
    <row r="181">
      <c r="A181" s="1" t="str">
        <v>High</v>
      </c>
      <c r="B181" s="1" t="str">
        <v>CUST-018</v>
      </c>
      <c r="C181" s="1" t="str">
        <v>AMC Customers</v>
      </c>
      <c r="D181" s="1" t="str">
        <v>Connections Tab</v>
      </c>
      <c r="E181" s="1" t="str">
        <v>Connections tab shows linked AMC Contracts for customer</v>
      </c>
      <c r="F181" s="1" t="str">
        <v>BR-CUST-09</v>
      </c>
    </row>
    <row r="182">
      <c r="A182" s="1" t="str">
        <v>High</v>
      </c>
      <c r="B182" s="1" t="str">
        <v>CUST-021</v>
      </c>
      <c r="C182" s="1" t="str">
        <v>AMC Customers</v>
      </c>
      <c r="D182" s="1" t="str">
        <v>Data Integrity</v>
      </c>
      <c r="E182" s="1" t="str">
        <v>Deleting customer with active contracts is blocked</v>
      </c>
      <c r="F182" s="1" t="str">
        <v>BR-CUST-10</v>
      </c>
    </row>
    <row r="183">
      <c r="A183" s="1" t="str">
        <v>High</v>
      </c>
      <c r="B183" s="1" t="str">
        <v>CON-005</v>
      </c>
      <c r="C183" s="1" t="str">
        <v>AMC Contract</v>
      </c>
      <c r="D183" s="1" t="str">
        <v>Contract Creation</v>
      </c>
      <c r="E183" s="1" t="str">
        <v>Auto-naming follows AMC-.YY.MM.-.#### series</v>
      </c>
      <c r="F183" s="1" t="str">
        <v>BR-CON-02</v>
      </c>
    </row>
    <row r="184">
      <c r="A184" s="1" t="str">
        <v>High</v>
      </c>
      <c r="B184" s="1" t="str">
        <v>CON-007</v>
      </c>
      <c r="C184" s="1" t="str">
        <v>AMC Contract</v>
      </c>
      <c r="D184" s="1" t="str">
        <v>Contract Date Logic</v>
      </c>
      <c r="E184" s="1" t="str">
        <v>Same Start and End Date is valid (single-day contract)</v>
      </c>
      <c r="F184" s="1" t="str">
        <v>BR-CON-03</v>
      </c>
    </row>
    <row r="185">
      <c r="A185" s="1" t="str">
        <v>High</v>
      </c>
      <c r="B185" s="1" t="str">
        <v>CON-008</v>
      </c>
      <c r="C185" s="1" t="str">
        <v>AMC Contract</v>
      </c>
      <c r="D185" s="1" t="str">
        <v>Contract Date Logic</v>
      </c>
      <c r="E185" s="1" t="str">
        <v>Multi-year contract is valid (e.g., 2 years)</v>
      </c>
      <c r="F185" s="1" t="str">
        <v>BR-CON-03</v>
      </c>
    </row>
    <row r="186">
      <c r="A186" s="1" t="str">
        <v>High</v>
      </c>
      <c r="B186" s="1" t="str">
        <v>CON-013</v>
      </c>
      <c r="C186" s="1" t="str">
        <v>AMC Contract</v>
      </c>
      <c r="D186" s="1" t="str">
        <v>Service Count &amp; Schedule</v>
      </c>
      <c r="E186" s="1" t="str">
        <v>Changing No of Services from 4 to 6 regenerates 6 rows</v>
      </c>
      <c r="F186" s="1" t="str">
        <v>BR-CON-04</v>
      </c>
    </row>
    <row r="187">
      <c r="A187" s="1" t="str">
        <v>High</v>
      </c>
      <c r="B187" s="1" t="str">
        <v>CON-014</v>
      </c>
      <c r="C187" s="1" t="str">
        <v>AMC Contract</v>
      </c>
      <c r="D187" s="1" t="str">
        <v>Service Count &amp; Schedule</v>
      </c>
      <c r="E187" s="1" t="str">
        <v>Maintenance Schedule Equipment column filled per row</v>
      </c>
      <c r="F187" s="1" t="str">
        <v>BR-CON-08</v>
      </c>
    </row>
    <row r="188">
      <c r="A188" s="1" t="str">
        <v>High</v>
      </c>
      <c r="B188" s="1" t="str">
        <v>CON-016</v>
      </c>
      <c r="C188" s="1" t="str">
        <v>AMC Contract</v>
      </c>
      <c r="D188" s="1" t="str">
        <v>Customer &amp; Branch Linkage</v>
      </c>
      <c r="E188" s="1" t="str">
        <v>Branch dropdown is empty until Customer is selected</v>
      </c>
      <c r="F188" s="1" t="str">
        <v>BR-CON-06</v>
      </c>
    </row>
    <row r="189">
      <c r="A189" s="1" t="str">
        <v>High</v>
      </c>
      <c r="B189" s="1" t="str">
        <v>CON-017</v>
      </c>
      <c r="C189" s="1" t="str">
        <v>AMC Contract</v>
      </c>
      <c r="D189" s="1" t="str">
        <v>Customer &amp; Branch Linkage</v>
      </c>
      <c r="E189" s="1" t="str">
        <v>Changing Customer clears Branch and Contact Person</v>
      </c>
      <c r="F189" s="1" t="str">
        <v>BR-CON-06</v>
      </c>
    </row>
    <row r="190">
      <c r="A190" s="1" t="str">
        <v>High</v>
      </c>
      <c r="B190" s="1" t="str">
        <v>CON-018</v>
      </c>
      <c r="C190" s="1" t="str">
        <v>AMC Contract</v>
      </c>
      <c r="D190" s="1" t="str">
        <v>Customer &amp; Branch Linkage</v>
      </c>
      <c r="E190" s="1" t="str">
        <v>Contact Person dropdown filtered by selected Branch</v>
      </c>
      <c r="F190" s="1" t="str">
        <v>BR-CON-07</v>
      </c>
    </row>
    <row r="191">
      <c r="A191" s="1" t="str">
        <v>High</v>
      </c>
      <c r="B191" s="1" t="str">
        <v>CON-019</v>
      </c>
      <c r="C191" s="1" t="str">
        <v>AMC Contract</v>
      </c>
      <c r="D191" s="1" t="str">
        <v>Contract Status</v>
      </c>
      <c r="E191" s="1" t="str">
        <v>Status field accepts Active value</v>
      </c>
      <c r="F191" s="1" t="str">
        <v>BR-CON-09</v>
      </c>
    </row>
    <row r="192">
      <c r="A192" s="1" t="str">
        <v>High</v>
      </c>
      <c r="B192" s="1" t="str">
        <v>CON-020</v>
      </c>
      <c r="C192" s="1" t="str">
        <v>AMC Contract</v>
      </c>
      <c r="D192" s="1" t="str">
        <v>Contract Status</v>
      </c>
      <c r="E192" s="1" t="str">
        <v>Status field accepts Inactive value</v>
      </c>
      <c r="F192" s="1" t="str">
        <v>BR-CON-09</v>
      </c>
    </row>
    <row r="193">
      <c r="A193" s="1" t="str">
        <v>High</v>
      </c>
      <c r="B193" s="1" t="str">
        <v>CON-025</v>
      </c>
      <c r="C193" s="1" t="str">
        <v>AMC Contract</v>
      </c>
      <c r="D193" s="1" t="str">
        <v>Submit &amp; Amend Workflow</v>
      </c>
      <c r="E193" s="1" t="str">
        <v>Submitted contract can be cancelled</v>
      </c>
      <c r="F193" s="1" t="str">
        <v>BR-CON-10</v>
      </c>
    </row>
    <row r="194">
      <c r="A194" s="1" t="str">
        <v>High</v>
      </c>
      <c r="B194" s="1" t="str">
        <v>CON-026</v>
      </c>
      <c r="C194" s="1" t="str">
        <v>AMC Contract</v>
      </c>
      <c r="D194" s="1" t="str">
        <v>Company Branch</v>
      </c>
      <c r="E194" s="1" t="str">
        <v>Company Branch saved independently of Customer Branch</v>
      </c>
      <c r="F194" s="1" t="str">
        <v>BR-CON-08</v>
      </c>
    </row>
    <row r="195">
      <c r="A195" s="1" t="str">
        <v>High</v>
      </c>
      <c r="B195" s="1" t="str">
        <v>CON-028</v>
      </c>
      <c r="C195" s="1" t="str">
        <v>AMC Contract</v>
      </c>
      <c r="D195" s="1" t="str">
        <v>Service Calls Tab</v>
      </c>
      <c r="E195" s="1" t="str">
        <v>Service Calls tab is empty for unsaved draft contract</v>
      </c>
      <c r="F195" s="1" t="str">
        <v>BR-CON-12</v>
      </c>
    </row>
    <row r="196">
      <c r="A196" s="1" t="str">
        <v>High</v>
      </c>
      <c r="B196" s="1" t="str">
        <v>CON-031</v>
      </c>
      <c r="C196" s="1" t="str">
        <v>AMC Contract</v>
      </c>
      <c r="D196" s="1" t="str">
        <v>Cross-DocType Integration</v>
      </c>
      <c r="E196" s="1" t="str">
        <v>Deleting customer with active contracts is blocked</v>
      </c>
      <c r="F196" s="1" t="str">
        <v>BR-CUST-10</v>
      </c>
    </row>
    <row r="197">
      <c r="A197" s="1" t="str">
        <v>High</v>
      </c>
      <c r="B197" s="1" t="str">
        <v>VEN-003</v>
      </c>
      <c r="C197" s="1" t="str">
        <v>Vendor</v>
      </c>
      <c r="D197" s="1" t="str">
        <v>Vendor Creation &amp; Basic Details</v>
      </c>
      <c r="E197" s="1" t="str">
        <v>Create Vendor with Type as Company</v>
      </c>
      <c r="F197" s="1" t="str">
        <v>BR-VEN-02</v>
      </c>
    </row>
    <row r="198">
      <c r="A198" s="1" t="str">
        <v>High</v>
      </c>
      <c r="B198" s="1" t="str">
        <v>VEN-004</v>
      </c>
      <c r="C198" s="1" t="str">
        <v>Vendor</v>
      </c>
      <c r="D198" s="1" t="str">
        <v>Vendor Creation &amp; Basic Details</v>
      </c>
      <c r="E198" s="1" t="str">
        <v>Create Vendor with Type as Individual</v>
      </c>
      <c r="F198" s="1" t="str">
        <v>BR-VEN-02</v>
      </c>
    </row>
    <row r="199">
      <c r="A199" s="1" t="str">
        <v>High</v>
      </c>
      <c r="B199" s="1" t="str">
        <v>VEN-006</v>
      </c>
      <c r="C199" s="1" t="str">
        <v>Vendor</v>
      </c>
      <c r="D199" s="1" t="str">
        <v>Primary Contact Details</v>
      </c>
      <c r="E199" s="1" t="str">
        <v>Valid phone number format in Mobile No field</v>
      </c>
      <c r="F199" s="1" t="str">
        <v>BR-VEN-03</v>
      </c>
    </row>
    <row r="200">
      <c r="A200" s="1" t="str">
        <v>High</v>
      </c>
      <c r="B200" s="1" t="str">
        <v>VEN-008</v>
      </c>
      <c r="C200" s="1" t="str">
        <v>Vendor</v>
      </c>
      <c r="D200" s="1" t="str">
        <v>Primary Contact Details</v>
      </c>
      <c r="E200" s="1" t="str">
        <v>Valid email format is accepted</v>
      </c>
      <c r="F200" s="1" t="str">
        <v>BR-VEN-03</v>
      </c>
    </row>
    <row r="201">
      <c r="A201" s="1" t="str">
        <v>High</v>
      </c>
      <c r="B201" s="1" t="str">
        <v>VEN-013</v>
      </c>
      <c r="C201" s="1" t="str">
        <v>Vendor</v>
      </c>
      <c r="D201" s="1" t="str">
        <v>Tax Identification</v>
      </c>
      <c r="E201" s="1" t="str">
        <v>PAN field can be left blank (optional)</v>
      </c>
      <c r="F201" s="1" t="str">
        <v>BR-VEN-04</v>
      </c>
    </row>
    <row r="202">
      <c r="A202" s="1" t="str">
        <v>High</v>
      </c>
      <c r="B202" s="1" t="str">
        <v>VEN-014</v>
      </c>
      <c r="C202" s="1" t="str">
        <v>Vendor</v>
      </c>
      <c r="D202" s="1" t="str">
        <v>Registered Address</v>
      </c>
      <c r="E202" s="1" t="str">
        <v>Add Registered Address to Vendor</v>
      </c>
      <c r="F202" s="1" t="str">
        <v>BR-VEN-06</v>
      </c>
    </row>
    <row r="203">
      <c r="A203" s="1" t="str">
        <v>High</v>
      </c>
      <c r="B203" s="1" t="str">
        <v>VEN-015</v>
      </c>
      <c r="C203" s="1" t="str">
        <v>Vendor</v>
      </c>
      <c r="D203" s="1" t="str">
        <v>Registered Address</v>
      </c>
      <c r="E203" s="1" t="str">
        <v>Registered Address text is saved correctly</v>
      </c>
      <c r="F203" s="1" t="str">
        <v>BR-VEN-06</v>
      </c>
    </row>
    <row r="204">
      <c r="A204" s="1" t="str">
        <v>High</v>
      </c>
      <c r="B204" s="1" t="str">
        <v>VEN-018</v>
      </c>
      <c r="C204" s="1" t="str">
        <v>Vendor</v>
      </c>
      <c r="D204" s="1" t="str">
        <v>Address Table</v>
      </c>
      <c r="E204" s="1" t="str">
        <v>Add multiple address rows to same Vendor</v>
      </c>
      <c r="F204" s="1" t="str">
        <v>BR-VEN-07</v>
      </c>
    </row>
    <row r="205">
      <c r="A205" s="1" t="str">
        <v>High</v>
      </c>
      <c r="B205" s="1" t="str">
        <v>VEN-020</v>
      </c>
      <c r="C205" s="1" t="str">
        <v>Vendor</v>
      </c>
      <c r="D205" s="1" t="str">
        <v>Address Table</v>
      </c>
      <c r="E205" s="1" t="str">
        <v>Address row Name field is populated correctly</v>
      </c>
      <c r="F205" s="1" t="str">
        <v>BR-VEN-07</v>
      </c>
    </row>
    <row r="206">
      <c r="A206" s="1" t="str">
        <v>High</v>
      </c>
      <c r="B206" s="1" t="str">
        <v>VEN-021</v>
      </c>
      <c r="C206" s="1" t="str">
        <v>Vendor</v>
      </c>
      <c r="D206" s="1" t="str">
        <v>Address Table</v>
      </c>
      <c r="E206" s="1" t="str">
        <v>Address row City field is populated correctly</v>
      </c>
      <c r="F206" s="1" t="str">
        <v>BR-VEN-07</v>
      </c>
    </row>
    <row r="207">
      <c r="A207" s="1" t="str">
        <v>High</v>
      </c>
      <c r="B207" s="1" t="str">
        <v>VEN-022</v>
      </c>
      <c r="C207" s="1" t="str">
        <v>Vendor</v>
      </c>
      <c r="D207" s="1" t="str">
        <v>Address Table</v>
      </c>
      <c r="E207" s="1" t="str">
        <v>Address row State field is populated correctly</v>
      </c>
      <c r="F207" s="1" t="str">
        <v>BR-VEN-07</v>
      </c>
    </row>
    <row r="208">
      <c r="A208" s="1" t="str">
        <v>High</v>
      </c>
      <c r="B208" s="1" t="str">
        <v>VEN-025</v>
      </c>
      <c r="C208" s="1" t="str">
        <v>Vendor</v>
      </c>
      <c r="D208" s="1" t="str">
        <v>Address Table</v>
      </c>
      <c r="E208" s="1" t="str">
        <v>Address row Mobile No field validation</v>
      </c>
      <c r="F208" s="1" t="str">
        <v>BR-VEN-07</v>
      </c>
    </row>
    <row r="209">
      <c r="A209" s="1" t="str">
        <v>High</v>
      </c>
      <c r="B209" s="1" t="str">
        <v>VEN-030</v>
      </c>
      <c r="C209" s="1" t="str">
        <v>Vendor</v>
      </c>
      <c r="D209" s="1" t="str">
        <v>Data Validation</v>
      </c>
      <c r="E209" s="1" t="str">
        <v>Empty Type field defaults to Company</v>
      </c>
      <c r="F209" s="1" t="str">
        <v>BR-VEN-02</v>
      </c>
    </row>
    <row r="210">
      <c r="A210" s="1" t="str">
        <v>High</v>
      </c>
      <c r="B210" s="1" t="str">
        <v>VEN-031</v>
      </c>
      <c r="C210" s="1" t="str">
        <v>Vendor</v>
      </c>
      <c r="D210" s="1" t="str">
        <v>Editing &amp; Updates</v>
      </c>
      <c r="E210" s="1" t="str">
        <v>Edit existing Vendor Name</v>
      </c>
      <c r="F210" s="1" t="str">
        <v>BR-VEN-10</v>
      </c>
    </row>
    <row r="211">
      <c r="A211" s="1" t="str">
        <v>High</v>
      </c>
      <c r="B211" s="1" t="str">
        <v>VEN-032</v>
      </c>
      <c r="C211" s="1" t="str">
        <v>Vendor</v>
      </c>
      <c r="D211" s="1" t="str">
        <v>Editing &amp; Updates</v>
      </c>
      <c r="E211" s="1" t="str">
        <v>Edit Primary Contact Person details</v>
      </c>
      <c r="F211" s="1" t="str">
        <v>BR-VEN-10</v>
      </c>
    </row>
    <row r="212">
      <c r="A212" s="1" t="str">
        <v>High</v>
      </c>
      <c r="B212" s="1" t="str">
        <v>VEN-033</v>
      </c>
      <c r="C212" s="1" t="str">
        <v>Vendor</v>
      </c>
      <c r="D212" s="1" t="str">
        <v>Editing &amp; Updates</v>
      </c>
      <c r="E212" s="1" t="str">
        <v>Edit PAN number</v>
      </c>
      <c r="F212" s="1" t="str">
        <v>BR-VEN-10</v>
      </c>
    </row>
    <row r="213">
      <c r="A213" s="1" t="str">
        <v>High</v>
      </c>
      <c r="B213" s="1" t="str">
        <v>VEN-039</v>
      </c>
      <c r="C213" s="1" t="str">
        <v>Vendor</v>
      </c>
      <c r="D213" s="1" t="str">
        <v>Form Actions</v>
      </c>
      <c r="E213" s="1" t="str">
        <v>Duplicate existing Vendor</v>
      </c>
      <c r="F213" s="1" t="str">
        <v>BR-VEN-11</v>
      </c>
    </row>
    <row r="214">
      <c r="A214" s="1" t="str">
        <v>High</v>
      </c>
      <c r="B214" s="1" t="str">
        <v>VEN-040</v>
      </c>
      <c r="C214" s="1" t="str">
        <v>Vendor</v>
      </c>
      <c r="D214" s="1" t="str">
        <v>Form Actions</v>
      </c>
      <c r="E214" s="1" t="str">
        <v>Delete Vendor (if permitted)</v>
      </c>
      <c r="F214" s="1" t="str">
        <v>BR-VEN-11</v>
      </c>
    </row>
    <row r="215">
      <c r="A215" s="1" t="str">
        <v>High</v>
      </c>
      <c r="B215" s="1" t="str">
        <v>ATT-005</v>
      </c>
      <c r="C215" s="1" t="str">
        <v>Attendance</v>
      </c>
      <c r="D215" s="1" t="str">
        <v>Attendance Creation &amp; Basic Details</v>
      </c>
      <c r="E215" s="1" t="str">
        <v>Create Attendance with Status as Leave</v>
      </c>
      <c r="F215" s="1" t="str">
        <v>BR-ATT-03</v>
      </c>
    </row>
    <row r="216">
      <c r="A216" s="1" t="str">
        <v>High</v>
      </c>
      <c r="B216" s="1" t="str">
        <v>ATT-006</v>
      </c>
      <c r="C216" s="1" t="str">
        <v>Attendance</v>
      </c>
      <c r="D216" s="1" t="str">
        <v>Attendance Creation &amp; Basic Details</v>
      </c>
      <c r="E216" s="1" t="str">
        <v>Create Attendance with Status as Half Day</v>
      </c>
      <c r="F216" s="1" t="str">
        <v>BR-ATT-03</v>
      </c>
    </row>
    <row r="217">
      <c r="A217" s="1" t="str">
        <v>High</v>
      </c>
      <c r="B217" s="1" t="str">
        <v>ATT-008</v>
      </c>
      <c r="C217" s="1" t="str">
        <v>Attendance</v>
      </c>
      <c r="D217" s="1" t="str">
        <v>Series &amp; Auto-generation</v>
      </c>
      <c r="E217" s="1" t="str">
        <v>Series field cannot be manually edited</v>
      </c>
      <c r="F217" s="1" t="str">
        <v>BR-ATT-04</v>
      </c>
    </row>
    <row r="218">
      <c r="A218" s="1" t="str">
        <v>High</v>
      </c>
      <c r="B218" s="1" t="str">
        <v>ATT-017</v>
      </c>
      <c r="C218" s="1" t="str">
        <v>Attendance</v>
      </c>
      <c r="D218" s="1" t="str">
        <v>Attendance Date</v>
      </c>
      <c r="E218" s="1" t="str">
        <v>Past attendance date is accepted</v>
      </c>
      <c r="F218" s="1" t="str">
        <v>BR-ATT-07</v>
      </c>
    </row>
    <row r="219">
      <c r="A219" s="1" t="str">
        <v>High</v>
      </c>
      <c r="B219" s="1" t="str">
        <v>ATT-019</v>
      </c>
      <c r="C219" s="1" t="str">
        <v>Attendance</v>
      </c>
      <c r="D219" s="1" t="str">
        <v>Status Management</v>
      </c>
      <c r="E219" s="1" t="str">
        <v>Status dropdown shows all available options (Present, Absent, Leave, Half Day)</v>
      </c>
      <c r="F219" s="1" t="str">
        <v>BR-ATT-03</v>
      </c>
    </row>
    <row r="220">
      <c r="A220" s="1" t="str">
        <v>High</v>
      </c>
      <c r="B220" s="1" t="str">
        <v>ATT-021</v>
      </c>
      <c r="C220" s="1" t="str">
        <v>Attendance</v>
      </c>
      <c r="D220" s="1" t="str">
        <v>Status Management</v>
      </c>
      <c r="E220" s="1" t="str">
        <v>Status can be changed after creation</v>
      </c>
      <c r="F220" s="1" t="str">
        <v>BR-ATT-03</v>
      </c>
    </row>
    <row r="221">
      <c r="A221" s="1" t="str">
        <v>High</v>
      </c>
      <c r="B221" s="1" t="str">
        <v>ATT-022</v>
      </c>
      <c r="C221" s="1" t="str">
        <v>Attendance</v>
      </c>
      <c r="D221" s="1" t="str">
        <v>Company Assignment</v>
      </c>
      <c r="E221" s="1" t="str">
        <v>Valid company is selected and displayed</v>
      </c>
      <c r="F221" s="1" t="str">
        <v>BR-ATT-08</v>
      </c>
    </row>
    <row r="222">
      <c r="A222" s="1" t="str">
        <v>High</v>
      </c>
      <c r="B222" s="1" t="str">
        <v>ATT-023</v>
      </c>
      <c r="C222" s="1" t="str">
        <v>Attendance</v>
      </c>
      <c r="D222" s="1" t="str">
        <v>Company Assignment</v>
      </c>
      <c r="E222" s="1" t="str">
        <v>Company field is auto-populated based on employee</v>
      </c>
      <c r="F222" s="1" t="str">
        <v>BR-ATT-08</v>
      </c>
    </row>
    <row r="223">
      <c r="A223" s="1" t="str">
        <v>High</v>
      </c>
      <c r="B223" s="1" t="str">
        <v>ATT-025</v>
      </c>
      <c r="C223" s="1" t="str">
        <v>Attendance</v>
      </c>
      <c r="D223" s="1" t="str">
        <v>Shift Details</v>
      </c>
      <c r="E223" s="1" t="str">
        <v>Valid shift can be selected from dropdown</v>
      </c>
      <c r="F223" s="1" t="str">
        <v>BR-ATT-09</v>
      </c>
    </row>
    <row r="224">
      <c r="A224" s="1" t="str">
        <v>High</v>
      </c>
      <c r="B224" s="1" t="str">
        <v>ATT-027</v>
      </c>
      <c r="C224" s="1" t="str">
        <v>Attendance</v>
      </c>
      <c r="D224" s="1" t="str">
        <v>Shift Details</v>
      </c>
      <c r="E224" s="1" t="str">
        <v>Shift auto-populates based on employee's assigned shift</v>
      </c>
      <c r="F224" s="1" t="str">
        <v>BR-ATT-09</v>
      </c>
    </row>
    <row r="225">
      <c r="A225" s="1" t="str">
        <v>High</v>
      </c>
      <c r="B225" s="1" t="str">
        <v>ATT-029</v>
      </c>
      <c r="C225" s="1" t="str">
        <v>Attendance</v>
      </c>
      <c r="D225" s="1" t="str">
        <v>Late Entry Tracking</v>
      </c>
      <c r="E225" s="1" t="str">
        <v>Late Entry checkbox can be marked</v>
      </c>
      <c r="F225" s="1" t="str">
        <v>BR-ATT-10</v>
      </c>
    </row>
    <row r="226">
      <c r="A226" s="1" t="str">
        <v>High</v>
      </c>
      <c r="B226" s="1" t="str">
        <v>ATT-030</v>
      </c>
      <c r="C226" s="1" t="str">
        <v>Attendance</v>
      </c>
      <c r="D226" s="1" t="str">
        <v>Late Entry Tracking</v>
      </c>
      <c r="E226" s="1" t="str">
        <v>Late Entry is checked when employee arrives after scheduled time</v>
      </c>
      <c r="F226" s="1" t="str">
        <v>BR-ATT-10</v>
      </c>
    </row>
    <row r="227">
      <c r="A227" s="1" t="str">
        <v>High</v>
      </c>
      <c r="B227" s="1" t="str">
        <v>ATT-034</v>
      </c>
      <c r="C227" s="1" t="str">
        <v>Attendance</v>
      </c>
      <c r="D227" s="1" t="str">
        <v>Early Exit Tracking</v>
      </c>
      <c r="E227" s="1" t="str">
        <v>Early Exit checkbox can be marked</v>
      </c>
      <c r="F227" s="1" t="str">
        <v>BR-ATT-11</v>
      </c>
    </row>
    <row r="228">
      <c r="A228" s="1" t="str">
        <v>High</v>
      </c>
      <c r="B228" s="1" t="str">
        <v>ATT-035</v>
      </c>
      <c r="C228" s="1" t="str">
        <v>Attendance</v>
      </c>
      <c r="D228" s="1" t="str">
        <v>Early Exit Tracking</v>
      </c>
      <c r="E228" s="1" t="str">
        <v>Early Exit is checked when employee leaves before scheduled time</v>
      </c>
      <c r="F228" s="1" t="str">
        <v>BR-ATT-11</v>
      </c>
    </row>
    <row r="229">
      <c r="A229" s="1" t="str">
        <v>High</v>
      </c>
      <c r="B229" s="1" t="str">
        <v>ATT-039</v>
      </c>
      <c r="C229" s="1" t="str">
        <v>Attendance</v>
      </c>
      <c r="D229" s="1" t="str">
        <v>Late Entry &amp; Early Exit Combination</v>
      </c>
      <c r="E229" s="1" t="str">
        <v>Both Late Entry and Early Exit can be checked together</v>
      </c>
      <c r="F229" s="1" t="str">
        <v>BR-ATT-12</v>
      </c>
    </row>
    <row r="230">
      <c r="A230" s="1" t="str">
        <v>High</v>
      </c>
      <c r="B230" s="1" t="str">
        <v>ATT-044</v>
      </c>
      <c r="C230" s="1" t="str">
        <v>Attendance</v>
      </c>
      <c r="D230" s="1" t="str">
        <v>Editing &amp; Updates</v>
      </c>
      <c r="E230" s="1" t="str">
        <v>Edit existing Attendance Status</v>
      </c>
      <c r="F230" s="1" t="str">
        <v>BR-ATT-13</v>
      </c>
    </row>
    <row r="231">
      <c r="A231" s="1" t="str">
        <v>High</v>
      </c>
      <c r="B231" s="1" t="str">
        <v>ATT-045</v>
      </c>
      <c r="C231" s="1" t="str">
        <v>Attendance</v>
      </c>
      <c r="D231" s="1" t="str">
        <v>Editing &amp; Updates</v>
      </c>
      <c r="E231" s="1" t="str">
        <v>Edit Employee in existing Attendance</v>
      </c>
      <c r="F231" s="1" t="str">
        <v>BR-ATT-13</v>
      </c>
    </row>
    <row r="232">
      <c r="A232" s="1" t="str">
        <v>High</v>
      </c>
      <c r="B232" s="1" t="str">
        <v>ATT-046</v>
      </c>
      <c r="C232" s="1" t="str">
        <v>Attendance</v>
      </c>
      <c r="D232" s="1" t="str">
        <v>Editing &amp; Updates</v>
      </c>
      <c r="E232" s="1" t="str">
        <v>Edit Attendance Date</v>
      </c>
      <c r="F232" s="1" t="str">
        <v>BR-ATT-13</v>
      </c>
    </row>
    <row r="233">
      <c r="A233" s="1" t="str">
        <v>High</v>
      </c>
      <c r="B233" s="1" t="str">
        <v>EXP-004</v>
      </c>
      <c r="C233" s="1" t="str">
        <v>Expense Claim</v>
      </c>
      <c r="D233" s="1" t="str">
        <v>Series &amp; Auto-generation</v>
      </c>
      <c r="E233" s="1" t="str">
        <v>Series field cannot be manually edited</v>
      </c>
      <c r="F233" s="1" t="str">
        <v>BR-EXP-03</v>
      </c>
    </row>
    <row r="234">
      <c r="A234" s="1" t="str">
        <v>High</v>
      </c>
      <c r="B234" s="1" t="str">
        <v>EXP-009</v>
      </c>
      <c r="C234" s="1" t="str">
        <v>Expense Claim</v>
      </c>
      <c r="D234" s="1" t="str">
        <v>Employee Selection</v>
      </c>
      <c r="E234" s="1" t="str">
        <v>Department auto-populates based on selected employee</v>
      </c>
      <c r="F234" s="1" t="str">
        <v>BR-EXP-04</v>
      </c>
    </row>
    <row r="235">
      <c r="A235" s="1" t="str">
        <v>High</v>
      </c>
      <c r="B235" s="1" t="str">
        <v>EXP-012</v>
      </c>
      <c r="C235" s="1" t="str">
        <v>Expense Claim</v>
      </c>
      <c r="D235" s="1" t="str">
        <v>Company Details</v>
      </c>
      <c r="E235" s="1" t="str">
        <v>Company GSTIN is auto-populated based on selected company</v>
      </c>
      <c r="F235" s="1" t="str">
        <v>BR-EXP-05</v>
      </c>
    </row>
    <row r="236">
      <c r="A236" s="1" t="str">
        <v>High</v>
      </c>
      <c r="B236" s="1" t="str">
        <v>EXP-013</v>
      </c>
      <c r="C236" s="1" t="str">
        <v>Expense Claim</v>
      </c>
      <c r="D236" s="1" t="str">
        <v>Company Details</v>
      </c>
      <c r="E236" s="1" t="str">
        <v>Company GSTIN field is read-only</v>
      </c>
      <c r="F236" s="1" t="str">
        <v>BR-EXP-05</v>
      </c>
    </row>
    <row r="237">
      <c r="A237" s="1" t="str">
        <v>High</v>
      </c>
      <c r="B237" s="1" t="str">
        <v>EXP-020</v>
      </c>
      <c r="C237" s="1" t="str">
        <v>Expense Claim</v>
      </c>
      <c r="D237" s="1" t="str">
        <v>Approval Status</v>
      </c>
      <c r="E237" s="1" t="str">
        <v>Approval Status can be changed to Returned</v>
      </c>
      <c r="F237" s="1" t="str">
        <v>BR-EXP-07</v>
      </c>
    </row>
    <row r="238">
      <c r="A238" s="1" t="str">
        <v>High</v>
      </c>
      <c r="B238" s="1" t="str">
        <v>EXP-022</v>
      </c>
      <c r="C238" s="1" t="str">
        <v>Expense Claim</v>
      </c>
      <c r="D238" s="1" t="str">
        <v>Expenses Table</v>
      </c>
      <c r="E238" s="1" t="str">
        <v>Add multiple expense rows to same claim</v>
      </c>
      <c r="F238" s="1" t="str">
        <v>BR-EXP-08</v>
      </c>
    </row>
    <row r="239">
      <c r="A239" s="1" t="str">
        <v>High</v>
      </c>
      <c r="B239" s="1" t="str">
        <v>EXP-025</v>
      </c>
      <c r="C239" s="1" t="str">
        <v>Expense Claim</v>
      </c>
      <c r="D239" s="1" t="str">
        <v>Expenses Table</v>
      </c>
      <c r="E239" s="1" t="str">
        <v>Expense Claim Type dropdown shows valid options</v>
      </c>
      <c r="F239" s="1" t="str">
        <v>BR-EXP-09</v>
      </c>
    </row>
    <row r="240">
      <c r="A240" s="1" t="str">
        <v>High</v>
      </c>
      <c r="B240" s="1" t="str">
        <v>EXP-029</v>
      </c>
      <c r="C240" s="1" t="str">
        <v>Expense Claim</v>
      </c>
      <c r="D240" s="1" t="str">
        <v>Expenses Table</v>
      </c>
      <c r="E240" s="1" t="str">
        <v>Amount field accepts decimal values</v>
      </c>
      <c r="F240" s="1" t="str">
        <v>BR-EXP-08</v>
      </c>
    </row>
    <row r="241">
      <c r="A241" s="1" t="str">
        <v>High</v>
      </c>
      <c r="B241" s="1" t="str">
        <v>EXP-031</v>
      </c>
      <c r="C241" s="1" t="str">
        <v>Expense Claim</v>
      </c>
      <c r="D241" s="1" t="str">
        <v>Expenses Table</v>
      </c>
      <c r="E241" s="1" t="str">
        <v>Sanctioned Amount is auto-populated or manually entered</v>
      </c>
      <c r="F241" s="1" t="str">
        <v>BR-EXP-10</v>
      </c>
    </row>
    <row r="242">
      <c r="A242" s="1" t="str">
        <v>High</v>
      </c>
      <c r="B242" s="1" t="str">
        <v>EXP-034</v>
      </c>
      <c r="C242" s="1" t="str">
        <v>Expense Claim</v>
      </c>
      <c r="D242" s="1" t="str">
        <v>Taxes &amp; Charges</v>
      </c>
      <c r="E242" s="1" t="str">
        <v>Add single tax row to expense claim</v>
      </c>
      <c r="F242" s="1" t="str">
        <v>BR-EXP-12</v>
      </c>
    </row>
    <row r="243">
      <c r="A243" s="1" t="str">
        <v>High</v>
      </c>
      <c r="B243" s="1" t="str">
        <v>EXP-035</v>
      </c>
      <c r="C243" s="1" t="str">
        <v>Expense Claim</v>
      </c>
      <c r="D243" s="1" t="str">
        <v>Taxes &amp; Charges</v>
      </c>
      <c r="E243" s="1" t="str">
        <v>Add multiple tax rows to expense claim</v>
      </c>
      <c r="F243" s="1" t="str">
        <v>BR-EXP-12</v>
      </c>
    </row>
    <row r="244">
      <c r="A244" s="1" t="str">
        <v>High</v>
      </c>
      <c r="B244" s="1" t="str">
        <v>EXP-041</v>
      </c>
      <c r="C244" s="1" t="str">
        <v>Expense Claim</v>
      </c>
      <c r="D244" s="1" t="str">
        <v>Accounting Details</v>
      </c>
      <c r="E244" s="1" t="str">
        <v>Cost Center field can be selected</v>
      </c>
      <c r="F244" s="1" t="str">
        <v>BR-EXP-13</v>
      </c>
    </row>
    <row r="245">
      <c r="A245" s="1" t="str">
        <v>High</v>
      </c>
      <c r="B245" s="1" t="str">
        <v>EXP-044</v>
      </c>
      <c r="C245" s="1" t="str">
        <v>Expense Claim</v>
      </c>
      <c r="D245" s="1" t="str">
        <v>Accounting Details</v>
      </c>
      <c r="E245" s="1" t="str">
        <v>Payable Account can be manually changed</v>
      </c>
      <c r="F245" s="1" t="str">
        <v>BR-EXP-13</v>
      </c>
    </row>
    <row r="246">
      <c r="A246" s="1" t="str">
        <v>High</v>
      </c>
      <c r="B246" s="1" t="str">
        <v>EXP-045</v>
      </c>
      <c r="C246" s="1" t="str">
        <v>Expense Claim</v>
      </c>
      <c r="D246" s="1" t="str">
        <v>Accounting Details</v>
      </c>
      <c r="E246" s="1" t="str">
        <v>Mode of Payment can be selected</v>
      </c>
      <c r="F246" s="1" t="str">
        <v>BR-EXP-13</v>
      </c>
    </row>
    <row r="247">
      <c r="A247" s="1" t="str">
        <v>High</v>
      </c>
      <c r="B247" s="1" t="str">
        <v>EXP-046</v>
      </c>
      <c r="C247" s="1" t="str">
        <v>Expense Claim</v>
      </c>
      <c r="D247" s="1" t="str">
        <v>Accounting Details</v>
      </c>
      <c r="E247" s="1" t="str">
        <v>Total Advance Amount is displayed if advance exists</v>
      </c>
      <c r="F247" s="1" t="str">
        <v>BR-EXP-14</v>
      </c>
    </row>
    <row r="248">
      <c r="A248" s="1" t="str">
        <v>High</v>
      </c>
      <c r="B248" s="1" t="str">
        <v>EXP-051</v>
      </c>
      <c r="C248" s="1" t="str">
        <v>Expense Claim</v>
      </c>
      <c r="D248" s="1" t="str">
        <v>Editing &amp; Updates</v>
      </c>
      <c r="E248" s="1" t="str">
        <v>Edit expense row amount on existing claim</v>
      </c>
      <c r="F248" s="1" t="str">
        <v>BR-EXP-15</v>
      </c>
    </row>
    <row r="249">
      <c r="A249" s="1" t="str">
        <v>High</v>
      </c>
      <c r="B249" s="1" t="str">
        <v>EXP-052</v>
      </c>
      <c r="C249" s="1" t="str">
        <v>Expense Claim</v>
      </c>
      <c r="D249" s="1" t="str">
        <v>Editing &amp; Updates</v>
      </c>
      <c r="E249" s="1" t="str">
        <v>Edit expense claim type on existing row</v>
      </c>
      <c r="F249" s="1" t="str">
        <v>BR-EXP-15</v>
      </c>
    </row>
    <row r="250">
      <c r="A250" s="1" t="str">
        <v>High</v>
      </c>
      <c r="B250" s="1" t="str">
        <v>EXP-053</v>
      </c>
      <c r="C250" s="1" t="str">
        <v>Expense Claim</v>
      </c>
      <c r="D250" s="1" t="str">
        <v>Editing &amp; Updates</v>
      </c>
      <c r="E250" s="1" t="str">
        <v>Edit expense approver before submission</v>
      </c>
      <c r="F250" s="1" t="str">
        <v>BR-EXP-15</v>
      </c>
    </row>
    <row r="251">
      <c r="A251" s="1" t="str">
        <v>High</v>
      </c>
      <c r="B251" s="1" t="str">
        <v>EXP-059</v>
      </c>
      <c r="C251" s="1" t="str">
        <v>Expense Claim</v>
      </c>
      <c r="D251" s="1" t="str">
        <v>Form Actions</v>
      </c>
      <c r="E251" s="1" t="str">
        <v>Duplicate existing Expense Claim</v>
      </c>
      <c r="F251" s="1" t="str">
        <v>BR-EXP-16</v>
      </c>
    </row>
    <row r="252">
      <c r="A252" s="1" t="str">
        <v>High</v>
      </c>
      <c r="B252" s="1" t="str">
        <v>LEA-004</v>
      </c>
      <c r="C252" s="1" t="str">
        <v>Leave Application</v>
      </c>
      <c r="D252" s="1" t="str">
        <v>Series &amp; Auto-generation</v>
      </c>
      <c r="E252" s="1" t="str">
        <v>Series field cannot be manually edited</v>
      </c>
      <c r="F252" s="1" t="str">
        <v>BR-LEA-03</v>
      </c>
    </row>
    <row r="253">
      <c r="A253" s="1" t="str">
        <v>High</v>
      </c>
      <c r="B253" s="1" t="str">
        <v>LEA-011</v>
      </c>
      <c r="C253" s="1" t="str">
        <v>Leave Application</v>
      </c>
      <c r="D253" s="1" t="str">
        <v>Leave Type Selection</v>
      </c>
      <c r="E253" s="1" t="str">
        <v>Leave Type displays all available options (Annual, Sick, Personal, etc.)</v>
      </c>
      <c r="F253" s="1" t="str">
        <v>BR-LEA-05</v>
      </c>
    </row>
    <row r="254">
      <c r="A254" s="1" t="str">
        <v>High</v>
      </c>
      <c r="B254" s="1" t="str">
        <v>LEA-015</v>
      </c>
      <c r="C254" s="1" t="str">
        <v>Leave Application</v>
      </c>
      <c r="D254" s="1" t="str">
        <v>Company Details</v>
      </c>
      <c r="E254" s="1" t="str">
        <v>Company auto-populates based on employee's assigned company</v>
      </c>
      <c r="F254" s="1" t="str">
        <v>BR-LEA-07</v>
      </c>
    </row>
    <row r="255">
      <c r="A255" s="1" t="str">
        <v>High</v>
      </c>
      <c r="B255" s="1" t="str">
        <v>LEA-019</v>
      </c>
      <c r="C255" s="1" t="str">
        <v>Leave Application</v>
      </c>
      <c r="D255" s="1" t="str">
        <v>Date Range</v>
      </c>
      <c r="E255" s="1" t="str">
        <v>From Date cannot be in the past</v>
      </c>
      <c r="F255" s="1" t="str">
        <v>BR-LEA-08</v>
      </c>
    </row>
    <row r="256">
      <c r="A256" s="1" t="str">
        <v>High</v>
      </c>
      <c r="B256" s="1" t="str">
        <v>LEA-023</v>
      </c>
      <c r="C256" s="1" t="str">
        <v>Leave Application</v>
      </c>
      <c r="D256" s="1" t="str">
        <v>Half Day Leave</v>
      </c>
      <c r="E256" s="1" t="str">
        <v>Half Day checkbox can be checked</v>
      </c>
      <c r="F256" s="1" t="str">
        <v>BR-LEA-10</v>
      </c>
    </row>
    <row r="257">
      <c r="A257" s="1" t="str">
        <v>High</v>
      </c>
      <c r="B257" s="1" t="str">
        <v>LEA-024</v>
      </c>
      <c r="C257" s="1" t="str">
        <v>Leave Application</v>
      </c>
      <c r="D257" s="1" t="str">
        <v>Half Day Leave</v>
      </c>
      <c r="E257" s="1" t="str">
        <v>Half Day checkbox can be unchecked</v>
      </c>
      <c r="F257" s="1" t="str">
        <v>BR-LEA-10</v>
      </c>
    </row>
    <row r="258">
      <c r="A258" s="1" t="str">
        <v>High</v>
      </c>
      <c r="B258" s="1" t="str">
        <v>LEA-036</v>
      </c>
      <c r="C258" s="1" t="str">
        <v>Leave Application</v>
      </c>
      <c r="D258" s="1" t="str">
        <v>Posting Date</v>
      </c>
      <c r="E258" s="1" t="str">
        <v>Posting Date is auto-populated with current date</v>
      </c>
      <c r="F258" s="1" t="str">
        <v>BR-LEA-13</v>
      </c>
    </row>
    <row r="259">
      <c r="A259" s="1" t="str">
        <v>High</v>
      </c>
      <c r="B259" s="1" t="str">
        <v>LEA-037</v>
      </c>
      <c r="C259" s="1" t="str">
        <v>Leave Application</v>
      </c>
      <c r="D259" s="1" t="str">
        <v>Posting Date</v>
      </c>
      <c r="E259" s="1" t="str">
        <v>Posting Date cannot be manually changed</v>
      </c>
      <c r="F259" s="1" t="str">
        <v>BR-LEA-13</v>
      </c>
    </row>
    <row r="260">
      <c r="A260" s="1" t="str">
        <v>High</v>
      </c>
      <c r="B260" s="1" t="str">
        <v>LEA-038</v>
      </c>
      <c r="C260" s="1" t="str">
        <v>Leave Application</v>
      </c>
      <c r="D260" s="1" t="str">
        <v>Posting Date</v>
      </c>
      <c r="E260" s="1" t="str">
        <v>Posting Date is recorded accurately on submission</v>
      </c>
      <c r="F260" s="1" t="str">
        <v>BR-LEA-13</v>
      </c>
    </row>
    <row r="261">
      <c r="A261" s="1" t="str">
        <v>High</v>
      </c>
      <c r="B261" s="1" t="str">
        <v>LEA-043</v>
      </c>
      <c r="C261" s="1" t="str">
        <v>Leave Application</v>
      </c>
      <c r="D261" s="1" t="str">
        <v>Leave Balance</v>
      </c>
      <c r="E261" s="1" t="str">
        <v>Leave balance updates are reflected in real-time</v>
      </c>
      <c r="F261" s="1" t="str">
        <v>BR-LEA-06</v>
      </c>
    </row>
    <row r="262">
      <c r="A262" s="1" t="str">
        <v>High</v>
      </c>
      <c r="B262" s="1" t="str">
        <v>LEA-054</v>
      </c>
      <c r="C262" s="1" t="str">
        <v>Leave Application</v>
      </c>
      <c r="D262" s="1" t="str">
        <v>Editing &amp; Updates</v>
      </c>
      <c r="E262" s="1" t="str">
        <v>Edit Leave Type on existing leave application</v>
      </c>
      <c r="F262" s="1" t="str">
        <v>BR-LEA-15</v>
      </c>
    </row>
    <row r="263">
      <c r="A263" s="1" t="str">
        <v>High</v>
      </c>
      <c r="B263" s="1" t="str">
        <v>LEA-055</v>
      </c>
      <c r="C263" s="1" t="str">
        <v>Leave Application</v>
      </c>
      <c r="D263" s="1" t="str">
        <v>Editing &amp; Updates</v>
      </c>
      <c r="E263" s="1" t="str">
        <v>Edit date range on existing leave application</v>
      </c>
      <c r="F263" s="1" t="str">
        <v>BR-LEA-15</v>
      </c>
    </row>
    <row r="264">
      <c r="A264" s="1" t="str">
        <v>High</v>
      </c>
      <c r="B264" s="1" t="str">
        <v>LEA-057</v>
      </c>
      <c r="C264" s="1" t="str">
        <v>Leave Application</v>
      </c>
      <c r="D264" s="1" t="str">
        <v>Editing &amp; Updates</v>
      </c>
      <c r="E264" s="1" t="str">
        <v>Edit leave approver before submission</v>
      </c>
      <c r="F264" s="1" t="str">
        <v>BR-LEA-15</v>
      </c>
    </row>
    <row r="265">
      <c r="A265" s="1" t="str">
        <v>High</v>
      </c>
      <c r="B265" s="1" t="str">
        <v>LEA-063</v>
      </c>
      <c r="C265" s="1" t="str">
        <v>Leave Application</v>
      </c>
      <c r="D265" s="1" t="str">
        <v>Form Actions</v>
      </c>
      <c r="E265" s="1" t="str">
        <v>Duplicate existing Leave Application</v>
      </c>
      <c r="F265" s="1" t="str">
        <v>BR-LEA-16</v>
      </c>
    </row>
    <row r="266">
      <c r="A266" s="1" t="str">
        <v>High</v>
      </c>
      <c r="B266" s="1" t="str">
        <v>LEA-065</v>
      </c>
      <c r="C266" s="1" t="str">
        <v>Leave Application</v>
      </c>
      <c r="D266" s="1" t="str">
        <v>Form Actions</v>
      </c>
      <c r="E266" s="1" t="str">
        <v>Delete Draft Leave Application</v>
      </c>
      <c r="F266" s="1" t="str">
        <v>BR-LEA-16</v>
      </c>
    </row>
    <row r="267">
      <c r="A267" s="1" t="str">
        <v>High</v>
      </c>
      <c r="B267" s="1" t="str">
        <v>SC-003</v>
      </c>
      <c r="C267" s="1" t="str">
        <v>Service Call</v>
      </c>
      <c r="D267" s="1" t="str">
        <v>Service Call Creation &amp; Basic Details</v>
      </c>
      <c r="E267" s="1" t="str">
        <v>Create Service Call with multiple Service Items</v>
      </c>
      <c r="F267" s="1" t="str">
        <v>BR-SC-08</v>
      </c>
    </row>
    <row r="268">
      <c r="A268" s="1" t="str">
        <v>High</v>
      </c>
      <c r="B268" s="1" t="str">
        <v>SC-004</v>
      </c>
      <c r="C268" s="1" t="str">
        <v>Service Call</v>
      </c>
      <c r="D268" s="1" t="str">
        <v>Service Call Creation &amp; Basic Details</v>
      </c>
      <c r="E268" s="1" t="str">
        <v>Create Service Call for Individual customer type</v>
      </c>
      <c r="F268" s="1" t="str">
        <v>BR-SC-03</v>
      </c>
    </row>
    <row r="269">
      <c r="A269" s="1" t="str">
        <v>High</v>
      </c>
      <c r="B269" s="1" t="str">
        <v>SC-005</v>
      </c>
      <c r="C269" s="1" t="str">
        <v>Service Call</v>
      </c>
      <c r="D269" s="1" t="str">
        <v>Service Call Creation &amp; Basic Details</v>
      </c>
      <c r="E269" s="1" t="str">
        <v>Create Service Call for Company customer type</v>
      </c>
      <c r="F269" s="1" t="str">
        <v>BR-SC-03</v>
      </c>
    </row>
    <row r="270">
      <c r="A270" s="1" t="str">
        <v>High</v>
      </c>
      <c r="B270" s="1" t="str">
        <v>SC-008</v>
      </c>
      <c r="C270" s="1" t="str">
        <v>Service Call</v>
      </c>
      <c r="D270" s="1" t="str">
        <v>Customer &amp; Location Validation</v>
      </c>
      <c r="E270" s="1" t="str">
        <v>Service Call can be linked to specific branch location</v>
      </c>
      <c r="F270" s="1" t="str">
        <v>BR-SC-04</v>
      </c>
    </row>
    <row r="271">
      <c r="A271" s="1" t="str">
        <v>High</v>
      </c>
      <c r="B271" s="1" t="str">
        <v>SC-009</v>
      </c>
      <c r="C271" s="1" t="str">
        <v>Service Call</v>
      </c>
      <c r="D271" s="1" t="str">
        <v>Customer &amp; Location Validation</v>
      </c>
      <c r="E271" s="1" t="str">
        <v>Contact person is filtered by selected branch</v>
      </c>
      <c r="F271" s="1" t="str">
        <v>BR-SC-04</v>
      </c>
    </row>
    <row r="272">
      <c r="A272" s="1" t="str">
        <v>High</v>
      </c>
      <c r="B272" s="1" t="str">
        <v>SC-011</v>
      </c>
      <c r="C272" s="1" t="str">
        <v>Service Call</v>
      </c>
      <c r="D272" s="1" t="str">
        <v>Technician Assignment</v>
      </c>
      <c r="E272" s="1" t="str">
        <v>Reassign technician to different Service Call</v>
      </c>
      <c r="F272" s="1" t="str">
        <v>BR-SC-05</v>
      </c>
    </row>
    <row r="273">
      <c r="A273" s="1" t="str">
        <v>High</v>
      </c>
      <c r="B273" s="1" t="str">
        <v>SC-014</v>
      </c>
      <c r="C273" s="1" t="str">
        <v>Service Call</v>
      </c>
      <c r="D273" s="1" t="str">
        <v>Priority &amp; Status Management</v>
      </c>
      <c r="E273" s="1" t="str">
        <v>Create High Priority Service Call</v>
      </c>
      <c r="F273" s="1" t="str">
        <v>BR-SC-06</v>
      </c>
    </row>
    <row r="274">
      <c r="A274" s="1" t="str">
        <v>High</v>
      </c>
      <c r="B274" s="1" t="str">
        <v>SC-022</v>
      </c>
      <c r="C274" s="1" t="str">
        <v>Service Call</v>
      </c>
      <c r="D274" s="1" t="str">
        <v>Service Date &amp; Time</v>
      </c>
      <c r="E274" s="1" t="str">
        <v>Service start time and end time are recorded correctly</v>
      </c>
      <c r="F274" s="1" t="str">
        <v>BR-SC-09</v>
      </c>
    </row>
    <row r="275">
      <c r="A275" s="1" t="str">
        <v>High</v>
      </c>
      <c r="B275" s="1" t="str">
        <v>SC-024</v>
      </c>
      <c r="C275" s="1" t="str">
        <v>Service Call</v>
      </c>
      <c r="D275" s="1" t="str">
        <v>Service Items &amp; Inventory</v>
      </c>
      <c r="E275" s="1" t="str">
        <v>Add multiple Service Items to same Service Call</v>
      </c>
      <c r="F275" s="1" t="str">
        <v>BR-SC-08</v>
      </c>
    </row>
    <row r="276">
      <c r="A276" s="1" t="str">
        <v>High</v>
      </c>
      <c r="B276" s="1" t="str">
        <v>SC-026</v>
      </c>
      <c r="C276" s="1" t="str">
        <v>Service Call</v>
      </c>
      <c r="D276" s="1" t="str">
        <v>Service Items &amp; Inventory</v>
      </c>
      <c r="E276" s="1" t="str">
        <v>Service Item quantity can be updated</v>
      </c>
      <c r="F276" s="1" t="str">
        <v>BR-SC-08</v>
      </c>
    </row>
    <row r="277">
      <c r="A277" s="1" t="str">
        <v>High</v>
      </c>
      <c r="B277" s="1" t="str">
        <v>SC-029</v>
      </c>
      <c r="C277" s="1" t="str">
        <v>Service Call</v>
      </c>
      <c r="D277" s="1" t="str">
        <v>Billing &amp; Cost Calculation</v>
      </c>
      <c r="E277" s="1" t="str">
        <v>Discount applied to Service Call reduces total cost</v>
      </c>
      <c r="F277" s="1" t="str">
        <v>BR-SC-10</v>
      </c>
    </row>
    <row r="278">
      <c r="A278" s="1" t="str">
        <v>High</v>
      </c>
      <c r="B278" s="1" t="str">
        <v>SC-030</v>
      </c>
      <c r="C278" s="1" t="str">
        <v>Service Call</v>
      </c>
      <c r="D278" s="1" t="str">
        <v>Billing &amp; Cost Calculation</v>
      </c>
      <c r="E278" s="1" t="str">
        <v>Additional charges increase Service Call total cost</v>
      </c>
      <c r="F278" s="1" t="str">
        <v>BR-SC-10</v>
      </c>
    </row>
    <row r="279">
      <c r="A279" s="1" t="str">
        <v>High</v>
      </c>
      <c r="B279" s="1" t="str">
        <v>SC-035</v>
      </c>
      <c r="C279" s="1" t="str">
        <v>Service Call</v>
      </c>
      <c r="D279" s="1" t="str">
        <v>Documentation</v>
      </c>
      <c r="E279" s="1" t="str">
        <v>Attach document (image/PDF) to Service Call</v>
      </c>
      <c r="F279" s="1" t="str">
        <v>BR-SC-12</v>
      </c>
    </row>
    <row r="280">
      <c r="A280" s="1" t="str">
        <v>High</v>
      </c>
      <c r="B280" s="1" t="str">
        <v>SC-036</v>
      </c>
      <c r="C280" s="1" t="str">
        <v>Service Call</v>
      </c>
      <c r="D280" s="1" t="str">
        <v>Documentation</v>
      </c>
      <c r="E280" s="1" t="str">
        <v>Add internal notes to Service Call</v>
      </c>
      <c r="F280" s="1" t="str">
        <v>BR-SC-12</v>
      </c>
    </row>
    <row r="281">
      <c r="A281" s="1" t="str">
        <v>High</v>
      </c>
      <c r="B281" s="1" t="str">
        <v>SC-037</v>
      </c>
      <c r="C281" s="1" t="str">
        <v>Service Call</v>
      </c>
      <c r="D281" s="1" t="str">
        <v>Documentation</v>
      </c>
      <c r="E281" s="1" t="str">
        <v>Add customer-visible remarks to Service Call</v>
      </c>
      <c r="F281" s="1" t="str">
        <v>BR-SC-12</v>
      </c>
    </row>
    <row r="282">
      <c r="A282" s="1" t="str">
        <v>High</v>
      </c>
      <c r="B282" s="1" t="str">
        <v>SC-042</v>
      </c>
      <c r="C282" s="1" t="str">
        <v>Service Call</v>
      </c>
      <c r="D282" s="1" t="str">
        <v>Editing &amp; Updates</v>
      </c>
      <c r="E282" s="1" t="str">
        <v>Edit existing Service Call details</v>
      </c>
      <c r="F282" s="1" t="str">
        <v>BR-SC-14</v>
      </c>
    </row>
    <row r="283">
      <c r="A283" s="1" t="str">
        <v>High</v>
      </c>
      <c r="B283" s="1" t="str">
        <v>SC-044</v>
      </c>
      <c r="C283" s="1" t="str">
        <v>Service Call</v>
      </c>
      <c r="D283" s="1" t="str">
        <v>Editing &amp; Updates</v>
      </c>
      <c r="E283" s="1" t="str">
        <v>Edit Service Call technician assignment after creation</v>
      </c>
      <c r="F283" s="1" t="str">
        <v>BR-SC-05</v>
      </c>
    </row>
    <row r="284">
      <c r="A284" s="1" t="str">
        <v>High</v>
      </c>
      <c r="B284" s="1" t="str">
        <v>SC-045</v>
      </c>
      <c r="C284" s="1" t="str">
        <v>Service Call</v>
      </c>
      <c r="D284" s="1" t="str">
        <v>Bulk Operations</v>
      </c>
      <c r="E284" s="1" t="str">
        <v>Duplicate existing Service Call</v>
      </c>
      <c r="F284" s="1" t="str">
        <v>BR-SC-15</v>
      </c>
    </row>
    <row r="285">
      <c r="A285" s="1" t="str">
        <v>High</v>
      </c>
      <c r="B285" s="1" t="str">
        <v>SC-047</v>
      </c>
      <c r="C285" s="1" t="str">
        <v>Service Call</v>
      </c>
      <c r="D285" s="1" t="str">
        <v>Bulk Operations</v>
      </c>
      <c r="E285" s="1" t="str">
        <v>Bulk update Service Call status</v>
      </c>
      <c r="F285" s="1" t="str">
        <v>BR-SC-07</v>
      </c>
    </row>
    <row r="286">
      <c r="A286" s="1" t="str">
        <v>Medium</v>
      </c>
      <c r="B286" s="1" t="str">
        <v>CUST-012</v>
      </c>
      <c r="C286" s="1" t="str">
        <v>AMC Customers</v>
      </c>
      <c r="D286" s="1" t="str">
        <v>Branch Locations</v>
      </c>
      <c r="E286" s="1" t="str">
        <v>Delete a branch location row</v>
      </c>
      <c r="F286" s="1" t="str">
        <v>BR-CUST-06</v>
      </c>
    </row>
    <row r="287">
      <c r="A287" s="1" t="str">
        <v>Medium</v>
      </c>
      <c r="B287" s="1" t="str">
        <v>CUST-017</v>
      </c>
      <c r="C287" s="1" t="str">
        <v>AMC Customers</v>
      </c>
      <c r="D287" s="1" t="str">
        <v>Contact Details</v>
      </c>
      <c r="E287" s="1" t="str">
        <v>Mobile auto-fetched when Contact Person selected on Contract</v>
      </c>
      <c r="F287" s="1" t="str">
        <v>BR-CON-07</v>
      </c>
    </row>
    <row r="288">
      <c r="A288" s="1" t="str">
        <v>Medium</v>
      </c>
      <c r="B288" s="1" t="str">
        <v>CUST-019</v>
      </c>
      <c r="C288" s="1" t="str">
        <v>AMC Customers</v>
      </c>
      <c r="D288" s="1" t="str">
        <v>Connections Tab</v>
      </c>
      <c r="E288" s="1" t="str">
        <v>Connections tab shows linked Service Calls for customer</v>
      </c>
      <c r="F288" s="1" t="str">
        <v>BR-CUST-09</v>
      </c>
    </row>
    <row r="289">
      <c r="A289" s="1" t="str">
        <v>Medium</v>
      </c>
      <c r="B289" s="1" t="str">
        <v>CON-021</v>
      </c>
      <c r="C289" s="1" t="str">
        <v>AMC Contract</v>
      </c>
      <c r="D289" s="1" t="str">
        <v>Contract Status</v>
      </c>
      <c r="E289" s="1" t="str">
        <v>Status is blank by default on new contract</v>
      </c>
      <c r="F289" s="1" t="str">
        <v>BR-CON-09</v>
      </c>
    </row>
    <row r="290">
      <c r="A290" s="1" t="str">
        <v>Medium</v>
      </c>
      <c r="B290" s="1" t="str">
        <v>VEN-016</v>
      </c>
      <c r="C290" s="1" t="str">
        <v>Vendor</v>
      </c>
      <c r="D290" s="1" t="str">
        <v>Registered Address</v>
      </c>
      <c r="E290" s="1" t="str">
        <v>Registered Address with special characters is accepted</v>
      </c>
      <c r="F290" s="1" t="str">
        <v>BR-VEN-06</v>
      </c>
    </row>
    <row r="291">
      <c r="A291" s="1" t="str">
        <v>Medium</v>
      </c>
      <c r="B291" s="1" t="str">
        <v>VEN-019</v>
      </c>
      <c r="C291" s="1" t="str">
        <v>Vendor</v>
      </c>
      <c r="D291" s="1" t="str">
        <v>Address Table</v>
      </c>
      <c r="E291" s="1" t="str">
        <v>Delete address row from table</v>
      </c>
      <c r="F291" s="1" t="str">
        <v>BR-VEN-07</v>
      </c>
    </row>
    <row r="292">
      <c r="A292" s="1" t="str">
        <v>Medium</v>
      </c>
      <c r="B292" s="1" t="str">
        <v>VEN-028</v>
      </c>
      <c r="C292" s="1" t="str">
        <v>Vendor</v>
      </c>
      <c r="D292" s="1" t="str">
        <v>Data Validation</v>
      </c>
      <c r="E292" s="1" t="str">
        <v>Vendor Name with special characters is accepted</v>
      </c>
      <c r="F292" s="1" t="str">
        <v>BR-VEN-01</v>
      </c>
    </row>
    <row r="293">
      <c r="A293" s="1" t="str">
        <v>Medium</v>
      </c>
      <c r="B293" s="1" t="str">
        <v>VEN-029</v>
      </c>
      <c r="C293" s="1" t="str">
        <v>Vendor</v>
      </c>
      <c r="D293" s="1" t="str">
        <v>Data Validation</v>
      </c>
      <c r="E293" s="1" t="str">
        <v>Type field dropdown shows all available options</v>
      </c>
      <c r="F293" s="1" t="str">
        <v>BR-VEN-02</v>
      </c>
    </row>
    <row r="294">
      <c r="A294" s="1" t="str">
        <v>Medium</v>
      </c>
      <c r="B294" s="1" t="str">
        <v>VEN-034</v>
      </c>
      <c r="C294" s="1" t="str">
        <v>Vendor</v>
      </c>
      <c r="D294" s="1" t="str">
        <v>Editing &amp; Updates</v>
      </c>
      <c r="E294" s="1" t="str">
        <v>Edit Registered Address</v>
      </c>
      <c r="F294" s="1" t="str">
        <v>BR-VEN-10</v>
      </c>
    </row>
    <row r="295">
      <c r="A295" s="1" t="str">
        <v>Medium</v>
      </c>
      <c r="B295" s="1" t="str">
        <v>VEN-035</v>
      </c>
      <c r="C295" s="1" t="str">
        <v>Vendor</v>
      </c>
      <c r="D295" s="1" t="str">
        <v>Editing &amp; Updates</v>
      </c>
      <c r="E295" s="1" t="str">
        <v>Edit address table rows</v>
      </c>
      <c r="F295" s="1" t="str">
        <v>BR-VEN-10</v>
      </c>
    </row>
    <row r="296">
      <c r="A296" s="1" t="str">
        <v>Medium</v>
      </c>
      <c r="B296" s="1" t="str">
        <v>VEN-037</v>
      </c>
      <c r="C296" s="1" t="str">
        <v>Vendor</v>
      </c>
      <c r="D296" s="1" t="str">
        <v>Form Actions</v>
      </c>
      <c r="E296" s="1" t="str">
        <v>Form shows "Not Saved" status before save</v>
      </c>
      <c r="F296" s="1" t="str">
        <v>BR-VEN-11</v>
      </c>
    </row>
    <row r="297">
      <c r="A297" s="1" t="str">
        <v>Medium</v>
      </c>
      <c r="B297" s="1" t="str">
        <v>VEN-038</v>
      </c>
      <c r="C297" s="1" t="str">
        <v>Vendor</v>
      </c>
      <c r="D297" s="1" t="str">
        <v>Form Actions</v>
      </c>
      <c r="E297" s="1" t="str">
        <v>Form shows "Saved" status after successful save</v>
      </c>
      <c r="F297" s="1" t="str">
        <v>BR-VEN-11</v>
      </c>
    </row>
    <row r="298">
      <c r="A298" s="1" t="str">
        <v>Medium</v>
      </c>
      <c r="B298" s="1" t="str">
        <v>ATT-016</v>
      </c>
      <c r="C298" s="1" t="str">
        <v>Attendance</v>
      </c>
      <c r="D298" s="1" t="str">
        <v>Attendance Date</v>
      </c>
      <c r="E298" s="1" t="str">
        <v>Future attendance date is accepted</v>
      </c>
      <c r="F298" s="1" t="str">
        <v>BR-ATT-07</v>
      </c>
    </row>
    <row r="299">
      <c r="A299" s="1" t="str">
        <v>Medium</v>
      </c>
      <c r="B299" s="1" t="str">
        <v>ATT-024</v>
      </c>
      <c r="C299" s="1" t="str">
        <v>Attendance</v>
      </c>
      <c r="D299" s="1" t="str">
        <v>Company Assignment</v>
      </c>
      <c r="E299" s="1" t="str">
        <v>Company field can be manually changed</v>
      </c>
      <c r="F299" s="1" t="str">
        <v>BR-ATT-08</v>
      </c>
    </row>
    <row r="300">
      <c r="A300" s="1" t="str">
        <v>Medium</v>
      </c>
      <c r="B300" s="1" t="str">
        <v>ATT-026</v>
      </c>
      <c r="C300" s="1" t="str">
        <v>Attendance</v>
      </c>
      <c r="D300" s="1" t="str">
        <v>Shift Details</v>
      </c>
      <c r="E300" s="1" t="str">
        <v>Shift field is optional and can be left blank</v>
      </c>
      <c r="F300" s="1" t="str">
        <v>BR-ATT-09</v>
      </c>
    </row>
    <row r="301">
      <c r="A301" s="1" t="str">
        <v>Medium</v>
      </c>
      <c r="B301" s="1" t="str">
        <v>ATT-028</v>
      </c>
      <c r="C301" s="1" t="str">
        <v>Attendance</v>
      </c>
      <c r="D301" s="1" t="str">
        <v>Shift Details</v>
      </c>
      <c r="E301" s="1" t="str">
        <v>Multiple shifts can be assigned to same employee on different dates</v>
      </c>
      <c r="F301" s="1" t="str">
        <v>BR-ATT-09</v>
      </c>
    </row>
    <row r="302">
      <c r="A302" s="1" t="str">
        <v>Medium</v>
      </c>
      <c r="B302" s="1" t="str">
        <v>ATT-033</v>
      </c>
      <c r="C302" s="1" t="str">
        <v>Attendance</v>
      </c>
      <c r="D302" s="1" t="str">
        <v>Late Entry Tracking</v>
      </c>
      <c r="E302" s="1" t="str">
        <v>Late Entry checkbox can be unchecked</v>
      </c>
      <c r="F302" s="1" t="str">
        <v>BR-ATT-10</v>
      </c>
    </row>
    <row r="303">
      <c r="A303" s="1" t="str">
        <v>Medium</v>
      </c>
      <c r="B303" s="1" t="str">
        <v>ATT-038</v>
      </c>
      <c r="C303" s="1" t="str">
        <v>Attendance</v>
      </c>
      <c r="D303" s="1" t="str">
        <v>Early Exit Tracking</v>
      </c>
      <c r="E303" s="1" t="str">
        <v>Early Exit checkbox can be unchecked</v>
      </c>
      <c r="F303" s="1" t="str">
        <v>BR-ATT-11</v>
      </c>
    </row>
    <row r="304">
      <c r="A304" s="1" t="str">
        <v>Medium</v>
      </c>
      <c r="B304" s="1" t="str">
        <v>ATT-047</v>
      </c>
      <c r="C304" s="1" t="str">
        <v>Attendance</v>
      </c>
      <c r="D304" s="1" t="str">
        <v>Editing &amp; Updates</v>
      </c>
      <c r="E304" s="1" t="str">
        <v>Edit Shift details</v>
      </c>
      <c r="F304" s="1" t="str">
        <v>BR-ATT-13</v>
      </c>
    </row>
    <row r="305">
      <c r="A305" s="1" t="str">
        <v>Medium</v>
      </c>
      <c r="B305" s="1" t="str">
        <v>ATT-048</v>
      </c>
      <c r="C305" s="1" t="str">
        <v>Attendance</v>
      </c>
      <c r="D305" s="1" t="str">
        <v>Editing &amp; Updates</v>
      </c>
      <c r="E305" s="1" t="str">
        <v>Toggle Late Entry checkbox</v>
      </c>
      <c r="F305" s="1" t="str">
        <v>BR-ATT-13</v>
      </c>
    </row>
    <row r="306">
      <c r="A306" s="1" t="str">
        <v>Medium</v>
      </c>
      <c r="B306" s="1" t="str">
        <v>ATT-049</v>
      </c>
      <c r="C306" s="1" t="str">
        <v>Attendance</v>
      </c>
      <c r="D306" s="1" t="str">
        <v>Editing &amp; Updates</v>
      </c>
      <c r="E306" s="1" t="str">
        <v>Toggle Early Exit checkbox</v>
      </c>
      <c r="F306" s="1" t="str">
        <v>BR-ATT-13</v>
      </c>
    </row>
    <row r="307">
      <c r="A307" s="1" t="str">
        <v>Medium</v>
      </c>
      <c r="B307" s="1" t="str">
        <v>ATT-051</v>
      </c>
      <c r="C307" s="1" t="str">
        <v>Attendance</v>
      </c>
      <c r="D307" s="1" t="str">
        <v>Form Actions</v>
      </c>
      <c r="E307" s="1" t="str">
        <v>Form shows "Not Saved" status before save</v>
      </c>
      <c r="F307" s="1" t="str">
        <v>BR-ATT-14</v>
      </c>
    </row>
    <row r="308">
      <c r="A308" s="1" t="str">
        <v>Medium</v>
      </c>
      <c r="B308" s="1" t="str">
        <v>ATT-052</v>
      </c>
      <c r="C308" s="1" t="str">
        <v>Attendance</v>
      </c>
      <c r="D308" s="1" t="str">
        <v>Form Actions</v>
      </c>
      <c r="E308" s="1" t="str">
        <v>Form shows "Saved" status after successful save</v>
      </c>
      <c r="F308" s="1" t="str">
        <v>BR-ATT-14</v>
      </c>
    </row>
    <row r="309">
      <c r="A309" s="1" t="str">
        <v>Medium</v>
      </c>
      <c r="B309" s="1" t="str">
        <v>EXP-023</v>
      </c>
      <c r="C309" s="1" t="str">
        <v>Expense Claim</v>
      </c>
      <c r="D309" s="1" t="str">
        <v>Expenses Table</v>
      </c>
      <c r="E309" s="1" t="str">
        <v>Delete expense row from table</v>
      </c>
      <c r="F309" s="1" t="str">
        <v>BR-EXP-08</v>
      </c>
    </row>
    <row r="310">
      <c r="A310" s="1" t="str">
        <v>Medium</v>
      </c>
      <c r="B310" s="1" t="str">
        <v>EXP-027</v>
      </c>
      <c r="C310" s="1" t="str">
        <v>Expense Claim</v>
      </c>
      <c r="D310" s="1" t="str">
        <v>Expenses Table</v>
      </c>
      <c r="E310" s="1" t="str">
        <v>Description field is optional</v>
      </c>
      <c r="F310" s="1" t="str">
        <v>BR-EXP-08</v>
      </c>
    </row>
    <row r="311">
      <c r="A311" s="1" t="str">
        <v>Medium</v>
      </c>
      <c r="B311" s="1" t="str">
        <v>EXP-036</v>
      </c>
      <c r="C311" s="1" t="str">
        <v>Expense Claim</v>
      </c>
      <c r="D311" s="1" t="str">
        <v>Taxes &amp; Charges</v>
      </c>
      <c r="E311" s="1" t="str">
        <v>Delete tax row from table</v>
      </c>
      <c r="F311" s="1" t="str">
        <v>BR-EXP-12</v>
      </c>
    </row>
    <row r="312">
      <c r="A312" s="1" t="str">
        <v>Medium</v>
      </c>
      <c r="B312" s="1" t="str">
        <v>EXP-042</v>
      </c>
      <c r="C312" s="1" t="str">
        <v>Expense Claim</v>
      </c>
      <c r="D312" s="1" t="str">
        <v>Accounting Details</v>
      </c>
      <c r="E312" s="1" t="str">
        <v>Project field can be linked to expense claim</v>
      </c>
      <c r="F312" s="1" t="str">
        <v>BR-EXP-13</v>
      </c>
    </row>
    <row r="313">
      <c r="A313" s="1" t="str">
        <v>Medium</v>
      </c>
      <c r="B313" s="1" t="str">
        <v>EXP-057</v>
      </c>
      <c r="C313" s="1" t="str">
        <v>Expense Claim</v>
      </c>
      <c r="D313" s="1" t="str">
        <v>Form Actions</v>
      </c>
      <c r="E313" s="1" t="str">
        <v>Form shows "Not Saved" status before save</v>
      </c>
      <c r="F313" s="1" t="str">
        <v>BR-EXP-16</v>
      </c>
    </row>
    <row r="314">
      <c r="A314" s="1" t="str">
        <v>Medium</v>
      </c>
      <c r="B314" s="1" t="str">
        <v>EXP-058</v>
      </c>
      <c r="C314" s="1" t="str">
        <v>Expense Claim</v>
      </c>
      <c r="D314" s="1" t="str">
        <v>Form Actions</v>
      </c>
      <c r="E314" s="1" t="str">
        <v>Form shows "Saved" status after successful save</v>
      </c>
      <c r="F314" s="1" t="str">
        <v>BR-EXP-16</v>
      </c>
    </row>
    <row r="315">
      <c r="A315" s="1" t="str">
        <v>Medium</v>
      </c>
      <c r="B315" s="1" t="str">
        <v>LEA-029</v>
      </c>
      <c r="C315" s="1" t="str">
        <v>Leave Application</v>
      </c>
      <c r="D315" s="1" t="str">
        <v>Reason</v>
      </c>
      <c r="E315" s="1" t="str">
        <v>Reason field is optional</v>
      </c>
      <c r="F315" s="1" t="str">
        <v>BR-LEA-11</v>
      </c>
    </row>
    <row r="316">
      <c r="A316" s="1" t="str">
        <v>Medium</v>
      </c>
      <c r="B316" s="1" t="str">
        <v>LEA-030</v>
      </c>
      <c r="C316" s="1" t="str">
        <v>Leave Application</v>
      </c>
      <c r="D316" s="1" t="str">
        <v>Reason</v>
      </c>
      <c r="E316" s="1" t="str">
        <v>Reason field accepts text input</v>
      </c>
      <c r="F316" s="1" t="str">
        <v>BR-LEA-11</v>
      </c>
    </row>
    <row r="317">
      <c r="A317" s="1" t="str">
        <v>Medium</v>
      </c>
      <c r="B317" s="1" t="str">
        <v>LEA-031</v>
      </c>
      <c r="C317" s="1" t="str">
        <v>Leave Application</v>
      </c>
      <c r="D317" s="1" t="str">
        <v>Reason</v>
      </c>
      <c r="E317" s="1" t="str">
        <v>Reason field accepts special characters</v>
      </c>
      <c r="F317" s="1" t="str">
        <v>BR-LEA-11</v>
      </c>
    </row>
    <row r="318">
      <c r="A318" s="1" t="str">
        <v>Medium</v>
      </c>
      <c r="B318" s="1" t="str">
        <v>LEA-056</v>
      </c>
      <c r="C318" s="1" t="str">
        <v>Leave Application</v>
      </c>
      <c r="D318" s="1" t="str">
        <v>Editing &amp; Updates</v>
      </c>
      <c r="E318" s="1" t="str">
        <v>Edit reason on existing leave application</v>
      </c>
      <c r="F318" s="1" t="str">
        <v>BR-LEA-15</v>
      </c>
    </row>
    <row r="319">
      <c r="A319" s="1" t="str">
        <v>Medium</v>
      </c>
      <c r="B319" s="1" t="str">
        <v>LEA-061</v>
      </c>
      <c r="C319" s="1" t="str">
        <v>Leave Application</v>
      </c>
      <c r="D319" s="1" t="str">
        <v>Form Actions</v>
      </c>
      <c r="E319" s="1" t="str">
        <v>Form shows "Not Saved" status before save</v>
      </c>
      <c r="F319" s="1" t="str">
        <v>BR-LEA-16</v>
      </c>
    </row>
    <row r="320">
      <c r="A320" s="1" t="str">
        <v>Medium</v>
      </c>
      <c r="B320" s="1" t="str">
        <v>LEA-062</v>
      </c>
      <c r="C320" s="1" t="str">
        <v>Leave Application</v>
      </c>
      <c r="D320" s="1" t="str">
        <v>Form Actions</v>
      </c>
      <c r="E320" s="1" t="str">
        <v>Form shows "Saved" status after successful save</v>
      </c>
      <c r="F320" s="1" t="str">
        <v>BR-LEA-16</v>
      </c>
    </row>
    <row r="321">
      <c r="A321" s="1" t="str">
        <v>Medium</v>
      </c>
      <c r="B321" s="1" t="str">
        <v>SC-012</v>
      </c>
      <c r="C321" s="1" t="str">
        <v>Service Call</v>
      </c>
      <c r="D321" s="1" t="str">
        <v>Technician Assignment</v>
      </c>
      <c r="E321" s="1" t="str">
        <v>Service Call without technician assignment is saved successfully</v>
      </c>
      <c r="F321" s="1" t="str">
        <v>BR-SC-05</v>
      </c>
    </row>
    <row r="322">
      <c r="A322" s="1" t="str">
        <v>Medium</v>
      </c>
      <c r="B322" s="1" t="str">
        <v>SC-015</v>
      </c>
      <c r="C322" s="1" t="str">
        <v>Service Call</v>
      </c>
      <c r="D322" s="1" t="str">
        <v>Priority &amp; Status Management</v>
      </c>
      <c r="E322" s="1" t="str">
        <v>Create Low Priority Service Call</v>
      </c>
      <c r="F322" s="1" t="str">
        <v>BR-SC-06</v>
      </c>
    </row>
    <row r="323">
      <c r="A323" s="1" t="str">
        <v>Medium</v>
      </c>
      <c r="B323" s="1" t="str">
        <v>SC-025</v>
      </c>
      <c r="C323" s="1" t="str">
        <v>Service Call</v>
      </c>
      <c r="D323" s="1" t="str">
        <v>Service Items &amp; Inventory</v>
      </c>
      <c r="E323" s="1" t="str">
        <v>Delete Service Item row from Service Call</v>
      </c>
      <c r="F323" s="1" t="str">
        <v>BR-SC-08</v>
      </c>
    </row>
    <row r="324">
      <c r="A324" s="1" t="str">
        <v>Medium</v>
      </c>
      <c r="B324" s="1" t="str">
        <v>SC-038</v>
      </c>
      <c r="C324" s="1" t="str">
        <v>Service Call</v>
      </c>
      <c r="D324" s="1" t="str">
        <v>Documentation</v>
      </c>
      <c r="E324" s="1" t="str">
        <v>Delete attached document from Service Call</v>
      </c>
      <c r="F324" s="1" t="str">
        <v>BR-SC-12</v>
      </c>
    </row>
    <row r="327">
      <c r="A327" s="1" t="str">
        <v>Priority Summary</v>
      </c>
    </row>
    <row r="328">
      <c r="A328" s="1" t="str">
        <v>Priority</v>
      </c>
      <c r="B328" s="1" t="str">
        <v>Count</v>
      </c>
      <c r="C328" s="1" t="str">
        <v>% of Total</v>
      </c>
    </row>
    <row r="329">
      <c r="A329" s="1" t="str">
        <v>Critical</v>
      </c>
      <c r="B329" s="1">
        <v>168</v>
      </c>
      <c r="C329" s="1">
        <v>0.525</v>
      </c>
    </row>
    <row r="330">
      <c r="A330" s="1" t="str">
        <v>High</v>
      </c>
      <c r="B330" s="1">
        <v>113</v>
      </c>
      <c r="C330" s="1">
        <v>0.353125</v>
      </c>
    </row>
    <row r="331">
      <c r="A331" s="1" t="str">
        <v>Medium</v>
      </c>
      <c r="B331" s="1">
        <v>39</v>
      </c>
      <c r="C331" s="1">
        <v>0.121875</v>
      </c>
    </row>
  </sheetData>
  <mergeCells count="3">
    <mergeCell ref="A1:F1"/>
    <mergeCell ref="A2:F2"/>
    <mergeCell ref="A327:F327"/>
  </mergeCells>
  <pageMargins left="0.75" right="0.75" top="1" bottom="1" header="0.511811023622047" footer="0.511811023622047"/>
  <ignoredErrors>
    <ignoredError numberStoredAsText="1" sqref="A1:F331"/>
  </ignoredErrors>
</worksheet>
</file>

<file path=xl/worksheets/sheet5.xml><?xml version="1.0" encoding="utf-8"?>
<worksheet xmlns="http://schemas.openxmlformats.org/spreadsheetml/2006/main" xmlns:r="http://schemas.openxmlformats.org/officeDocument/2006/relationships">
  <dimension ref="A1:F109"/>
  <sheetViews>
    <sheetView workbookViewId="0" rightToLeft="0"/>
  </sheetViews>
  <sheetData>
    <row r="1">
      <c r="A1" s="1" t="str">
        <v>AMC Core — Master Business Rules Reference</v>
      </c>
    </row>
    <row r="2">
      <c r="A2" s="1" t="str">
        <v>98 business rules across 7 DocTypes. Every test case traces to exactly one rule.</v>
      </c>
    </row>
    <row r="4">
      <c r="A4" s="1" t="str">
        <v>Rule ID</v>
      </c>
      <c r="B4" s="1" t="str">
        <v>DocType</v>
      </c>
      <c r="C4" s="1" t="str">
        <v>Category</v>
      </c>
      <c r="D4" s="1" t="str">
        <v>Rule Name</v>
      </c>
      <c r="E4" s="1" t="str">
        <v>Description / ERPNext v15 Field Details</v>
      </c>
      <c r="F4" s="1" t="str">
        <v>Test Cases</v>
      </c>
    </row>
    <row r="5">
      <c r="A5" s="1" t="str">
        <v>▌ AMC Customers</v>
      </c>
    </row>
    <row r="6">
      <c r="A6" s="1" t="str">
        <v>BR-CUST-01</v>
      </c>
      <c r="B6" s="1" t="str">
        <v>AMC Customers</v>
      </c>
      <c r="C6" s="1" t="str">
        <v>Creation</v>
      </c>
      <c r="D6" s="1" t="str">
        <v>Customer Name is primary identifier</v>
      </c>
      <c r="E6" s="1" t="str">
        <v>Customer Name is core searchable field. Naming series CUST-.####. auto-assigns ID.</v>
      </c>
      <c r="F6" s="1" t="str">
        <v>CUST-001, CUST-002</v>
      </c>
    </row>
    <row r="7">
      <c r="A7" s="1" t="str">
        <v>BR-CUST-02</v>
      </c>
      <c r="B7" s="1" t="str">
        <v>AMC Customers</v>
      </c>
      <c r="C7" s="1" t="str">
        <v>Creation</v>
      </c>
      <c r="D7" s="1" t="str">
        <v>Customer Type classifies legal entity</v>
      </c>
      <c r="E7" s="1" t="str">
        <v>Must be Company, Individual, or Partnership. Determines tax and contact rules.</v>
      </c>
      <c r="F7" s="1" t="str">
        <v>CUST-003, CUST-004</v>
      </c>
    </row>
    <row r="8">
      <c r="A8" s="1" t="str">
        <v>BR-CUST-03</v>
      </c>
      <c r="B8" s="1" t="str">
        <v>AMC Customers</v>
      </c>
      <c r="C8" s="1" t="str">
        <v>GST Validation</v>
      </c>
      <c r="D8" s="1" t="str">
        <v>GST must match 15-char regex or be blank</v>
      </c>
      <c r="E8" s="1" t="str">
        <v>Regex: ^$|^[0-9]{2}[A-Z]{4}[A-Z0-9]{1}[0-9]{4}[A-Z]{1}[1-9A-Z]{1}[A-Z]{1}[A-Z0-9]{1}$. Error message shown on mismatch.</v>
      </c>
      <c r="F8" s="1" t="str">
        <v>CUST-005, CUST-006, CUST-008</v>
      </c>
    </row>
    <row r="9">
      <c r="A9" s="1" t="str">
        <v>BR-CUST-04</v>
      </c>
      <c r="B9" s="1" t="str">
        <v>AMC Customers</v>
      </c>
      <c r="C9" s="1" t="str">
        <v>GST Validation</v>
      </c>
      <c r="D9" s="1" t="str">
        <v>GST is unique across all customers</v>
      </c>
      <c r="E9" s="1" t="str">
        <v>unique:1 on GST field. Two customers cannot share same GSTIN.</v>
      </c>
      <c r="F9" s="1" t="str">
        <v>CUST-007</v>
      </c>
    </row>
    <row r="10">
      <c r="A10" s="1" t="str">
        <v>BR-CUST-05</v>
      </c>
      <c r="B10" s="1" t="str">
        <v>AMC Customers</v>
      </c>
      <c r="C10" s="1" t="str">
        <v>PAN Validation</v>
      </c>
      <c r="D10" s="1" t="str">
        <v>PAN is unique across all customers</v>
      </c>
      <c r="E10" s="1" t="str">
        <v>unique:1 on PAN field. Two customers cannot share same PAN.</v>
      </c>
      <c r="F10" s="1" t="str">
        <v>CUST-009</v>
      </c>
    </row>
    <row r="11">
      <c r="A11" s="1" t="str">
        <v>BR-CUST-06</v>
      </c>
      <c r="B11" s="1" t="str">
        <v>AMC Customers</v>
      </c>
      <c r="C11" s="1" t="str">
        <v>Branches</v>
      </c>
      <c r="D11" s="1" t="str">
        <v>Branch Locations define service sites</v>
      </c>
      <c r="E11" s="1" t="str">
        <v>Customer Branch Mapping child table: Branch + Address. Branches link to Contracts.</v>
      </c>
      <c r="F11" s="1" t="str">
        <v>CUST-010, CUST-011, CUST-012, CUST-013</v>
      </c>
    </row>
    <row r="12">
      <c r="A12" s="1" t="str">
        <v>BR-CUST-07</v>
      </c>
      <c r="B12" s="1" t="str">
        <v>AMC Customers</v>
      </c>
      <c r="C12" s="1" t="str">
        <v>Contacts</v>
      </c>
      <c r="D12" s="1" t="str">
        <v>Contact Details store per-branch persons</v>
      </c>
      <c r="E12" s="1" t="str">
        <v>Customer Contact Mapping: Name, Mobile, Email, Branch, Is Primary. Drives contract contact selection.</v>
      </c>
      <c r="F12" s="1" t="str">
        <v>CUST-014, CUST-016, CUST-017</v>
      </c>
    </row>
    <row r="13">
      <c r="A13" s="1" t="str">
        <v>BR-CUST-08</v>
      </c>
      <c r="B13" s="1" t="str">
        <v>AMC Customers</v>
      </c>
      <c r="C13" s="1" t="str">
        <v>Contacts</v>
      </c>
      <c r="D13" s="1" t="str">
        <v>Only one Is Primary contact per customer</v>
      </c>
      <c r="E13" s="1" t="str">
        <v>Business rule: Is Primary uniqueness per customer to avoid escalation ambiguity.</v>
      </c>
      <c r="F13" s="1" t="str">
        <v>CUST-015</v>
      </c>
    </row>
    <row r="14">
      <c r="A14" s="1" t="str">
        <v>BR-CUST-09</v>
      </c>
      <c r="B14" s="1" t="str">
        <v>AMC Customers</v>
      </c>
      <c r="C14" s="1" t="str">
        <v>Connections</v>
      </c>
      <c r="D14" s="1" t="str">
        <v>Customer links to Contracts and Service Calls</v>
      </c>
      <c r="E14" s="1" t="str">
        <v>links[]: AMC Contract.customer + Service Call.customer. Visible in Connections tab HTML.</v>
      </c>
      <c r="F14" s="1" t="str">
        <v>CUST-018, CUST-019</v>
      </c>
    </row>
    <row r="15">
      <c r="A15" s="1" t="str">
        <v>BR-CUST-10</v>
      </c>
      <c r="B15" s="1" t="str">
        <v>AMC Customers</v>
      </c>
      <c r="C15" s="1" t="str">
        <v>Data Integrity</v>
      </c>
      <c r="D15" s="1" t="str">
        <v>Customer with active contracts cannot be deleted</v>
      </c>
      <c r="E15" s="1" t="str">
        <v>Referential integrity: deletion blocked if AMC Contracts reference this customer.</v>
      </c>
      <c r="F15" s="1" t="str">
        <v>CUST-021, CON-031</v>
      </c>
    </row>
    <row r="16">
      <c r="A16" s="1" t="str">
        <v>BR-CUST-11</v>
      </c>
      <c r="B16" s="1" t="str">
        <v>AMC Customers</v>
      </c>
      <c r="C16" s="1" t="str">
        <v>Permissions</v>
      </c>
      <c r="D16" s="1" t="str">
        <v>Technician has read-only access to customers</v>
      </c>
      <c r="E16" s="1" t="str">
        <v>Permissions: Technician read:1 only. No create, write, delete on AMC Customers.</v>
      </c>
      <c r="F16" s="1" t="str">
        <v>CUST-020</v>
      </c>
    </row>
    <row r="17">
      <c r="A17" s="1" t="str">
        <v>▌ AMC Contract</v>
      </c>
    </row>
    <row r="18">
      <c r="A18" s="1" t="str">
        <v>BR-CON-01</v>
      </c>
      <c r="B18" s="1" t="str">
        <v>AMC Contract</v>
      </c>
      <c r="C18" s="1" t="str">
        <v>Mandatory Fields</v>
      </c>
      <c r="D18" s="1" t="str">
        <v>Start Date, End Date, No of Services required</v>
      </c>
      <c r="E18" s="1" t="str">
        <v>reqd:1 on all three. Save is blocked without any of these fields.</v>
      </c>
      <c r="F18" s="1" t="str">
        <v>CON-001, CON-002, CON-003, CON-004</v>
      </c>
    </row>
    <row r="19">
      <c r="A19" s="1" t="str">
        <v>BR-CON-02</v>
      </c>
      <c r="B19" s="1" t="str">
        <v>AMC Contract</v>
      </c>
      <c r="C19" s="1" t="str">
        <v>Auto-Naming</v>
      </c>
      <c r="D19" s="1" t="str">
        <v>Contract name follows AMC-.YY.MM.-.#### series</v>
      </c>
      <c r="E19" s="1" t="str">
        <v>naming_series: "AMC-.YY.MM.-.####". Provides month-stamped, chronological IDs.</v>
      </c>
      <c r="F19" s="1" t="str">
        <v>CON-005</v>
      </c>
    </row>
    <row r="20">
      <c r="A20" s="1" t="str">
        <v>BR-CON-03</v>
      </c>
      <c r="B20" s="1" t="str">
        <v>AMC Contract</v>
      </c>
      <c r="C20" s="1" t="str">
        <v>Date Logic</v>
      </c>
      <c r="D20" s="1" t="str">
        <v>End Date must be &gt;= Start Date</v>
      </c>
      <c r="E20" s="1" t="str">
        <v>Business rule: end &lt; start must be rejected. Same-day and multi-year spans are valid.</v>
      </c>
      <c r="F20" s="1" t="str">
        <v>CON-006, CON-007, CON-008</v>
      </c>
    </row>
    <row r="21">
      <c r="A21" s="1" t="str">
        <v>BR-CON-04</v>
      </c>
      <c r="B21" s="1" t="str">
        <v>AMC Contract</v>
      </c>
      <c r="C21" s="1" t="str">
        <v>Service Count</v>
      </c>
      <c r="D21" s="1" t="str">
        <v>No of Services drives Maintenance Schedule rows</v>
      </c>
      <c r="E21" s="1" t="str">
        <v>Select 1-12. Must generate exactly that many rows in Maintenance Schedule child table.</v>
      </c>
      <c r="F21" s="1" t="str">
        <v>CON-009 to CON-013, CON-029</v>
      </c>
    </row>
    <row r="22">
      <c r="A22" s="1" t="str">
        <v>BR-CON-05</v>
      </c>
      <c r="B22" s="1" t="str">
        <v>AMC Contract</v>
      </c>
      <c r="C22" s="1" t="str">
        <v>Service Count</v>
      </c>
      <c r="D22" s="1" t="str">
        <v>Schedule dates must fall within contract period</v>
      </c>
      <c r="E22" s="1" t="str">
        <v>Each generated date &gt;= start_date and &lt;= end_date.</v>
      </c>
      <c r="F22" s="1" t="str">
        <v>CON-012</v>
      </c>
    </row>
    <row r="23">
      <c r="A23" s="1" t="str">
        <v>BR-CON-06</v>
      </c>
      <c r="B23" s="1" t="str">
        <v>AMC Contract</v>
      </c>
      <c r="C23" s="1" t="str">
        <v>Customer Linkage</v>
      </c>
      <c r="D23" s="1" t="str">
        <v>Branch filtered by selected Customer</v>
      </c>
      <c r="E23" s="1" t="str">
        <v>link_filters: Customer Branch.customer = doc.customer. Branch only shows that customer's branches.</v>
      </c>
      <c r="F23" s="1" t="str">
        <v>CON-015, CON-016, CON-017</v>
      </c>
    </row>
    <row r="24">
      <c r="A24" s="1" t="str">
        <v>BR-CON-07</v>
      </c>
      <c r="B24" s="1" t="str">
        <v>AMC Contract</v>
      </c>
      <c r="C24" s="1" t="str">
        <v>Contact Linkage</v>
      </c>
      <c r="D24" s="1" t="str">
        <v>Contact Person filtered by selected Branch</v>
      </c>
      <c r="E24" s="1" t="str">
        <v>link_filters: Customer Contact.branch = doc.branch. Mobile auto-fetched via fetch_from.</v>
      </c>
      <c r="F24" s="1" t="str">
        <v>CON-018, CUST-016, CUST-017</v>
      </c>
    </row>
    <row r="25">
      <c r="A25" s="1" t="str">
        <v>BR-CON-08</v>
      </c>
      <c r="B25" s="1" t="str">
        <v>AMC Contract</v>
      </c>
      <c r="C25" s="1" t="str">
        <v>Equipment</v>
      </c>
      <c r="D25" s="1" t="str">
        <v>Maintenance Schedule stores equipment per visit</v>
      </c>
      <c r="E25" s="1" t="str">
        <v>Child table columns: Equipment, Quantity, Unit, Description. Per-visit specification.</v>
      </c>
      <c r="F25" s="1" t="str">
        <v>CON-014, CON-026</v>
      </c>
    </row>
    <row r="26">
      <c r="A26" s="1" t="str">
        <v>BR-CON-09</v>
      </c>
      <c r="B26" s="1" t="str">
        <v>AMC Contract</v>
      </c>
      <c r="C26" s="1" t="str">
        <v>Status</v>
      </c>
      <c r="D26" s="1" t="str">
        <v>Status: blank / Active / Inactive</v>
      </c>
      <c r="E26" s="1" t="str">
        <v>Select field. Blank by default. Active enables service call dispatch; Inactive suspends it.</v>
      </c>
      <c r="F26" s="1" t="str">
        <v>CON-019, CON-020, CON-021</v>
      </c>
    </row>
    <row r="27">
      <c r="A27" s="1" t="str">
        <v>BR-CON-10</v>
      </c>
      <c r="B27" s="1" t="str">
        <v>AMC Contract</v>
      </c>
      <c r="C27" s="1" t="str">
        <v>Workflow</v>
      </c>
      <c r="D27" s="1" t="str">
        <v>is_submittable: Draft &gt; Submit &gt; Cancel</v>
      </c>
      <c r="E27" s="1" t="str">
        <v>is_submittable:1. Submitted = read-only. Cancelled = immutable. Technician cannot cancel.</v>
      </c>
      <c r="F27" s="1" t="str">
        <v>CON-022, CON-023, CON-025</v>
      </c>
    </row>
    <row r="28">
      <c r="A28" s="1" t="str">
        <v>BR-CON-11</v>
      </c>
      <c r="B28" s="1" t="str">
        <v>AMC Contract</v>
      </c>
      <c r="C28" s="1" t="str">
        <v>Workflow</v>
      </c>
      <c r="D28" s="1" t="str">
        <v>Submitted contract can be Amended</v>
      </c>
      <c r="E28" s="1" t="str">
        <v>amended_from field links to original. Amend creates new draft; original is cancelled on re-submit.</v>
      </c>
      <c r="F28" s="1" t="str">
        <v>CON-024</v>
      </c>
    </row>
    <row r="29">
      <c r="A29" s="1" t="str">
        <v>BR-CON-12</v>
      </c>
      <c r="B29" s="1" t="str">
        <v>AMC Contract</v>
      </c>
      <c r="C29" s="1" t="str">
        <v>Service Calls</v>
      </c>
      <c r="D29" s="1" t="str">
        <v>Service Calls tab shows generated calls</v>
      </c>
      <c r="E29" s="1" t="str">
        <v>service_calls_html renders calls. Count must equal No of Services after processing.</v>
      </c>
      <c r="F29" s="1" t="str">
        <v>CON-027, CON-028, CON-029</v>
      </c>
    </row>
    <row r="30">
      <c r="A30" s="1" t="str">
        <v>BR-CON-13</v>
      </c>
      <c r="B30" s="1" t="str">
        <v>AMC Contract</v>
      </c>
      <c r="C30" s="1" t="str">
        <v>Multi-Contract</v>
      </c>
      <c r="D30" s="1" t="str">
        <v>One customer can have contracts per branch</v>
      </c>
      <c r="E30" s="1" t="str">
        <v>No unique constraint on customer+branch. Multiple active contracts per customer allowed.</v>
      </c>
      <c r="F30" s="1" t="str">
        <v>CON-030</v>
      </c>
    </row>
    <row r="31">
      <c r="A31" s="1" t="str">
        <v>BR-CON-14</v>
      </c>
      <c r="B31" s="1" t="str">
        <v>AMC Contract</v>
      </c>
      <c r="C31" s="1" t="str">
        <v>Permissions</v>
      </c>
      <c r="D31" s="1" t="str">
        <v>Technician: create/write/submit, no cancel/delete</v>
      </c>
      <c r="E31" s="1" t="str">
        <v>Technician permissions: create, write, read, submit, email, export, print, share, select. No cancel or delete.</v>
      </c>
      <c r="F31" s="1" t="str">
        <v>CON-032, CUST-020</v>
      </c>
    </row>
    <row r="32">
      <c r="A32" s="1" t="str">
        <v>▌ Vendor</v>
      </c>
    </row>
    <row r="33">
      <c r="A33" s="1" t="str">
        <v>BR-VEN-01</v>
      </c>
      <c r="B33" s="1" t="str">
        <v>Vendor</v>
      </c>
      <c r="C33" s="1" t="str">
        <v>Creation</v>
      </c>
      <c r="D33" s="1" t="str">
        <v>Vendor Name is mandatory</v>
      </c>
      <c r="E33" s="1" t="str">
        <v>Vendor Name is the primary identifier. Save is blocked without it.</v>
      </c>
      <c r="F33" s="1" t="str">
        <v>VEN-001, VEN-002, VEN-027, VEN-036</v>
      </c>
    </row>
    <row r="34">
      <c r="A34" s="1" t="str">
        <v>BR-VEN-02</v>
      </c>
      <c r="B34" s="1" t="str">
        <v>Vendor</v>
      </c>
      <c r="C34" s="1" t="str">
        <v>Creation</v>
      </c>
      <c r="D34" s="1" t="str">
        <v>Vendor Type: Company or Individual</v>
      </c>
      <c r="E34" s="1" t="str">
        <v>Type field classifies the vendor entity. Defaults to Company if blank.</v>
      </c>
      <c r="F34" s="1" t="str">
        <v>VEN-003, VEN-004, VEN-029, VEN-030</v>
      </c>
    </row>
    <row r="35">
      <c r="A35" s="1" t="str">
        <v>BR-VEN-03</v>
      </c>
      <c r="B35" s="1" t="str">
        <v>Vendor</v>
      </c>
      <c r="C35" s="1" t="str">
        <v>Primary Contact</v>
      </c>
      <c r="D35" s="1" t="str">
        <v>Contact details validated (phone, email)</v>
      </c>
      <c r="E35" s="1" t="str">
        <v>Mobile No and Email must match valid formats.</v>
      </c>
      <c r="F35" s="1" t="str">
        <v>VEN-005 to VEN-009</v>
      </c>
    </row>
    <row r="36">
      <c r="A36" s="1" t="str">
        <v>BR-VEN-04</v>
      </c>
      <c r="B36" s="1" t="str">
        <v>Vendor</v>
      </c>
      <c r="C36" s="1" t="str">
        <v>Tax ID</v>
      </c>
      <c r="D36" s="1" t="str">
        <v>PAN must match valid format or be blank</v>
      </c>
      <c r="E36" s="1" t="str">
        <v>PAN: 10-char alphanumeric. Optional field — blank is allowed.</v>
      </c>
      <c r="F36" s="1" t="str">
        <v>VEN-010, VEN-011, VEN-013</v>
      </c>
    </row>
    <row r="37">
      <c r="A37" s="1" t="str">
        <v>BR-VEN-05</v>
      </c>
      <c r="B37" s="1" t="str">
        <v>Vendor</v>
      </c>
      <c r="C37" s="1" t="str">
        <v>Tax ID</v>
      </c>
      <c r="D37" s="1" t="str">
        <v>PAN is unique across all vendors</v>
      </c>
      <c r="E37" s="1" t="str">
        <v>unique:1 on PAN. Two vendors cannot share the same PAN.</v>
      </c>
      <c r="F37" s="1" t="str">
        <v>VEN-012</v>
      </c>
    </row>
    <row r="38">
      <c r="A38" s="1" t="str">
        <v>BR-VEN-06</v>
      </c>
      <c r="B38" s="1" t="str">
        <v>Vendor</v>
      </c>
      <c r="C38" s="1" t="str">
        <v>Address</v>
      </c>
      <c r="D38" s="1" t="str">
        <v>Registered Address is a free-text field</v>
      </c>
      <c r="E38" s="1" t="str">
        <v>Text area, accepts special characters. Saved as-is.</v>
      </c>
      <c r="F38" s="1" t="str">
        <v>VEN-014, VEN-015, VEN-016</v>
      </c>
    </row>
    <row r="39">
      <c r="A39" s="1" t="str">
        <v>BR-VEN-07</v>
      </c>
      <c r="B39" s="1" t="str">
        <v>Vendor</v>
      </c>
      <c r="C39" s="1" t="str">
        <v>Address Table</v>
      </c>
      <c r="D39" s="1" t="str">
        <v>Address table stores multiple addresses</v>
      </c>
      <c r="E39" s="1" t="str">
        <v>Child table: Name, City, State, Mobile No per row.</v>
      </c>
      <c r="F39" s="1" t="str">
        <v>VEN-017 to VEN-022, VEN-025</v>
      </c>
    </row>
    <row r="40">
      <c r="A40" s="1" t="str">
        <v>BR-VEN-08</v>
      </c>
      <c r="B40" s="1" t="str">
        <v>Vendor</v>
      </c>
      <c r="C40" s="1" t="str">
        <v>Address Table</v>
      </c>
      <c r="D40" s="1" t="str">
        <v>GST No in address row validated</v>
      </c>
      <c r="E40" s="1" t="str">
        <v>GST must be valid 15-char GSTIN format per address row.</v>
      </c>
      <c r="F40" s="1" t="str">
        <v>VEN-023, VEN-024</v>
      </c>
    </row>
    <row r="41">
      <c r="A41" s="1" t="str">
        <v>BR-VEN-09</v>
      </c>
      <c r="B41" s="1" t="str">
        <v>Vendor</v>
      </c>
      <c r="C41" s="1" t="str">
        <v>Address Table</v>
      </c>
      <c r="D41" s="1" t="str">
        <v>Duplicate GST across address rows is blocked</v>
      </c>
      <c r="E41" s="1" t="str">
        <v>Each address row GST must be unique within the vendor.</v>
      </c>
      <c r="F41" s="1" t="str">
        <v>VEN-026</v>
      </c>
    </row>
    <row r="42">
      <c r="A42" s="1" t="str">
        <v>BR-VEN-10</v>
      </c>
      <c r="B42" s="1" t="str">
        <v>Vendor</v>
      </c>
      <c r="C42" s="1" t="str">
        <v>Editing</v>
      </c>
      <c r="D42" s="1" t="str">
        <v>All fields editable after creation</v>
      </c>
      <c r="E42" s="1" t="str">
        <v>Vendor records can be updated at any time.</v>
      </c>
      <c r="F42" s="1" t="str">
        <v>VEN-031 to VEN-035</v>
      </c>
    </row>
    <row r="43">
      <c r="A43" s="1" t="str">
        <v>BR-VEN-11</v>
      </c>
      <c r="B43" s="1" t="str">
        <v>Vendor</v>
      </c>
      <c r="C43" s="1" t="str">
        <v>Form Actions</v>
      </c>
      <c r="D43" s="1" t="str">
        <v>Standard form save/duplicate/delete actions</v>
      </c>
      <c r="E43" s="1" t="str">
        <v>ERPNext standard actions: Save, Duplicate, Delete apply to Vendor.</v>
      </c>
      <c r="F43" s="1" t="str">
        <v>VEN-036 to VEN-040</v>
      </c>
    </row>
    <row r="44">
      <c r="A44" s="1" t="str">
        <v>▌ Attendance</v>
      </c>
    </row>
    <row r="45">
      <c r="A45" s="1" t="str">
        <v>BR-ATT-01</v>
      </c>
      <c r="B45" s="1" t="str">
        <v>Attendance</v>
      </c>
      <c r="C45" s="1" t="str">
        <v>Creation</v>
      </c>
      <c r="D45" s="1" t="str">
        <v>Employee, Status, Date are mandatory</v>
      </c>
      <c r="E45" s="1" t="str">
        <v>reqd:1 on all three. Save is blocked without any of these fields.</v>
      </c>
      <c r="F45" s="1" t="str">
        <v>ATT-001, ATT-002, ATT-041 to ATT-043, ATT-050</v>
      </c>
    </row>
    <row r="46">
      <c r="A46" s="1" t="str">
        <v>BR-ATT-02</v>
      </c>
      <c r="B46" s="1" t="str">
        <v>Attendance</v>
      </c>
      <c r="C46" s="1" t="str">
        <v>Creation</v>
      </c>
      <c r="D46" s="1" t="str">
        <v>Company and Shift are optional fields</v>
      </c>
      <c r="E46" s="1" t="str">
        <v>Company and Shift enhance the record but are not required for save.</v>
      </c>
      <c r="F46" s="1" t="str">
        <v>ATT-002</v>
      </c>
    </row>
    <row r="47">
      <c r="A47" s="1" t="str">
        <v>BR-ATT-03</v>
      </c>
      <c r="B47" s="1" t="str">
        <v>Attendance</v>
      </c>
      <c r="C47" s="1" t="str">
        <v>Status</v>
      </c>
      <c r="D47" s="1" t="str">
        <v>Status: Present/Absent/Leave/Half Day</v>
      </c>
      <c r="E47" s="1" t="str">
        <v>Select field with 4 options. Mandatory. Controls Late/Early flag validity.</v>
      </c>
      <c r="F47" s="1" t="str">
        <v>ATT-003 to ATT-006, ATT-019 to ATT-021, ATT-042</v>
      </c>
    </row>
    <row r="48">
      <c r="A48" s="1" t="str">
        <v>BR-ATT-04</v>
      </c>
      <c r="B48" s="1" t="str">
        <v>Attendance</v>
      </c>
      <c r="C48" s="1" t="str">
        <v>Auto-Naming</v>
      </c>
      <c r="D48" s="1" t="str">
        <v>Series auto-generated: HR-ATT-.YYYY.-</v>
      </c>
      <c r="E48" s="1" t="str">
        <v>Naming series produces unique, year-stamped attendance IDs. Read-only.</v>
      </c>
      <c r="F48" s="1" t="str">
        <v>ATT-007 to ATT-009</v>
      </c>
    </row>
    <row r="49">
      <c r="A49" s="1" t="str">
        <v>BR-ATT-05</v>
      </c>
      <c r="B49" s="1" t="str">
        <v>Attendance</v>
      </c>
      <c r="C49" s="1" t="str">
        <v>Employee</v>
      </c>
      <c r="D49" s="1" t="str">
        <v>Employee must be a valid ERPNext Employee</v>
      </c>
      <c r="E49" s="1" t="str">
        <v>Link field — only existing Employee records accepted. Mandatory.</v>
      </c>
      <c r="F49" s="1" t="str">
        <v>ATT-010 to ATT-012, ATT-041</v>
      </c>
    </row>
    <row r="50">
      <c r="A50" s="1" t="str">
        <v>BR-ATT-06</v>
      </c>
      <c r="B50" s="1" t="str">
        <v>Attendance</v>
      </c>
      <c r="C50" s="1" t="str">
        <v>Duplicate</v>
      </c>
      <c r="D50" s="1" t="str">
        <v>Duplicate Employee+Date combination blocked</v>
      </c>
      <c r="E50" s="1" t="str">
        <v>One attendance record per employee per date. Duplicate insert must fail.</v>
      </c>
      <c r="F50" s="1" t="str">
        <v>ATT-013</v>
      </c>
    </row>
    <row r="51">
      <c r="A51" s="1" t="str">
        <v>BR-ATT-07</v>
      </c>
      <c r="B51" s="1" t="str">
        <v>Attendance</v>
      </c>
      <c r="C51" s="1" t="str">
        <v>Date</v>
      </c>
      <c r="D51" s="1" t="str">
        <v>Attendance Date is mandatory, any date valid</v>
      </c>
      <c r="E51" s="1" t="str">
        <v>Date field: past, present, and future dates all accepted. Blank not allowed.</v>
      </c>
      <c r="F51" s="1" t="str">
        <v>ATT-014 to ATT-018, ATT-043</v>
      </c>
    </row>
    <row r="52">
      <c r="A52" s="1" t="str">
        <v>BR-ATT-08</v>
      </c>
      <c r="B52" s="1" t="str">
        <v>Attendance</v>
      </c>
      <c r="C52" s="1" t="str">
        <v>Company</v>
      </c>
      <c r="D52" s="1" t="str">
        <v>Company auto-populates from employee record</v>
      </c>
      <c r="E52" s="1" t="str">
        <v>Company field fetched from Employee.company. Can be manually overridden.</v>
      </c>
      <c r="F52" s="1" t="str">
        <v>ATT-022 to ATT-024</v>
      </c>
    </row>
    <row r="53">
      <c r="A53" s="1" t="str">
        <v>BR-ATT-09</v>
      </c>
      <c r="B53" s="1" t="str">
        <v>Attendance</v>
      </c>
      <c r="C53" s="1" t="str">
        <v>Shift</v>
      </c>
      <c r="D53" s="1" t="str">
        <v>Shift is optional, auto-populates if assigned</v>
      </c>
      <c r="E53" s="1" t="str">
        <v>Shift Type linked to employee assignment. Optional; blank is allowed.</v>
      </c>
      <c r="F53" s="1" t="str">
        <v>ATT-025 to ATT-028</v>
      </c>
    </row>
    <row r="54">
      <c r="A54" s="1" t="str">
        <v>BR-ATT-10</v>
      </c>
      <c r="B54" s="1" t="str">
        <v>Attendance</v>
      </c>
      <c r="C54" s="1" t="str">
        <v>Late Entry</v>
      </c>
      <c r="D54" s="1" t="str">
        <v>Late Entry valid only with Present status</v>
      </c>
      <c r="E54" s="1" t="str">
        <v>Late Entry checkbox meaningful only when Status = Present. Invalid for Absent.</v>
      </c>
      <c r="F54" s="1" t="str">
        <v>ATT-029 to ATT-033</v>
      </c>
    </row>
    <row r="55">
      <c r="A55" s="1" t="str">
        <v>BR-ATT-11</v>
      </c>
      <c r="B55" s="1" t="str">
        <v>Attendance</v>
      </c>
      <c r="C55" s="1" t="str">
        <v>Early Exit</v>
      </c>
      <c r="D55" s="1" t="str">
        <v>Early Exit valid only with Present status</v>
      </c>
      <c r="E55" s="1" t="str">
        <v>Early Exit checkbox meaningful only when Status = Present. Invalid for Absent.</v>
      </c>
      <c r="F55" s="1" t="str">
        <v>ATT-034 to ATT-038</v>
      </c>
    </row>
    <row r="56">
      <c r="A56" s="1" t="str">
        <v>BR-ATT-12</v>
      </c>
      <c r="B56" s="1" t="str">
        <v>Attendance</v>
      </c>
      <c r="C56" s="1" t="str">
        <v>Combination</v>
      </c>
      <c r="D56" s="1" t="str">
        <v>Late Entry + Early Exit can combine (Present)</v>
      </c>
      <c r="E56" s="1" t="str">
        <v>Both flags can be set simultaneously only when Status = Present.</v>
      </c>
      <c r="F56" s="1" t="str">
        <v>ATT-039, ATT-040</v>
      </c>
    </row>
    <row r="57">
      <c r="A57" s="1" t="str">
        <v>BR-ATT-13</v>
      </c>
      <c r="B57" s="1" t="str">
        <v>Attendance</v>
      </c>
      <c r="C57" s="1" t="str">
        <v>Editing</v>
      </c>
      <c r="D57" s="1" t="str">
        <v>Attendance fields editable in draft state</v>
      </c>
      <c r="E57" s="1" t="str">
        <v>All fields can be updated before submission. Status change allowed.</v>
      </c>
      <c r="F57" s="1" t="str">
        <v>ATT-044 to ATT-049</v>
      </c>
    </row>
    <row r="58">
      <c r="A58" s="1" t="str">
        <v>BR-ATT-14</v>
      </c>
      <c r="B58" s="1" t="str">
        <v>Attendance</v>
      </c>
      <c r="C58" s="1" t="str">
        <v>Form Actions</v>
      </c>
      <c r="D58" s="1" t="str">
        <v>Standard save flow with status indicators</v>
      </c>
      <c r="E58" s="1" t="str">
        <v>ERPNext "Not Saved" / "Saved" status shown in form header.</v>
      </c>
      <c r="F58" s="1" t="str">
        <v>ATT-050 to ATT-052</v>
      </c>
    </row>
    <row r="59">
      <c r="A59" s="1" t="str">
        <v>▌ Expense Claim</v>
      </c>
    </row>
    <row r="60">
      <c r="A60" s="1" t="str">
        <v>BR-EXP-01</v>
      </c>
      <c r="B60" s="1" t="str">
        <v>Expense Claim</v>
      </c>
      <c r="C60" s="1" t="str">
        <v>Creation</v>
      </c>
      <c r="D60" s="1" t="str">
        <v>Employee + Company + Approver are core mandatory fields</v>
      </c>
      <c r="E60" s="1" t="str">
        <v>ERPNext v15: from_employee (reqd), company (reqd). Record saved as Draft. Series HR-EXP-.YYYY.- auto-assigned.</v>
      </c>
      <c r="F60" s="1" t="str">
        <v>EXP-001, EXP-002, EXP-047, EXP-048, EXP-055</v>
      </c>
    </row>
    <row r="61">
      <c r="A61" s="1" t="str">
        <v>BR-EXP-02</v>
      </c>
      <c r="B61" s="1" t="str">
        <v>Expense Claim</v>
      </c>
      <c r="C61" s="1" t="str">
        <v>Creation</v>
      </c>
      <c r="D61" s="1" t="str">
        <v>Department auto-fetches from Employee master</v>
      </c>
      <c r="E61" s="1" t="str">
        <v>department field: fetch_from = employee.department. Read-only after auto-fill; can be overridden.</v>
      </c>
      <c r="F61" s="1" t="str">
        <v>EXP-002, EXP-009</v>
      </c>
    </row>
    <row r="62">
      <c r="A62" s="1" t="str">
        <v>BR-EXP-03</v>
      </c>
      <c r="B62" s="1" t="str">
        <v>Expense Claim</v>
      </c>
      <c r="C62" s="1" t="str">
        <v>Auto-Naming</v>
      </c>
      <c r="D62" s="1" t="str">
        <v>Series: HR-EXP-.YYYY.- (year-based, read-only)</v>
      </c>
      <c r="E62" s="1" t="str">
        <v>naming_series default HR-EXP-.YYYY.-. Unique per record, auto-incremented. Cannot be manually edited.</v>
      </c>
      <c r="F62" s="1" t="str">
        <v>EXP-003, EXP-004, EXP-005</v>
      </c>
    </row>
    <row r="63">
      <c r="A63" s="1" t="str">
        <v>BR-EXP-04</v>
      </c>
      <c r="B63" s="1" t="str">
        <v>Expense Claim</v>
      </c>
      <c r="C63" s="1" t="str">
        <v>Employee</v>
      </c>
      <c r="D63" s="1" t="str">
        <v>from_employee: Link → Employee, mandatory</v>
      </c>
      <c r="E63" s="1" t="str">
        <v>reqd:1. Only active ERPNext v15 Employees accepted. Department and cost_center auto-fetched on select.</v>
      </c>
      <c r="F63" s="1" t="str">
        <v>EXP-006, EXP-007, EXP-008, EXP-009, EXP-047</v>
      </c>
    </row>
    <row r="64">
      <c r="A64" s="1" t="str">
        <v>BR-EXP-05</v>
      </c>
      <c r="B64" s="1" t="str">
        <v>Expense Claim</v>
      </c>
      <c r="C64" s="1" t="str">
        <v>Company</v>
      </c>
      <c r="D64" s="1" t="str">
        <v>company: mandatory; GSTIN auto-fetched, read-only</v>
      </c>
      <c r="E64" s="1" t="str">
        <v>reqd:1. company_gstin fetch_from company.gstin. GSTIN field set as read_only:1 in v15.</v>
      </c>
      <c r="F64" s="1" t="str">
        <v>EXP-010, EXP-011, EXP-012, EXP-013, EXP-048</v>
      </c>
    </row>
    <row r="65">
      <c r="A65" s="1" t="str">
        <v>BR-EXP-06</v>
      </c>
      <c r="B65" s="1" t="str">
        <v>Expense Claim</v>
      </c>
      <c r="C65" s="1" t="str">
        <v>Approver</v>
      </c>
      <c r="D65" s="1" t="str">
        <v>expense_approver: mandatory; must be valid HR user</v>
      </c>
      <c r="E65" s="1" t="str">
        <v>reqd:1. Link → User. Only users with Expense Approver role. Cannot approve own claim.</v>
      </c>
      <c r="F65" s="1" t="str">
        <v>EXP-014, EXP-015, EXP-016, EXP-049</v>
      </c>
    </row>
    <row r="66">
      <c r="A66" s="1" t="str">
        <v>BR-EXP-07</v>
      </c>
      <c r="B66" s="1" t="str">
        <v>Expense Claim</v>
      </c>
      <c r="C66" s="1" t="str">
        <v>Approval Status</v>
      </c>
      <c r="D66" s="1" t="str">
        <v>approval_status: Draft → Approved / Rejected / Returned</v>
      </c>
      <c r="E66" s="1" t="str">
        <v>Select field: Draft (default), Approved, Rejected, Returned. Only approver can change from Draft. Editing blocked once Approved.</v>
      </c>
      <c r="F66" s="1" t="str">
        <v>EXP-017, EXP-018, EXP-019, EXP-020, EXP-054</v>
      </c>
    </row>
    <row r="67">
      <c r="A67" s="1" t="str">
        <v>BR-EXP-08</v>
      </c>
      <c r="B67" s="1" t="str">
        <v>Expense Claim</v>
      </c>
      <c r="C67" s="1" t="str">
        <v>Expenses Table</v>
      </c>
      <c r="D67" s="1" t="str">
        <v>expenses child table: expense_date, expense_type, amount are reqd</v>
      </c>
      <c r="E67" s="1" t="str">
        <v>Child table fieldname: expenses. reqd: expense_date, expense_claim_type, amount. amount must be &gt; 0. description optional.</v>
      </c>
      <c r="F67" s="1" t="str">
        <v>EXP-021 to EXP-030, EXP-033, EXP-050</v>
      </c>
    </row>
    <row r="68">
      <c r="A68" s="1" t="str">
        <v>BR-EXP-09</v>
      </c>
      <c r="B68" s="1" t="str">
        <v>Expense Claim</v>
      </c>
      <c r="C68" s="1" t="str">
        <v>Expense Type</v>
      </c>
      <c r="D68" s="1" t="str">
        <v>expense_claim_type: Link → Expense Claim Type master</v>
      </c>
      <c r="E68" s="1" t="str">
        <v>Must exist in Expense Claim Type DocType. Controls default account and optional per-type limit.</v>
      </c>
      <c r="F68" s="1" t="str">
        <v>EXP-025, EXP-026</v>
      </c>
    </row>
    <row r="69">
      <c r="A69" s="1" t="str">
        <v>BR-EXP-10</v>
      </c>
      <c r="B69" s="1" t="str">
        <v>Expense Claim</v>
      </c>
      <c r="C69" s="1" t="str">
        <v>Sanctioned Amount</v>
      </c>
      <c r="D69" s="1" t="str">
        <v>sanctioned_amount per row ≤ amount; auto-equals amount by default</v>
      </c>
      <c r="E69" s="1" t="str">
        <v>sanctioned_amount defaults to amount value. Validation blocks sanctioned &gt; claimed at row level.</v>
      </c>
      <c r="F69" s="1" t="str">
        <v>EXP-031, EXP-032</v>
      </c>
    </row>
    <row r="70">
      <c r="A70" s="1" t="str">
        <v>BR-EXP-11</v>
      </c>
      <c r="B70" s="1" t="str">
        <v>Expense Claim</v>
      </c>
      <c r="C70" s="1" t="str">
        <v>Totals</v>
      </c>
      <c r="D70" s="1" t="str">
        <v>total_claimed_amount and grand_total auto-calculated</v>
      </c>
      <c r="E70" s="1" t="str">
        <v>total_claimed_amount = SUM(expenses.amount). grand_total = total_sanctioned + taxes. Both read-only calculated fields.</v>
      </c>
      <c r="F70" s="1" t="str">
        <v>EXP-033, EXP-040</v>
      </c>
    </row>
    <row r="71">
      <c r="A71" s="1" t="str">
        <v>BR-EXP-12</v>
      </c>
      <c r="B71" s="1" t="str">
        <v>Expense Claim</v>
      </c>
      <c r="C71" s="1" t="str">
        <v>Taxes &amp; Charges</v>
      </c>
      <c r="D71" s="1" t="str">
        <v>taxes child table: account_head and tax_amount required per row</v>
      </c>
      <c r="E71" s="1" t="str">
        <v>Child table fieldname: taxes. account_head (Link → Account) reqd. tax_amount reqd. Rows optional — no tax rows is valid.</v>
      </c>
      <c r="F71" s="1" t="str">
        <v>EXP-034 to EXP-040</v>
      </c>
    </row>
    <row r="72">
      <c r="A72" s="1" t="str">
        <v>BR-EXP-13</v>
      </c>
      <c r="B72" s="1" t="str">
        <v>Expense Claim</v>
      </c>
      <c r="C72" s="1" t="str">
        <v>Accounting</v>
      </c>
      <c r="D72" s="1" t="str">
        <v>payable_account auto-set; cost_center, project, mode_of_payment optional</v>
      </c>
      <c r="E72" s="1" t="str">
        <v>payable_account fetched from Company default payable account. Can be overridden. cost_center and project for GL tagging.</v>
      </c>
      <c r="F72" s="1" t="str">
        <v>EXP-041, EXP-042, EXP-043, EXP-044, EXP-045</v>
      </c>
    </row>
    <row r="73">
      <c r="A73" s="1" t="str">
        <v>BR-EXP-14</v>
      </c>
      <c r="B73" s="1" t="str">
        <v>Expense Claim</v>
      </c>
      <c r="C73" s="1" t="str">
        <v>Advances</v>
      </c>
      <c r="D73" s="1" t="str">
        <v>total_advance_amount reflects linked Employee Advances</v>
      </c>
      <c r="E73" s="1" t="str">
        <v>Employee Advance table on the form. total_advance_amount = SUM of linked advances. Reduces outstanding payable.</v>
      </c>
      <c r="F73" s="1" t="str">
        <v>EXP-046</v>
      </c>
    </row>
    <row r="74">
      <c r="A74" s="1" t="str">
        <v>BR-EXP-15</v>
      </c>
      <c r="B74" s="1" t="str">
        <v>Expense Claim</v>
      </c>
      <c r="C74" s="1" t="str">
        <v>Editing</v>
      </c>
      <c r="D74" s="1" t="str">
        <v>All fields editable in Draft; locked after Approval Status = Approved</v>
      </c>
      <c r="E74" s="1" t="str">
        <v>ERPNext v15: approval_status controls editability. Draft = fully editable. Approved = read-only.</v>
      </c>
      <c r="F74" s="1" t="str">
        <v>EXP-051, EXP-052, EXP-053, EXP-054</v>
      </c>
    </row>
    <row r="75">
      <c r="A75" s="1" t="str">
        <v>BR-EXP-16</v>
      </c>
      <c r="B75" s="1" t="str">
        <v>Expense Claim</v>
      </c>
      <c r="C75" s="1" t="str">
        <v>Form Actions</v>
      </c>
      <c r="D75" s="1" t="str">
        <v>Submit/Cancel/Duplicate per ERPNext v15 workflow</v>
      </c>
      <c r="E75" s="1" t="str">
        <v>is_submittable:1. Submit creates JE when Approved. Cancel reverses JE. Duplicate creates new Draft copy.</v>
      </c>
      <c r="F75" s="1" t="str">
        <v>EXP-055, EXP-056, EXP-057, EXP-058, EXP-059, EXP-060</v>
      </c>
    </row>
    <row r="76">
      <c r="A76" s="1" t="str">
        <v>▌ Leave Application</v>
      </c>
    </row>
    <row r="77">
      <c r="A77" s="1" t="str">
        <v>BR-LEA-01</v>
      </c>
      <c r="B77" s="1" t="str">
        <v>Leave Application</v>
      </c>
      <c r="C77" s="1" t="str">
        <v>Creation</v>
      </c>
      <c r="D77" s="1" t="str">
        <v>Employee + Leave Type + Dates are core mandatory fields</v>
      </c>
      <c r="E77" s="1" t="str">
        <v>ERPNext v15: employee (reqd), leave_type (reqd), from_date (reqd), to_date (reqd). Defaults status = Open.</v>
      </c>
      <c r="F77" s="1" t="str">
        <v>LEA-001, LEA-002, LEA-049 to LEA-053, LEA-059</v>
      </c>
    </row>
    <row r="78">
      <c r="A78" s="1" t="str">
        <v>BR-LEA-02</v>
      </c>
      <c r="B78" s="1" t="str">
        <v>Leave Application</v>
      </c>
      <c r="C78" s="1" t="str">
        <v>Creation</v>
      </c>
      <c r="D78" s="1" t="str">
        <v>Optional header fields: Company, Leave Approver, Reason</v>
      </c>
      <c r="E78" s="1" t="str">
        <v>company auto-populates. leave_approver mandatory in v15. description (reason) is optional.</v>
      </c>
      <c r="F78" s="1" t="str">
        <v>LEA-002</v>
      </c>
    </row>
    <row r="79">
      <c r="A79" s="1" t="str">
        <v>BR-LEA-03</v>
      </c>
      <c r="B79" s="1" t="str">
        <v>Leave Application</v>
      </c>
      <c r="C79" s="1" t="str">
        <v>Auto-Naming</v>
      </c>
      <c r="D79" s="1" t="str">
        <v>Series: HR-LAP-.YYYY.- (year-based, read-only)</v>
      </c>
      <c r="E79" s="1" t="str">
        <v>naming_series default HR-LAP-.YYYY.-. Unique per record, auto-incremented. Cannot be manually edited.</v>
      </c>
      <c r="F79" s="1" t="str">
        <v>LEA-003, LEA-004, LEA-005</v>
      </c>
    </row>
    <row r="80">
      <c r="A80" s="1" t="str">
        <v>BR-LEA-04</v>
      </c>
      <c r="B80" s="1" t="str">
        <v>Leave Application</v>
      </c>
      <c r="C80" s="1" t="str">
        <v>Employee</v>
      </c>
      <c r="D80" s="1" t="str">
        <v>employee: Link → Employee, mandatory</v>
      </c>
      <c r="E80" s="1" t="str">
        <v>reqd:1. Only active Employees. Company and department auto-fetched on selection.</v>
      </c>
      <c r="F80" s="1" t="str">
        <v>LEA-006, LEA-007, LEA-008, LEA-049</v>
      </c>
    </row>
    <row r="81">
      <c r="A81" s="1" t="str">
        <v>BR-LEA-05</v>
      </c>
      <c r="B81" s="1" t="str">
        <v>Leave Application</v>
      </c>
      <c r="C81" s="1" t="str">
        <v>Leave Type</v>
      </c>
      <c r="D81" s="1" t="str">
        <v>leave_type: Link → Leave Type, mandatory</v>
      </c>
      <c r="E81" s="1" t="str">
        <v>reqd:1. Must exist in Leave Type master. Controls balance pool, LWP, allow_negative settings.</v>
      </c>
      <c r="F81" s="1" t="str">
        <v>LEA-009, LEA-010, LEA-011, LEA-050</v>
      </c>
    </row>
    <row r="82">
      <c r="A82" s="1" t="str">
        <v>BR-LEA-06</v>
      </c>
      <c r="B82" s="1" t="str">
        <v>Leave Application</v>
      </c>
      <c r="C82" s="1" t="str">
        <v>Leave Balance</v>
      </c>
      <c r="D82" s="1" t="str">
        <v>Leave balance checked on save; deducted on Approve; restored on Cancel</v>
      </c>
      <c r="E82" s="1" t="str">
        <v>total_leave_days checked against available allocation. balance_leaves displayed. Insufficient balance blocks submit (unless allow_negative_balance).</v>
      </c>
      <c r="F82" s="1" t="str">
        <v>LEA-012, LEA-039 to LEA-043</v>
      </c>
    </row>
    <row r="83">
      <c r="A83" s="1" t="str">
        <v>BR-LEA-07</v>
      </c>
      <c r="B83" s="1" t="str">
        <v>Leave Application</v>
      </c>
      <c r="C83" s="1" t="str">
        <v>Company</v>
      </c>
      <c r="D83" s="1" t="str">
        <v>company: mandatory; auto-fetched from Employee master</v>
      </c>
      <c r="E83" s="1" t="str">
        <v>reqd:1. fetch_from = employee.company. Determines holiday list for day calculation.</v>
      </c>
      <c r="F83" s="1" t="str">
        <v>LEA-013, LEA-014, LEA-015</v>
      </c>
    </row>
    <row r="84">
      <c r="A84" s="1" t="str">
        <v>BR-LEA-08</v>
      </c>
      <c r="B84" s="1" t="str">
        <v>Leave Application</v>
      </c>
      <c r="C84" s="1" t="str">
        <v>Date Range</v>
      </c>
      <c r="D84" s="1" t="str">
        <v>from_date and to_date: mandatory; from_date ≤ to_date</v>
      </c>
      <c r="E84" s="1" t="str">
        <v>reqd:1 on both. Validation: from_date cannot be after to_date. Past dates controlled by Leave Type settings in v15.</v>
      </c>
      <c r="F84" s="1" t="str">
        <v>LEA-016 to LEA-021, LEA-051 to LEA-053</v>
      </c>
    </row>
    <row r="85">
      <c r="A85" s="1" t="str">
        <v>BR-LEA-09</v>
      </c>
      <c r="B85" s="1" t="str">
        <v>Leave Application</v>
      </c>
      <c r="C85" s="1" t="str">
        <v>Duration</v>
      </c>
      <c r="D85" s="1" t="str">
        <v>total_leave_days auto-calculated; excludes holidays and weekly offs</v>
      </c>
      <c r="E85" s="1" t="str">
        <v>total_leave_days = working days between from_date and to_date per Holiday List. Half Day = 0.5.</v>
      </c>
      <c r="F85" s="1" t="str">
        <v>LEA-022, LEA-028</v>
      </c>
    </row>
    <row r="86">
      <c r="A86" s="1" t="str">
        <v>BR-LEA-10</v>
      </c>
      <c r="B86" s="1" t="str">
        <v>Leave Application</v>
      </c>
      <c r="C86" s="1" t="str">
        <v>Half Day</v>
      </c>
      <c r="D86" s="1" t="str">
        <v>half_day: Check field; valid only when from_date = to_date</v>
      </c>
      <c r="E86" s="1" t="str">
        <v>half_day = 1 sets total_leave_days = 0.5. ERPNext v15 blocks half_day when from_date ≠ to_date. Also requires half_day_date.</v>
      </c>
      <c r="F86" s="1" t="str">
        <v>LEA-023, LEA-024, LEA-025, LEA-026, LEA-027</v>
      </c>
    </row>
    <row r="87">
      <c r="A87" s="1" t="str">
        <v>BR-LEA-11</v>
      </c>
      <c r="B87" s="1" t="str">
        <v>Leave Application</v>
      </c>
      <c r="C87" s="1" t="str">
        <v>Reason</v>
      </c>
      <c r="D87" s="1" t="str">
        <v>description (Reason): optional free-text field</v>
      </c>
      <c r="E87" s="1" t="str">
        <v>No format restriction. Accepts any text including special characters. Not required for save or submit.</v>
      </c>
      <c r="F87" s="1" t="str">
        <v>LEA-029, LEA-030, LEA-031</v>
      </c>
    </row>
    <row r="88">
      <c r="A88" s="1" t="str">
        <v>BR-LEA-12</v>
      </c>
      <c r="B88" s="1" t="str">
        <v>Leave Application</v>
      </c>
      <c r="C88" s="1" t="str">
        <v>Leave Approver</v>
      </c>
      <c r="D88" s="1" t="str">
        <v>leave_approver: mandatory; must hold approval authority</v>
      </c>
      <c r="E88" s="1" t="str">
        <v>reqd:1 in v15. Link → User. Approver must be assigned in Employee master or Leave Approver list. Cannot self-approve.</v>
      </c>
      <c r="F88" s="1" t="str">
        <v>LEA-032, LEA-033, LEA-034, LEA-035, LEA-048</v>
      </c>
    </row>
    <row r="89">
      <c r="A89" s="1" t="str">
        <v>BR-LEA-13</v>
      </c>
      <c r="B89" s="1" t="str">
        <v>Leave Application</v>
      </c>
      <c r="C89" s="1" t="str">
        <v>Posting Date</v>
      </c>
      <c r="D89" s="1" t="str">
        <v>posting_date: auto-set to today; read-only in v15</v>
      </c>
      <c r="E89" s="1" t="str">
        <v>Defaults to current date on form open. Set as read_only:1 in ERPNext v15 — cannot be manually changed.</v>
      </c>
      <c r="F89" s="1" t="str">
        <v>LEA-036, LEA-037, LEA-038</v>
      </c>
    </row>
    <row r="90">
      <c r="A90" s="1" t="str">
        <v>BR-LEA-14</v>
      </c>
      <c r="B90" s="1" t="str">
        <v>Leave Application</v>
      </c>
      <c r="C90" s="1" t="str">
        <v>Status &amp; Workflow</v>
      </c>
      <c r="D90" s="1" t="str">
        <v>status: Open → Approved / Rejected / Cancelled</v>
      </c>
      <c r="E90" s="1" t="str">
        <v>Select: Open (default), Approved, Rejected, Cancelled. is_submittable:1. Approved status locks all fields.</v>
      </c>
      <c r="F90" s="1" t="str">
        <v>LEA-044, LEA-045, LEA-046, LEA-047, LEA-048, LEA-058</v>
      </c>
    </row>
    <row r="91">
      <c r="A91" s="1" t="str">
        <v>BR-LEA-15</v>
      </c>
      <c r="B91" s="1" t="str">
        <v>Leave Application</v>
      </c>
      <c r="C91" s="1" t="str">
        <v>Editing</v>
      </c>
      <c r="D91" s="1" t="str">
        <v>All fields editable in Open/Draft; locked after Approved</v>
      </c>
      <c r="E91" s="1" t="str">
        <v>Open = fully editable. Approved = read-only. total_leave_days recalculates when dates or half_day changes.</v>
      </c>
      <c r="F91" s="1" t="str">
        <v>LEA-054, LEA-055, LEA-056, LEA-057, LEA-058</v>
      </c>
    </row>
    <row r="92">
      <c r="A92" s="1" t="str">
        <v>BR-LEA-16</v>
      </c>
      <c r="B92" s="1" t="str">
        <v>Leave Application</v>
      </c>
      <c r="C92" s="1" t="str">
        <v>Form Actions</v>
      </c>
      <c r="D92" s="1" t="str">
        <v>Submit/Cancel/Duplicate/Delete per ERPNext v15</v>
      </c>
      <c r="E92" s="1" t="str">
        <v>Submit changes status per workflow. Cancel restores balance and attendance. Delete only on Open draft. Duplicate creates new copy.</v>
      </c>
      <c r="F92" s="1" t="str">
        <v>LEA-059, LEA-060, LEA-061, LEA-062, LEA-063, LEA-064, LEA-065</v>
      </c>
    </row>
    <row r="93">
      <c r="A93" s="1" t="str">
        <v>▌ Service Call</v>
      </c>
    </row>
    <row r="94">
      <c r="A94" s="1" t="str">
        <v>BR-SC-01</v>
      </c>
      <c r="B94" s="1" t="str">
        <v>Service Call</v>
      </c>
      <c r="C94" s="1" t="str">
        <v>Creation</v>
      </c>
      <c r="D94" s="1" t="str">
        <v>Customer and Service Type are mandatory</v>
      </c>
      <c r="E94" s="1" t="str">
        <v>customer (Link → AMC Customers, reqd:1) and service_type are the minimum required fields. Save blocked without them.</v>
      </c>
      <c r="F94" s="1" t="str">
        <v>SC-001, SC-002, SC-039</v>
      </c>
    </row>
    <row r="95">
      <c r="A95" s="1" t="str">
        <v>BR-SC-02</v>
      </c>
      <c r="B95" s="1" t="str">
        <v>Service Call</v>
      </c>
      <c r="C95" s="1" t="str">
        <v>Creation</v>
      </c>
      <c r="D95" s="1" t="str">
        <v>Title, Description, Priority are optional header fields</v>
      </c>
      <c r="E95" s="1" t="str">
        <v>title (Data), description (Text Area), and priority (Select) enhance the record but are not required for save.</v>
      </c>
      <c r="F95" s="1" t="str">
        <v>SC-002</v>
      </c>
    </row>
    <row r="96">
      <c r="A96" s="1" t="str">
        <v>BR-SC-03</v>
      </c>
      <c r="B96" s="1" t="str">
        <v>Service Call</v>
      </c>
      <c r="C96" s="1" t="str">
        <v>Customer Validation</v>
      </c>
      <c r="D96" s="1" t="str">
        <v>Customer must be a valid AMC Customer; branch auto-populates</v>
      </c>
      <c r="E96" s="1" t="str">
        <v>Link field to AMC Customers DocType. Invalid entries rejected. Branch Locations child table populates based on selected customer.</v>
      </c>
      <c r="F96" s="1" t="str">
        <v>SC-004, SC-005, SC-006, SC-007</v>
      </c>
    </row>
    <row r="97">
      <c r="A97" s="1" t="str">
        <v>BR-SC-04</v>
      </c>
      <c r="B97" s="1" t="str">
        <v>Service Call</v>
      </c>
      <c r="C97" s="1" t="str">
        <v>Location</v>
      </c>
      <c r="D97" s="1" t="str">
        <v>Branch filtered by customer; Contact Person filtered by branch</v>
      </c>
      <c r="E97" s="1" t="str">
        <v>branch link_filters: Customer Branch.customer = doc.customer. contact_person further filtered by selected branch.</v>
      </c>
      <c r="F97" s="1" t="str">
        <v>SC-008, SC-009</v>
      </c>
    </row>
    <row r="98">
      <c r="A98" s="1" t="str">
        <v>BR-SC-05</v>
      </c>
      <c r="B98" s="1" t="str">
        <v>Service Call</v>
      </c>
      <c r="C98" s="1" t="str">
        <v>Technician</v>
      </c>
      <c r="D98" s="1" t="str">
        <v>Technician assignment is optional but must be unique per Service Call</v>
      </c>
      <c r="E98" s="1" t="str">
        <v>technician (Link → Employee with Technician role). Optional at creation. Duplicate assignment (same tech on same SC) blocked.</v>
      </c>
      <c r="F98" s="1" t="str">
        <v>SC-010, SC-011, SC-012, SC-013, SC-044</v>
      </c>
    </row>
    <row r="99">
      <c r="A99" s="1" t="str">
        <v>BR-SC-06</v>
      </c>
      <c r="B99" s="1" t="str">
        <v>Service Call</v>
      </c>
      <c r="C99" s="1" t="str">
        <v>Priority</v>
      </c>
      <c r="D99" s="1" t="str">
        <v>Priority: High / Medium / Low (Select field)</v>
      </c>
      <c r="E99" s="1" t="str">
        <v>priority Select field with options: High, Medium, Low. Controls SLA tracking and escalation rules.</v>
      </c>
      <c r="F99" s="1" t="str">
        <v>SC-014, SC-015</v>
      </c>
    </row>
    <row r="100">
      <c r="A100" s="1" t="str">
        <v>BR-SC-07</v>
      </c>
      <c r="B100" s="1" t="str">
        <v>Service Call</v>
      </c>
      <c r="C100" s="1" t="str">
        <v>Status Workflow</v>
      </c>
      <c r="D100" s="1" t="str">
        <v>Status: Draft → Assigned → In Progress → Completed; invalid transitions blocked</v>
      </c>
      <c r="E100" s="1" t="str">
        <v>Workflow states: Draft, Assigned, In Progress, Completed, Cancelled. Transitions validated — skipping states rejected. Completed/Cancelled restrict edits.</v>
      </c>
      <c r="F100" s="1" t="str">
        <v>SC-016, SC-017, SC-018, SC-047</v>
      </c>
    </row>
    <row r="101">
      <c r="A101" s="1" t="str">
        <v>BR-SC-08</v>
      </c>
      <c r="B101" s="1" t="str">
        <v>Service Call</v>
      </c>
      <c r="C101" s="1" t="str">
        <v>Service Items</v>
      </c>
      <c r="D101" s="1" t="str">
        <v>service_items child table: Item, Qty required per row; stock checked</v>
      </c>
      <c r="E101" s="1" t="str">
        <v>Child table with item (Link → Item), qty (mandatory, &gt; 0), rate, amount. Out-of-stock item flags warning. Row operations: add, edit, delete.</v>
      </c>
      <c r="F101" s="1" t="str">
        <v>SC-003, SC-023, SC-024, SC-025, SC-026, SC-027</v>
      </c>
    </row>
    <row r="102">
      <c r="A102" s="1" t="str">
        <v>BR-SC-09</v>
      </c>
      <c r="B102" s="1" t="str">
        <v>Service Call</v>
      </c>
      <c r="C102" s="1" t="str">
        <v>Service Date &amp; Time</v>
      </c>
      <c r="D102" s="1" t="str">
        <v>service_date is mandatory; past dates rejected; start/end time tracked</v>
      </c>
      <c r="E102" s="1" t="str">
        <v>service_date (reqd:1). Past dates blocked by validation. service_start_time and service_end_time recorded for duration calculation.</v>
      </c>
      <c r="F102" s="1" t="str">
        <v>SC-019, SC-020, SC-021, SC-022</v>
      </c>
    </row>
    <row r="103">
      <c r="A103" s="1" t="str">
        <v>BR-SC-10</v>
      </c>
      <c r="B103" s="1" t="str">
        <v>Service Call</v>
      </c>
      <c r="C103" s="1" t="str">
        <v>Billing</v>
      </c>
      <c r="D103" s="1" t="str">
        <v>total_cost auto-calculated; discount and charges adjust total; billable flag controls invoicing</v>
      </c>
      <c r="E103" s="1" t="str">
        <v>total_cost = SUM(service_items.amount) + additional_charges - discount. is_billable checkbox determines if SC can generate a Sales Invoice.</v>
      </c>
      <c r="F103" s="1" t="str">
        <v>SC-028, SC-029, SC-030, SC-031</v>
      </c>
    </row>
    <row r="104">
      <c r="A104" s="1" t="str">
        <v>BR-SC-11</v>
      </c>
      <c r="B104" s="1" t="str">
        <v>Service Call</v>
      </c>
      <c r="C104" s="1" t="str">
        <v>SLA &amp; Warranty</v>
      </c>
      <c r="D104" s="1" t="str">
        <v>Warranty status and SLA response time tracked per Service Call</v>
      </c>
      <c r="E104" s="1" t="str">
        <v>under_warranty (Check) flag set based on Customer warranty records. sla_response_time tracked from creation timestamp. Overdue SLA flagged.</v>
      </c>
      <c r="F104" s="1" t="str">
        <v>SC-032, SC-033, SC-034</v>
      </c>
    </row>
    <row r="105">
      <c r="A105" s="1" t="str">
        <v>BR-SC-12</v>
      </c>
      <c r="B105" s="1" t="str">
        <v>Service Call</v>
      </c>
      <c r="C105" s="1" t="str">
        <v>Documentation</v>
      </c>
      <c r="D105" s="1" t="str">
        <v>Attachments, internal notes, and customer remarks supported</v>
      </c>
      <c r="E105" s="1" t="str">
        <v>Standard Frappe file attachments per record. internal_notes (Text, not visible to customer). customer_remarks (Text, customer-visible).</v>
      </c>
      <c r="F105" s="1" t="str">
        <v>SC-035, SC-036, SC-037, SC-038</v>
      </c>
    </row>
    <row r="106">
      <c r="A106" s="1" t="str">
        <v>BR-SC-13</v>
      </c>
      <c r="B106" s="1" t="str">
        <v>Service Call</v>
      </c>
      <c r="C106" s="1" t="str">
        <v>Data Validation</v>
      </c>
      <c r="D106" s="1" t="str">
        <v>Email and phone formats validated on contact fields</v>
      </c>
      <c r="E106" s="1" t="str">
        <v>contact email field: format validation (must contain @). contact_phone: numeric format with length check. Both reject invalid formats.</v>
      </c>
      <c r="F106" s="1" t="str">
        <v>SC-040, SC-041</v>
      </c>
    </row>
    <row r="107">
      <c r="A107" s="1" t="str">
        <v>BR-SC-14</v>
      </c>
      <c r="B107" s="1" t="str">
        <v>Service Call</v>
      </c>
      <c r="C107" s="1" t="str">
        <v>Editing</v>
      </c>
      <c r="D107" s="1" t="str">
        <v>Editable in Draft/Assigned; restricted after In Progress or Completed</v>
      </c>
      <c r="E107" s="1" t="str">
        <v>Draft and Assigned status allow full edits. In Progress restricts key fields. Completed/Cancelled makes record fully read-only.</v>
      </c>
      <c r="F107" s="1" t="str">
        <v>SC-042, SC-043</v>
      </c>
    </row>
    <row r="108">
      <c r="A108" s="1" t="str">
        <v>BR-SC-15</v>
      </c>
      <c r="B108" s="1" t="str">
        <v>Service Call</v>
      </c>
      <c r="C108" s="1" t="str">
        <v>Bulk Operations</v>
      </c>
      <c r="D108" s="1" t="str">
        <v>Duplicate creates new Draft copy; Delete permitted on Draft status only</v>
      </c>
      <c r="E108" s="1" t="str">
        <v>Duplicate: creates new SC in Draft with same header and items. Delete: only permitted when status = Draft. Submitted/Completed records require Cancel first.</v>
      </c>
      <c r="F108" s="1" t="str">
        <v>SC-045, SC-046</v>
      </c>
    </row>
    <row r="109">
      <c r="A109" s="1" t="str">
        <v>BR-SC-16</v>
      </c>
      <c r="B109" s="1" t="str">
        <v>Service Call</v>
      </c>
      <c r="C109" s="1" t="str">
        <v>Permissions</v>
      </c>
      <c r="D109" s="1" t="str">
        <v>Role-based access: Technician (own), Customer (own), Manager (all)</v>
      </c>
      <c r="E109" s="1" t="str">
        <v>Technician role: list view filtered to assigned SCs only. Customer portal: own SCs only. Service Manager: full access including approve/reject.</v>
      </c>
      <c r="F109" s="1" t="str">
        <v>SC-048, SC-049, SC-050</v>
      </c>
    </row>
  </sheetData>
  <mergeCells count="9">
    <mergeCell ref="A1:F1"/>
    <mergeCell ref="A2:F2"/>
    <mergeCell ref="A5:F5"/>
    <mergeCell ref="A17:F17"/>
    <mergeCell ref="A32:F32"/>
    <mergeCell ref="A44:F44"/>
    <mergeCell ref="A59:F59"/>
    <mergeCell ref="A76:F76"/>
    <mergeCell ref="A93:F93"/>
  </mergeCells>
  <pageMargins left="0.75" right="0.75" top="1" bottom="1" header="0.511811023622047" footer="0.511811023622047"/>
  <ignoredErrors>
    <ignoredError numberStoredAsText="1" sqref="A1:F109"/>
  </ignoredErrors>
</worksheet>
</file>

<file path=xl/worksheets/sheet6.xml><?xml version="1.0" encoding="utf-8"?>
<worksheet xmlns="http://schemas.openxmlformats.org/spreadsheetml/2006/main" xmlns:r="http://schemas.openxmlformats.org/officeDocument/2006/relationships">
  <dimension ref="A1:H11"/>
  <sheetViews>
    <sheetView workbookViewId="0" rightToLeft="0"/>
  </sheetViews>
  <sheetData>
    <row r="1">
      <c r="A1" s="1" t="str">
        <v>Row</v>
      </c>
      <c r="B1" s="1" t="str">
        <v>Customer Name</v>
      </c>
      <c r="C1" s="1" t="str">
        <v>Outcome</v>
      </c>
      <c r="D1" s="1" t="str">
        <v>Reason</v>
      </c>
      <c r="E1" s="1" t="str">
        <v>Action Needed</v>
      </c>
      <c r="F1" s="1" t="str">
        <v>Pre-flight Issues</v>
      </c>
      <c r="G1" s="1" t="str">
        <v>Error Field</v>
      </c>
      <c r="H1" s="1" t="str">
        <v>Raw Error</v>
      </c>
    </row>
    <row r="2">
      <c r="A2" s="1">
        <v>1</v>
      </c>
      <c r="B2" s="1" t="str">
        <v>Saffron Air Systems Pvt Ltd</v>
      </c>
      <c r="C2" s="1" t="str">
        <v>REJECTED</v>
      </c>
      <c r="D2" s="1" t="str">
        <v>Your India Compliance API credits have exhaustedError fetching GSTIN details: Your India Compliance API credits have exhausted</v>
      </c>
      <c r="E2" s="1" t="str">
        <v>Review the highlighted field and correct the value</v>
      </c>
      <c r="F2" s="1" t="str">
        <v/>
      </c>
      <c r="G2" s="1" t="str">
        <v/>
      </c>
      <c r="H2" s="1" t="str">
        <v>Your India Compliance API credits have exhaustedError fetching GSTIN details: Your India Compliance API credits have exhausted</v>
      </c>
    </row>
    <row r="3">
      <c r="A3" s="1">
        <v>2</v>
      </c>
      <c r="B3" s="1" t="str">
        <v>Bluepeak Cooling Solutions</v>
      </c>
      <c r="C3" s="1" t="str">
        <v>REJECTED</v>
      </c>
      <c r="D3" s="1" t="str">
        <v>Invalid GSTIN! The check digit validation has failed. Please ensure you've typed the GSTIN correctly.Error fetching GSTIN details: Invalid GSTIN! The check digit validation has failed. Please ensure y</v>
      </c>
      <c r="E3" s="1" t="str">
        <v>Review the highlighted field and correct the value</v>
      </c>
      <c r="F3" s="1" t="str">
        <v/>
      </c>
      <c r="G3" s="1" t="str">
        <v/>
      </c>
      <c r="H3" s="1" t="str">
        <v>Invalid GSTIN! The check digit validation has failed. Please ensure you've typed the GSTIN correctly.Error fetching GSTIN details: Invalid GSTIN! The check digit validation has failed. Please ensure you've typed the GSTIN correctly.</v>
      </c>
    </row>
    <row r="4">
      <c r="A4" s="1">
        <v>3</v>
      </c>
      <c r="B4" s="1" t="str">
        <v>Nikhil Verma</v>
      </c>
      <c r="C4" s="1" t="str">
        <v>REJECTED</v>
      </c>
      <c r="D4" s="1" t="str">
        <v>PAN must be unique</v>
      </c>
      <c r="E4" s="1" t="str">
        <v>Review the highlighted field and correct the value</v>
      </c>
      <c r="F4" s="1" t="str">
        <v/>
      </c>
      <c r="G4" s="1" t="str">
        <v/>
      </c>
      <c r="H4" s="1" t="str">
        <v>PAN must be unique</v>
      </c>
    </row>
    <row r="5">
      <c r="A5" s="1">
        <v>4</v>
      </c>
      <c r="B5" s="1" t="str">
        <v>Trishul Maintenance Partners</v>
      </c>
      <c r="C5" s="1" t="str">
        <v>REJECTED</v>
      </c>
      <c r="D5" s="1" t="str">
        <v>Invalid GSTIN! The check digit validation has failed. Please ensure you've typed the GSTIN correctly.Error fetching GSTIN details: Invalid GSTIN! The check digit validation has failed. Please ensure y</v>
      </c>
      <c r="E5" s="1" t="str">
        <v>Review the highlighted field and correct the value</v>
      </c>
      <c r="F5" s="1" t="str">
        <v/>
      </c>
      <c r="G5" s="1" t="str">
        <v/>
      </c>
      <c r="H5" s="1" t="str">
        <v>Invalid GSTIN! The check digit validation has failed. Please ensure you've typed the GSTIN correctly.Error fetching GSTIN details: Invalid GSTIN! The check digit validation has failed. Please ensure you've typed the GSTIN correctly.</v>
      </c>
    </row>
    <row r="6">
      <c r="A6" s="1">
        <v>5</v>
      </c>
      <c r="B6" s="1" t="str">
        <v>Orbit Climate Works</v>
      </c>
      <c r="C6" s="1" t="str">
        <v>REJECTED</v>
      </c>
      <c r="D6" s="1" t="str">
        <v>Invalid GSTIN! The check digit validation has failed. Please ensure you've typed the GSTIN correctly.Error fetching GSTIN details: Invalid GSTIN! The check digit validation has failed. Please ensure y</v>
      </c>
      <c r="E6" s="1" t="str">
        <v>Review the highlighted field and correct the value</v>
      </c>
      <c r="F6" s="1" t="str">
        <v>GST format is invalid (expected: 2-digit state + PAN + 1 digit + Z + checksum)</v>
      </c>
      <c r="G6" s="1" t="str">
        <v/>
      </c>
      <c r="H6" s="1" t="str">
        <v>Invalid GSTIN! The check digit validation has failed. Please ensure you've typed the GSTIN correctly.Error fetching GSTIN details: Invalid GSTIN! The check digit validation has failed. Please ensure you've typed the GSTIN correctly.</v>
      </c>
    </row>
    <row r="7">
      <c r="A7" s="1">
        <v>6</v>
      </c>
      <c r="B7" s="1" t="str">
        <v>Mangal Service Network</v>
      </c>
      <c r="C7" s="1" t="str">
        <v>REJECTED</v>
      </c>
      <c r="D7" s="1" t="str">
        <v>GSTIN must be a valid 15-character GSTIN format (27ABC2DE1234F1Z5) or leave the field empty</v>
      </c>
      <c r="E7" s="1" t="str">
        <v>Review the highlighted field and correct the value</v>
      </c>
      <c r="F7" s="1" t="str">
        <v>GST must be exactly 15 characters (got 12); GST format is invalid (expected: 2-digit state + PAN + 1 digit + Z + checksum); PAN format is invalid (expected: 5 letters + 4 digits + 1 letter)</v>
      </c>
      <c r="G7" s="1" t="str">
        <v/>
      </c>
      <c r="H7" s="1" t="str">
        <v>GSTIN must be a valid 15-character GSTIN format (27ABC2DE1234F1Z5) or leave the field empty</v>
      </c>
    </row>
    <row r="8">
      <c r="A8" s="1">
        <v>7</v>
      </c>
      <c r="B8" s="1" t="str">
        <v>(empty)</v>
      </c>
      <c r="C8" s="1" t="str">
        <v>REJECTED</v>
      </c>
      <c r="D8" s="1" t="str">
        <v>Customer Name is required</v>
      </c>
      <c r="E8" s="1" t="str">
        <v>Add the customer name</v>
      </c>
      <c r="F8" s="1" t="str">
        <v>Customer Name is required</v>
      </c>
      <c r="G8" s="1" t="str">
        <v/>
      </c>
      <c r="H8" s="1" t="str">
        <v>Invalid GSTIN! The check digit validation has failed. Please ensure you've typed the GSTIN correctly.Error fetching GSTIN details: Invalid GSTIN! The check digit validation has failed. Please ensure you've typed the GSTIN correctly.</v>
      </c>
    </row>
    <row r="9">
      <c r="A9" s="1">
        <v>8</v>
      </c>
      <c r="B9" s="1" t="str">
        <v>Northern Chill Projects</v>
      </c>
      <c r="C9" s="1" t="str">
        <v>REJECTED</v>
      </c>
      <c r="D9" s="1" t="str">
        <v>PAN must be unique</v>
      </c>
      <c r="E9" s="1" t="str">
        <v>Review the highlighted field and correct the value</v>
      </c>
      <c r="F9" s="1" t="str">
        <v/>
      </c>
      <c r="G9" s="1" t="str">
        <v/>
      </c>
      <c r="H9" s="1" t="str">
        <v>PAN must be unique</v>
      </c>
    </row>
    <row r="10">
      <c r="A10" s="1">
        <v>9</v>
      </c>
      <c r="B10" s="1" t="str">
        <v>Vertex Facility Services</v>
      </c>
      <c r="C10" s="1" t="str">
        <v>REJECTED</v>
      </c>
      <c r="D10" s="1" t="str">
        <v>Invalid GSTIN! The check digit validation has failed. Please ensure you've typed the GSTIN correctly.Error fetching GSTIN details: Invalid GSTIN! The check digit validation has failed. Please ensure y</v>
      </c>
      <c r="E10" s="1" t="str">
        <v>Review the highlighted field and correct the value</v>
      </c>
      <c r="F10" s="1" t="str">
        <v>Customer Type must be Company, Individual, or Partnership (got: LLC)</v>
      </c>
      <c r="G10" s="1" t="str">
        <v/>
      </c>
      <c r="H10" s="1" t="str">
        <v>Invalid GSTIN! The check digit validation has failed. Please ensure you've typed the GSTIN correctly.Error fetching GSTIN details: Invalid GSTIN! The check digit validation has failed. Please ensure you've typed the GSTIN correctly.</v>
      </c>
    </row>
    <row r="11">
      <c r="A11" s="1">
        <v>10</v>
      </c>
      <c r="B11" s="1" t="str">
        <v>Delta AMC Care</v>
      </c>
      <c r="C11" s="1" t="str">
        <v>REJECTED</v>
      </c>
      <c r="D11" s="1" t="str">
        <v>Invalid GSTIN! The check digit validation has failed. Please ensure you've typed the GSTIN correctly.Error fetching GSTIN details: Invalid GSTIN! The check digit validation has failed. Please ensure y</v>
      </c>
      <c r="E11" s="1" t="str">
        <v>Review the highlighted field and correct the value</v>
      </c>
      <c r="F11" s="1" t="str">
        <v>Contact Mobile must be exactly 10 digits</v>
      </c>
      <c r="G11" s="1" t="str">
        <v/>
      </c>
      <c r="H11" s="1" t="str">
        <v>Invalid GSTIN! The check digit validation has failed. Please ensure you've typed the GSTIN correctly.Error fetching GSTIN details: Invalid GSTIN! The check digit validation has failed. Please ensure you've typed the GSTIN correctly.</v>
      </c>
    </row>
  </sheetData>
  <ignoredErrors>
    <ignoredError numberStoredAsText="1" sqref="A1:H11"/>
  </ignoredErrors>
</worksheet>
</file>

<file path=xl/worksheets/sheet7.xml><?xml version="1.0" encoding="utf-8"?>
<worksheet xmlns="http://schemas.openxmlformats.org/spreadsheetml/2006/main" xmlns:r="http://schemas.openxmlformats.org/officeDocument/2006/relationships">
  <dimension ref="A1:F5"/>
  <sheetViews>
    <sheetView workbookViewId="0" rightToLeft="0"/>
  </sheetViews>
  <sheetData>
    <row r="1">
      <c r="A1" s="1" t="str">
        <v>Row</v>
      </c>
      <c r="B1" s="1" t="str">
        <v>Key</v>
      </c>
      <c r="C1" s="1" t="str">
        <v>Outcome</v>
      </c>
      <c r="D1" s="1" t="str">
        <v>Reason</v>
      </c>
      <c r="E1" s="1" t="str">
        <v>Pre-flight Issues</v>
      </c>
      <c r="F1" s="1" t="str">
        <v>Raw Error</v>
      </c>
    </row>
    <row r="2">
      <c r="A2" s="1">
        <v>12</v>
      </c>
      <c r="B2" s="1" t="str">
        <v>EMP-011</v>
      </c>
      <c r="C2" s="1" t="str">
        <v>REJECTED</v>
      </c>
      <c r="D2" s="1" t="str">
        <v>Beginning with Morning Shift You can use wildcard % txtNo ResultsCreate a new Shift Type More more</v>
      </c>
      <c r="E2" s="1" t="str">
        <v>Unsupported status value: HOLIDAY</v>
      </c>
      <c r="F2" s="1" t="str">
        <v>Beginning with Morning Shift You can use wildcard % txtNo ResultsCreate a new Shift Type More more</v>
      </c>
    </row>
    <row r="3">
      <c r="A3" s="1">
        <v>13</v>
      </c>
      <c r="B3" s="1" t="str">
        <v>EMP-012</v>
      </c>
      <c r="C3" s="1" t="str">
        <v>REJECTED</v>
      </c>
      <c r="D3" s="1" t="str">
        <v>Mandatory fields required in AttendanceEmployeeCompany</v>
      </c>
      <c r="E3" s="1" t="str">
        <v>Working Hours cannot be negative</v>
      </c>
      <c r="F3" s="1" t="str">
        <v>Mandatory fields required in AttendanceEmployeeCompany</v>
      </c>
    </row>
    <row r="4">
      <c r="A4" s="1">
        <v>14</v>
      </c>
      <c r="B4" s="1" t="str">
        <v>EMP-013</v>
      </c>
      <c r="C4" s="1" t="str">
        <v>REJECTED</v>
      </c>
      <c r="D4" s="1" t="str">
        <v>Mandatory fields required in AttendanceEmployeeCompany</v>
      </c>
      <c r="E4" s="1" t="str">
        <v/>
      </c>
      <c r="F4" s="1" t="str">
        <v>Mandatory fields required in AttendanceEmployeeCompany</v>
      </c>
    </row>
    <row r="5">
      <c r="A5" s="1">
        <v>15</v>
      </c>
      <c r="B5" s="1" t="str">
        <v>EMP-014</v>
      </c>
      <c r="C5" s="1" t="str">
        <v>REJECTED</v>
      </c>
      <c r="D5" s="1" t="str">
        <v>Mandatory fields required in AttendanceEmployeeCompany</v>
      </c>
      <c r="E5" s="1" t="str">
        <v/>
      </c>
      <c r="F5" s="1" t="str">
        <v>Mandatory fields required in AttendanceEmployeeCompany</v>
      </c>
    </row>
  </sheetData>
  <ignoredErrors>
    <ignoredError numberStoredAsText="1" sqref="A1:F5"/>
  </ignoredErrors>
</worksheet>
</file>

<file path=xl/worksheets/sheet8.xml><?xml version="1.0" encoding="utf-8"?>
<worksheet xmlns="http://schemas.openxmlformats.org/spreadsheetml/2006/main" xmlns:r="http://schemas.openxmlformats.org/officeDocument/2006/relationships">
  <dimension ref="A1:F11"/>
  <sheetViews>
    <sheetView workbookViewId="0" rightToLeft="0"/>
  </sheetViews>
  <sheetData>
    <row r="1">
      <c r="A1" s="1" t="str">
        <v>Row</v>
      </c>
      <c r="B1" s="1" t="str">
        <v>Key</v>
      </c>
      <c r="C1" s="1" t="str">
        <v>Outcome</v>
      </c>
      <c r="D1" s="1" t="str">
        <v>Reason</v>
      </c>
      <c r="E1" s="1" t="str">
        <v>Pre-flight Issues</v>
      </c>
      <c r="F1" s="1" t="str">
        <v>Raw Error</v>
      </c>
    </row>
    <row r="2">
      <c r="A2" s="1">
        <v>5</v>
      </c>
      <c r="B2" s="1" t="str">
        <v>EMP-005</v>
      </c>
      <c r="C2" s="1" t="str">
        <v>REJECTED</v>
      </c>
      <c r="D2" s="1" t="str">
        <v>Please select Employee first.</v>
      </c>
      <c r="E2" s="1" t="str">
        <v/>
      </c>
      <c r="F2" s="1" t="str">
        <v>Please select Employee first.</v>
      </c>
    </row>
    <row r="3">
      <c r="A3" s="1">
        <v>6</v>
      </c>
      <c r="B3" s="1" t="str">
        <v>EMP-006</v>
      </c>
      <c r="C3" s="1" t="str">
        <v>REJECTED</v>
      </c>
      <c r="D3" s="1" t="str">
        <v>Please select Employee first.</v>
      </c>
      <c r="E3" s="1" t="str">
        <v/>
      </c>
      <c r="F3" s="1" t="str">
        <v>Please select Employee first.</v>
      </c>
    </row>
    <row r="4">
      <c r="A4" s="1">
        <v>7</v>
      </c>
      <c r="B4" s="1" t="str">
        <v>EMP-007</v>
      </c>
      <c r="C4" s="1" t="str">
        <v>REJECTED</v>
      </c>
      <c r="D4" s="1" t="str">
        <v>Please select Employee first.</v>
      </c>
      <c r="E4" s="1" t="str">
        <v/>
      </c>
      <c r="F4" s="1" t="str">
        <v>Please select Employee first.</v>
      </c>
    </row>
    <row r="5">
      <c r="A5" s="1">
        <v>8</v>
      </c>
      <c r="B5" s="1" t="str">
        <v>EMP-008</v>
      </c>
      <c r="C5" s="1" t="str">
        <v>REJECTED</v>
      </c>
      <c r="D5" s="1" t="str">
        <v>Please select Employee first.</v>
      </c>
      <c r="E5" s="1" t="str">
        <v/>
      </c>
      <c r="F5" s="1" t="str">
        <v>Please select Employee first.</v>
      </c>
    </row>
    <row r="6">
      <c r="A6" s="1">
        <v>9</v>
      </c>
      <c r="B6" s="1" t="str">
        <v>EMP-009</v>
      </c>
      <c r="C6" s="1" t="str">
        <v>REJECTED</v>
      </c>
      <c r="D6" s="1" t="str">
        <v>Please select Employee first.</v>
      </c>
      <c r="E6" s="1" t="str">
        <v/>
      </c>
      <c r="F6" s="1" t="str">
        <v>Please select Employee first.</v>
      </c>
    </row>
    <row r="7">
      <c r="A7" s="1">
        <v>10</v>
      </c>
      <c r="B7" s="1" t="str">
        <v>(empty employee)</v>
      </c>
      <c r="C7" s="1" t="str">
        <v>REJECTED</v>
      </c>
      <c r="D7" s="1" t="str">
        <v>Please select Employee first.</v>
      </c>
      <c r="E7" s="1" t="str">
        <v>Employee is required</v>
      </c>
      <c r="F7" s="1" t="str">
        <v>Please select Employee first.</v>
      </c>
    </row>
    <row r="8">
      <c r="A8" s="1">
        <v>11</v>
      </c>
      <c r="B8" s="1" t="str">
        <v>EMP-011</v>
      </c>
      <c r="C8" s="1" t="str">
        <v>REJECTED</v>
      </c>
      <c r="D8" s="1" t="str">
        <v>Please select Employee first.</v>
      </c>
      <c r="E8" s="1" t="str">
        <v/>
      </c>
      <c r="F8" s="1" t="str">
        <v>Please select Employee first.</v>
      </c>
    </row>
    <row r="9">
      <c r="A9" s="1">
        <v>12</v>
      </c>
      <c r="B9" s="1" t="str">
        <v>EMP-012</v>
      </c>
      <c r="C9" s="1" t="str">
        <v>REJECTED</v>
      </c>
      <c r="D9" s="1" t="str">
        <v>Please select Employee first.</v>
      </c>
      <c r="E9" s="1" t="str">
        <v/>
      </c>
      <c r="F9" s="1" t="str">
        <v>Please select Employee first.</v>
      </c>
    </row>
    <row r="10">
      <c r="A10" s="1">
        <v>13</v>
      </c>
      <c r="B10" s="1" t="str">
        <v>EMP-013</v>
      </c>
      <c r="C10" s="1" t="str">
        <v>ERROR</v>
      </c>
      <c r="D10" s="1" t="str">
        <v>Save failed without visible ERPNext error</v>
      </c>
      <c r="E10" s="1" t="str">
        <v/>
      </c>
      <c r="F10" s="1" t="str">
        <v/>
      </c>
    </row>
    <row r="11">
      <c r="A11" s="1">
        <v>14</v>
      </c>
      <c r="B11" s="1" t="str">
        <v>EMP-014</v>
      </c>
      <c r="C11" s="1" t="str">
        <v>ERROR</v>
      </c>
      <c r="D11" s="1" t="str">
        <v>Save failed without visible ERPNext error</v>
      </c>
      <c r="E11" s="1" t="str">
        <v/>
      </c>
      <c r="F11" s="1" t="str">
        <v/>
      </c>
    </row>
  </sheetData>
  <ignoredErrors>
    <ignoredError numberStoredAsText="1" sqref="A1:F11"/>
  </ignoredErrors>
</worksheet>
</file>

<file path=xl/worksheets/sheet9.xml><?xml version="1.0" encoding="utf-8"?>
<worksheet xmlns="http://schemas.openxmlformats.org/spreadsheetml/2006/main" xmlns:r="http://schemas.openxmlformats.org/officeDocument/2006/relationships">
  <dimension ref="A1:F15"/>
  <sheetViews>
    <sheetView workbookViewId="0" rightToLeft="0"/>
  </sheetViews>
  <sheetData>
    <row r="1">
      <c r="A1" s="1" t="str">
        <v>Row</v>
      </c>
      <c r="B1" s="1" t="str">
        <v>Key</v>
      </c>
      <c r="C1" s="1" t="str">
        <v>Outcome</v>
      </c>
      <c r="D1" s="1" t="str">
        <v>Reason</v>
      </c>
      <c r="E1" s="1" t="str">
        <v>Pre-flight Issues</v>
      </c>
      <c r="F1" s="1" t="str">
        <v>Raw Error</v>
      </c>
    </row>
    <row r="2">
      <c r="A2" s="1">
        <v>1</v>
      </c>
      <c r="B2" s="1" t="str">
        <v>Apex HVAC Supplies Pvt Ltd</v>
      </c>
      <c r="C2" s="1" t="str">
        <v>CREATED</v>
      </c>
      <c r="D2" s="1" t="str">
        <v>Vendor saved successfully</v>
      </c>
      <c r="E2" s="1" t="str">
        <v/>
      </c>
      <c r="F2" s="1" t="str">
        <v/>
      </c>
    </row>
    <row r="3">
      <c r="A3" s="1">
        <v>2</v>
      </c>
      <c r="B3" s="1" t="str">
        <v>CoolTech Parts Private Limited</v>
      </c>
      <c r="C3" s="1" t="str">
        <v>CREATED</v>
      </c>
      <c r="D3" s="1" t="str">
        <v>Vendor saved successfully</v>
      </c>
      <c r="E3" s="1" t="str">
        <v/>
      </c>
      <c r="F3" s="1" t="str">
        <v/>
      </c>
    </row>
    <row r="4">
      <c r="A4" s="1">
        <v>3</v>
      </c>
      <c r="B4" s="1" t="str">
        <v>Suresh AC Services</v>
      </c>
      <c r="C4" s="1" t="str">
        <v>CREATED</v>
      </c>
      <c r="D4" s="1" t="str">
        <v>Vendor saved successfully</v>
      </c>
      <c r="E4" s="1" t="str">
        <v/>
      </c>
      <c r="F4" s="1" t="str">
        <v/>
      </c>
    </row>
    <row r="5">
      <c r="A5" s="1">
        <v>4</v>
      </c>
      <c r="B5" s="1" t="str">
        <v>Pinnacle Refrigeration Works</v>
      </c>
      <c r="C5" s="1" t="str">
        <v>CREATED</v>
      </c>
      <c r="D5" s="1" t="str">
        <v>Vendor saved successfully</v>
      </c>
      <c r="E5" s="1" t="str">
        <v/>
      </c>
      <c r="F5" s="1" t="str">
        <v/>
      </c>
    </row>
    <row r="6">
      <c r="A6" s="1">
        <v>5</v>
      </c>
      <c r="B6" s="1" t="str">
        <v>Delta Cooling Components</v>
      </c>
      <c r="C6" s="1" t="str">
        <v>CREATED</v>
      </c>
      <c r="D6" s="1" t="str">
        <v>Vendor saved successfully</v>
      </c>
      <c r="E6" s="1" t="str">
        <v>GST format is invalid</v>
      </c>
      <c r="F6" s="1" t="str">
        <v/>
      </c>
    </row>
    <row r="7">
      <c r="A7" s="1">
        <v>6</v>
      </c>
      <c r="B7" s="1" t="str">
        <v>National Spares and Equipment</v>
      </c>
      <c r="C7" s="1" t="str">
        <v>CREATED</v>
      </c>
      <c r="D7" s="1" t="str">
        <v>Vendor saved successfully</v>
      </c>
      <c r="E7" s="1" t="str">
        <v>PAN format is invalid</v>
      </c>
      <c r="F7" s="1" t="str">
        <v/>
      </c>
    </row>
    <row r="8">
      <c r="A8" s="1">
        <v>7</v>
      </c>
      <c r="B8" s="1" t="str">
        <v>Greenfield HVAC Solutions</v>
      </c>
      <c r="C8" s="1" t="str">
        <v>CREATED</v>
      </c>
      <c r="D8" s="1" t="str">
        <v>Vendor saved successfully</v>
      </c>
      <c r="E8" s="1" t="str">
        <v/>
      </c>
      <c r="F8" s="1" t="str">
        <v/>
      </c>
    </row>
    <row r="9" xml:space="preserve">
      <c r="A9" s="1">
        <v>8</v>
      </c>
      <c r="B9" s="1" t="str">
        <v>Horizon Parts and Components</v>
      </c>
      <c r="C9" s="1" t="str">
        <v>REJECTED</v>
      </c>
      <c r="D9" s="1" t="str" xml:space="preserve">
        <v xml:space="preserve">Message
not-an-email is not a valid Email Address</v>
      </c>
      <c r="E9" s="1" t="str">
        <v/>
      </c>
      <c r="F9" s="1" t="str" xml:space="preserve">
        <v xml:space="preserve">Message
not-an-email is not a valid Email Address</v>
      </c>
    </row>
    <row r="10" xml:space="preserve">
      <c r="A10" s="1">
        <v>9</v>
      </c>
      <c r="B10" s="1" t="str">
        <v>Sunrise Equipment Suppliers</v>
      </c>
      <c r="C10" s="1" t="str">
        <v>REJECTED</v>
      </c>
      <c r="D10" s="1" t="str" xml:space="preserve">
        <v xml:space="preserve">Message
98ABCD1234 is not a valid Phone Number</v>
      </c>
      <c r="E10" s="1" t="str">
        <v/>
      </c>
      <c r="F10" s="1" t="str" xml:space="preserve">
        <v xml:space="preserve">Message
98ABCD1234 is not a valid Phone Number</v>
      </c>
    </row>
    <row r="11">
      <c r="A11" s="1">
        <v>10</v>
      </c>
      <c r="B11" s="1" t="str">
        <v>(empty supplier)</v>
      </c>
      <c r="C11" s="1" t="str">
        <v>CREATED</v>
      </c>
      <c r="D11" s="1" t="str">
        <v>Vendor saved successfully</v>
      </c>
      <c r="E11" s="1" t="str">
        <v>Supplier Name is required</v>
      </c>
      <c r="F11" s="1" t="str">
        <v/>
      </c>
    </row>
    <row r="12">
      <c r="A12" s="1">
        <v>11</v>
      </c>
      <c r="B12" s="1" t="str">
        <v>Blue Star Vendor Network</v>
      </c>
      <c r="C12" s="1" t="str">
        <v>CREATED</v>
      </c>
      <c r="D12" s="1" t="str">
        <v>Vendor saved successfully</v>
      </c>
      <c r="E12" s="1" t="str">
        <v/>
      </c>
      <c r="F12" s="1" t="str">
        <v/>
      </c>
    </row>
    <row r="13">
      <c r="A13" s="1">
        <v>12</v>
      </c>
      <c r="B13" s="1" t="str">
        <v>Arctic HVAC Services Ltd</v>
      </c>
      <c r="C13" s="1" t="str">
        <v>CREATED</v>
      </c>
      <c r="D13" s="1" t="str">
        <v>Vendor saved successfully</v>
      </c>
      <c r="E13" s="1" t="str">
        <v/>
      </c>
      <c r="F13" s="1" t="str">
        <v/>
      </c>
    </row>
    <row r="14">
      <c r="A14" s="1">
        <v>13</v>
      </c>
      <c r="B14" s="1" t="str">
        <v>Polar Tech Maintenance</v>
      </c>
      <c r="C14" s="1" t="str">
        <v>CREATED</v>
      </c>
      <c r="D14" s="1" t="str">
        <v>Vendor saved successfully</v>
      </c>
      <c r="E14" s="1" t="str">
        <v/>
      </c>
      <c r="F14" s="1" t="str">
        <v/>
      </c>
    </row>
    <row r="15">
      <c r="A15" s="1">
        <v>14</v>
      </c>
      <c r="B15" s="1" t="str">
        <v>Summit HVAC Group India</v>
      </c>
      <c r="C15" s="1" t="str">
        <v>CREATED</v>
      </c>
      <c r="D15" s="1" t="str">
        <v>Vendor saved successfully</v>
      </c>
      <c r="E15" s="1" t="str">
        <v/>
      </c>
      <c r="F15" s="1" t="str">
        <v/>
      </c>
    </row>
  </sheetData>
  <ignoredErrors>
    <ignoredError numberStoredAsText="1" sqref="A1:F15"/>
  </ignoredErrors>
</worksheet>
</file>

<file path=xl/worksheets/sheet10.xml><?xml version="1.0" encoding="utf-8"?>
<worksheet xmlns="http://schemas.openxmlformats.org/spreadsheetml/2006/main" xmlns:r="http://schemas.openxmlformats.org/officeDocument/2006/relationships">
  <dimension ref="A1:M13"/>
  <sheetViews>
    <sheetView workbookViewId="0" rightToLeft="0"/>
  </sheetViews>
  <sheetData>
    <row r="1">
      <c r="A1" s="1" t="str">
        <v>Row</v>
      </c>
      <c r="B1" s="1" t="str">
        <v>Test ID</v>
      </c>
      <c r="C1" s="1" t="str">
        <v>Key</v>
      </c>
      <c r="D1" s="1" t="str">
        <v>Expected Outcome</v>
      </c>
      <c r="E1" s="1" t="str">
        <v>Actual Outcome</v>
      </c>
      <c r="F1" s="1" t="str">
        <v>Status</v>
      </c>
      <c r="G1" s="1" t="str">
        <v>Reason</v>
      </c>
      <c r="H1" s="1" t="str">
        <v>Selected Customer</v>
      </c>
      <c r="I1" s="1" t="str">
        <v>Selected Branch</v>
      </c>
      <c r="J1" s="1" t="str">
        <v>Selected Contact</v>
      </c>
      <c r="K1" s="1" t="str">
        <v>Selected Type</v>
      </c>
      <c r="L1" s="1" t="str">
        <v>Fallback Used</v>
      </c>
      <c r="M1" s="1" t="str">
        <v>Raw Error</v>
      </c>
    </row>
    <row r="2">
      <c r="A2" s="1">
        <v>1</v>
      </c>
      <c r="B2" s="1" t="str">
        <v>SC-DDT-001</v>
      </c>
      <c r="C2" s="1" t="str">
        <v>Saffron Air Systems Pvt Ltd</v>
      </c>
      <c r="D2" s="1" t="str">
        <v>CREATED</v>
      </c>
      <c r="E2" s="1" t="str">
        <v>CREATED</v>
      </c>
      <c r="F2" s="1" t="str">
        <v>PASS</v>
      </c>
      <c r="G2" s="1" t="str">
        <v>Service Call saved successfully using available linked records (Using first complete customer hierarchy available in ERPNext)</v>
      </c>
      <c r="H2" s="1" t="str">
        <v>Pricewaterhouse Coopers Private Limited</v>
      </c>
      <c r="I2" s="1" t="str">
        <v>Mumbai Suburban</v>
      </c>
      <c r="J2" s="1" t="str">
        <v>Shaikh yahya</v>
      </c>
      <c r="K2" s="1" t="str">
        <v>Preventive maintenance</v>
      </c>
      <c r="L2" s="1" t="str">
        <v>Yes</v>
      </c>
      <c r="M2" s="1" t="str">
        <v/>
      </c>
    </row>
    <row r="3">
      <c r="A3" s="1">
        <v>2</v>
      </c>
      <c r="B3" s="1" t="str">
        <v>SC-DDT-002</v>
      </c>
      <c r="C3" s="1" t="str">
        <v>Delta AMC Care</v>
      </c>
      <c r="D3" s="1" t="str">
        <v>CREATED</v>
      </c>
      <c r="E3" s="1" t="str">
        <v>CREATED</v>
      </c>
      <c r="F3" s="1" t="str">
        <v>PASS</v>
      </c>
      <c r="G3" s="1" t="str">
        <v>Service Call saved successfully using available linked records (Using first complete customer hierarchy available in ERPNext)</v>
      </c>
      <c r="H3" s="1" t="str">
        <v>Pricewaterhouse Coopers Private Limited</v>
      </c>
      <c r="I3" s="1" t="str">
        <v>Mumbai Suburban</v>
      </c>
      <c r="J3" s="1" t="str">
        <v>Shaikh yahya</v>
      </c>
      <c r="K3" s="1" t="str">
        <v>Breakdown</v>
      </c>
      <c r="L3" s="1" t="str">
        <v>Yes</v>
      </c>
      <c r="M3" s="1" t="str">
        <v/>
      </c>
    </row>
    <row r="4">
      <c r="A4" s="1">
        <v>3</v>
      </c>
      <c r="B4" s="1" t="str">
        <v>SC-DDT-003</v>
      </c>
      <c r="C4" s="1" t="str">
        <v>Orbit Climate Works</v>
      </c>
      <c r="D4" s="1" t="str">
        <v>CREATED</v>
      </c>
      <c r="E4" s="1" t="str">
        <v>CREATED</v>
      </c>
      <c r="F4" s="1" t="str">
        <v>PASS</v>
      </c>
      <c r="G4" s="1" t="str">
        <v>Service Call saved successfully using available linked records</v>
      </c>
      <c r="H4" s="1" t="str">
        <v>Pricewaterhouse Coopers Private Limited</v>
      </c>
      <c r="I4" s="1" t="str">
        <v>Mumbai Suburban</v>
      </c>
      <c r="J4" s="1" t="str">
        <v>Shaikh yahya</v>
      </c>
      <c r="K4" s="1" t="str">
        <v>Installation</v>
      </c>
      <c r="L4" s="1" t="str">
        <v>Yes</v>
      </c>
      <c r="M4" s="1" t="str">
        <v/>
      </c>
    </row>
    <row r="5">
      <c r="A5" s="1">
        <v>4</v>
      </c>
      <c r="B5" s="1" t="str">
        <v>SC-DDT-004</v>
      </c>
      <c r="C5" s="1" t="str">
        <v>Saffron Air Systems Pvt Ltd</v>
      </c>
      <c r="D5" s="1" t="str">
        <v>CREATED</v>
      </c>
      <c r="E5" s="1" t="str">
        <v>CREATED</v>
      </c>
      <c r="F5" s="1" t="str">
        <v>PASS</v>
      </c>
      <c r="G5" s="1" t="str">
        <v>Service Call saved successfully using available linked records (Using first complete customer hierarchy available in ERPNext)</v>
      </c>
      <c r="H5" s="1" t="str">
        <v>Pricewaterhouse Coopers Private Limited</v>
      </c>
      <c r="I5" s="1" t="str">
        <v>Mumbai Suburban</v>
      </c>
      <c r="J5" s="1" t="str">
        <v>Shaikh yahya</v>
      </c>
      <c r="K5" s="1" t="str">
        <v>Breakdown</v>
      </c>
      <c r="L5" s="1" t="str">
        <v>Yes</v>
      </c>
      <c r="M5" s="1" t="str">
        <v/>
      </c>
    </row>
    <row r="6">
      <c r="A6" s="1">
        <v>5</v>
      </c>
      <c r="B6" s="1" t="str">
        <v>SC-DDT-005</v>
      </c>
      <c r="C6" s="1" t="str">
        <v>Delta AMC Care</v>
      </c>
      <c r="D6" s="1" t="str">
        <v>CREATED</v>
      </c>
      <c r="E6" s="1" t="str">
        <v>CREATED</v>
      </c>
      <c r="F6" s="1" t="str">
        <v>PASS</v>
      </c>
      <c r="G6" s="1" t="str">
        <v>Service Call saved successfully using available linked records (Using first complete customer hierarchy available in ERPNext)</v>
      </c>
      <c r="H6" s="1" t="str">
        <v>Pricewaterhouse Coopers Private Limited</v>
      </c>
      <c r="I6" s="1" t="str">
        <v>Mumbai Suburban</v>
      </c>
      <c r="J6" s="1" t="str">
        <v>Shaikh yahya</v>
      </c>
      <c r="K6" s="1" t="str">
        <v>Preventive maintenance</v>
      </c>
      <c r="L6" s="1" t="str">
        <v>Yes</v>
      </c>
      <c r="M6" s="1" t="str">
        <v/>
      </c>
    </row>
    <row r="7">
      <c r="A7" s="1">
        <v>6</v>
      </c>
      <c r="B7" s="1" t="str">
        <v>SC-DDT-006</v>
      </c>
      <c r="C7" s="1" t="str">
        <v>Orbit Climate Works</v>
      </c>
      <c r="D7" s="1" t="str">
        <v>CREATED</v>
      </c>
      <c r="E7" s="1" t="str">
        <v>CREATED</v>
      </c>
      <c r="F7" s="1" t="str">
        <v>PASS</v>
      </c>
      <c r="G7" s="1" t="str">
        <v>Service Call saved successfully using available linked records</v>
      </c>
      <c r="H7" s="1" t="str">
        <v>Pricewaterhouse Coopers Private Limited</v>
      </c>
      <c r="I7" s="1" t="str">
        <v>Mumbai Suburban</v>
      </c>
      <c r="J7" s="1" t="str">
        <v>Shaikh yahya</v>
      </c>
      <c r="K7" s="1" t="str">
        <v>Breakdown</v>
      </c>
      <c r="L7" s="1" t="str">
        <v>Yes</v>
      </c>
      <c r="M7" s="1" t="str">
        <v/>
      </c>
    </row>
    <row r="8">
      <c r="A8" s="1">
        <v>7</v>
      </c>
      <c r="B8" s="1" t="str">
        <v>SC-DDT-007</v>
      </c>
      <c r="C8" s="1" t="str">
        <v>Andheri Service Hub</v>
      </c>
      <c r="D8" s="1" t="str">
        <v>REJECTED</v>
      </c>
      <c r="E8" s="1" t="str">
        <v>REJECTED</v>
      </c>
      <c r="F8" s="1" t="str">
        <v>PASS</v>
      </c>
      <c r="G8" s="1" t="str">
        <v>Date Invalid date must be in format: dd-mm-yyyy</v>
      </c>
      <c r="H8" s="1" t="str">
        <v/>
      </c>
      <c r="I8" s="1" t="str">
        <v/>
      </c>
      <c r="J8" s="1" t="str">
        <v/>
      </c>
      <c r="K8" s="1" t="str">
        <v>Breakdown</v>
      </c>
      <c r="L8" s="1" t="str">
        <v>No</v>
      </c>
      <c r="M8" s="1" t="str">
        <v>Date Invalid date must be in format: dd-mm-yyyy</v>
      </c>
    </row>
    <row r="9">
      <c r="A9" s="1">
        <v>8</v>
      </c>
      <c r="B9" s="1" t="str">
        <v>SC-DDT-008</v>
      </c>
      <c r="C9" s="1" t="str">
        <v>Saffron Air Systems Pvt Ltd</v>
      </c>
      <c r="D9" s="1" t="str">
        <v>REJECTED</v>
      </c>
      <c r="E9" s="1" t="str">
        <v>REJECTED</v>
      </c>
      <c r="F9" s="1" t="str">
        <v>PASS</v>
      </c>
      <c r="G9" s="1" t="str">
        <v>Date Invalid date must be in format: dd-mm-yyyy</v>
      </c>
      <c r="H9" s="1" t="str">
        <v/>
      </c>
      <c r="I9" s="1" t="str">
        <v/>
      </c>
      <c r="J9" s="1" t="str">
        <v/>
      </c>
      <c r="K9" s="1" t="str">
        <v>Breakdown</v>
      </c>
      <c r="L9" s="1" t="str">
        <v>No</v>
      </c>
      <c r="M9" s="1" t="str">
        <v>Date Invalid date must be in format: dd-mm-yyyy</v>
      </c>
    </row>
    <row r="10">
      <c r="A10" s="1">
        <v>9</v>
      </c>
      <c r="B10" s="1" t="str">
        <v>SC-DDT-009</v>
      </c>
      <c r="C10" s="1" t="str">
        <v>Saffron Air Systems Pvt Ltd</v>
      </c>
      <c r="D10" s="1" t="str">
        <v>REJECTED</v>
      </c>
      <c r="E10" s="1" t="str">
        <v>REJECTED</v>
      </c>
      <c r="F10" s="1" t="str">
        <v>PASS</v>
      </c>
      <c r="G10" s="1" t="str">
        <v>Mandatory fields required in Service CallCustomerBranchContacted Person</v>
      </c>
      <c r="H10" s="1" t="str">
        <v/>
      </c>
      <c r="I10" s="1" t="str">
        <v/>
      </c>
      <c r="J10" s="1" t="str">
        <v/>
      </c>
      <c r="K10" s="1" t="str">
        <v>Breakdown</v>
      </c>
      <c r="L10" s="1" t="str">
        <v>No</v>
      </c>
      <c r="M10" s="1" t="str">
        <v>Mandatory fields required in Service CallCustomerBranchContacted Person</v>
      </c>
    </row>
    <row r="11">
      <c r="A11" s="1">
        <v>10</v>
      </c>
      <c r="B11" s="1" t="str">
        <v>SC-DDT-010</v>
      </c>
      <c r="C11" s="1" t="str">
        <v>Saffron Air Systems Pvt Ltd</v>
      </c>
      <c r="D11" s="1" t="str">
        <v>REJECTED</v>
      </c>
      <c r="E11" s="1" t="str">
        <v>REJECTED</v>
      </c>
      <c r="F11" s="1" t="str">
        <v>PASS</v>
      </c>
      <c r="G11" s="1" t="str">
        <v>Date Invalid date must be in format: dd-mm-yyyy</v>
      </c>
      <c r="H11" s="1" t="str">
        <v/>
      </c>
      <c r="I11" s="1" t="str">
        <v/>
      </c>
      <c r="J11" s="1" t="str">
        <v/>
      </c>
      <c r="K11" s="1" t="str">
        <v/>
      </c>
      <c r="L11" s="1" t="str">
        <v>No</v>
      </c>
      <c r="M11" s="1" t="str">
        <v>Date Invalid date must be in format: dd-mm-yyyy</v>
      </c>
    </row>
    <row r="12">
      <c r="A12" s="1">
        <v>11</v>
      </c>
      <c r="B12" s="1" t="str">
        <v>SC-DDT-011</v>
      </c>
      <c r="C12" s="1" t="str">
        <v>Non Existing Customer</v>
      </c>
      <c r="D12" s="1" t="str">
        <v>REJECTED</v>
      </c>
      <c r="E12" s="1" t="str">
        <v>REJECTED</v>
      </c>
      <c r="F12" s="1" t="str">
        <v>PASS</v>
      </c>
      <c r="G12" s="1" t="str">
        <v>Date Invalid date must be in format: dd-mm-yyyy</v>
      </c>
      <c r="H12" s="1" t="str">
        <v/>
      </c>
      <c r="I12" s="1" t="str">
        <v/>
      </c>
      <c r="J12" s="1" t="str">
        <v/>
      </c>
      <c r="K12" s="1" t="str">
        <v>Breakdown</v>
      </c>
      <c r="L12" s="1" t="str">
        <v>No</v>
      </c>
      <c r="M12" s="1" t="str">
        <v>Date Invalid date must be in format: dd-mm-yyyy</v>
      </c>
    </row>
    <row r="13">
      <c r="A13" s="1">
        <v>12</v>
      </c>
      <c r="B13" s="1" t="str">
        <v>SC-DDT-012</v>
      </c>
      <c r="C13" s="1" t="str">
        <v>Delta AMC Care</v>
      </c>
      <c r="D13" s="1" t="str">
        <v>CREATED</v>
      </c>
      <c r="E13" s="1" t="str">
        <v>CREATED</v>
      </c>
      <c r="F13" s="1" t="str">
        <v>PASS</v>
      </c>
      <c r="G13" s="1" t="str">
        <v>Service Call saved successfully using available linked records (Using first complete customer hierarchy available in ERPNext)</v>
      </c>
      <c r="H13" s="1" t="str">
        <v>Pricewaterhouse Coopers Private Limited</v>
      </c>
      <c r="I13" s="1" t="str">
        <v>Mumbai Suburban</v>
      </c>
      <c r="J13" s="1" t="str">
        <v>Shaikh yahya</v>
      </c>
      <c r="K13" s="1" t="str">
        <v>Installation</v>
      </c>
      <c r="L13" s="1" t="str">
        <v>Yes</v>
      </c>
      <c r="M13" s="1" t="str">
        <v/>
      </c>
    </row>
  </sheetData>
  <ignoredErrors>
    <ignoredError numberStoredAsText="1" sqref="A1:M13"/>
  </ignoredErrors>
</worksheet>
</file>

<file path=xl/worksheets/sheet11.xml><?xml version="1.0" encoding="utf-8"?>
<worksheet xmlns="http://schemas.openxmlformats.org/spreadsheetml/2006/main" xmlns:r="http://schemas.openxmlformats.org/officeDocument/2006/relationships">
  <dimension ref="A1:M13"/>
  <sheetViews>
    <sheetView workbookViewId="0" rightToLeft="0"/>
  </sheetViews>
  <sheetData>
    <row r="1">
      <c r="A1" s="1" t="str">
        <v>Row</v>
      </c>
      <c r="B1" s="1" t="str">
        <v>Test ID</v>
      </c>
      <c r="C1" s="1" t="str">
        <v>Key</v>
      </c>
      <c r="D1" s="1" t="str">
        <v>Expected Outcome</v>
      </c>
      <c r="E1" s="1" t="str">
        <v>Actual Outcome</v>
      </c>
      <c r="F1" s="1" t="str">
        <v>Status</v>
      </c>
      <c r="G1" s="1" t="str">
        <v>Reason</v>
      </c>
      <c r="H1" s="1" t="str">
        <v>Selected Customer</v>
      </c>
      <c r="I1" s="1" t="str">
        <v>Selected Branch</v>
      </c>
      <c r="J1" s="1" t="str">
        <v>Selected Contact</v>
      </c>
      <c r="K1" s="1" t="str">
        <v>Applied Status</v>
      </c>
      <c r="L1" s="1" t="str">
        <v>Fallback Used</v>
      </c>
      <c r="M1" s="1" t="str">
        <v>Raw Error</v>
      </c>
    </row>
    <row r="2">
      <c r="A2" s="1">
        <v>1</v>
      </c>
      <c r="B2" s="1" t="str">
        <v>CON-DDT-001</v>
      </c>
      <c r="C2" s="1" t="str">
        <v>2030-04-01</v>
      </c>
      <c r="D2" s="1" t="str">
        <v>CREATED</v>
      </c>
      <c r="E2" s="1" t="str">
        <v>CREATED</v>
      </c>
      <c r="F2" s="1" t="str">
        <v>PASS</v>
      </c>
      <c r="G2" s="1" t="str">
        <v>AMC Contract saved successfully</v>
      </c>
      <c r="H2" s="1" t="str">
        <v/>
      </c>
      <c r="I2" s="1" t="str">
        <v/>
      </c>
      <c r="J2" s="1" t="str">
        <v/>
      </c>
      <c r="K2" s="1" t="str">
        <v/>
      </c>
      <c r="L2" s="1" t="str">
        <v>No</v>
      </c>
      <c r="M2" s="1" t="str">
        <v/>
      </c>
    </row>
    <row r="3">
      <c r="A3" s="1">
        <v>2</v>
      </c>
      <c r="B3" s="1" t="str">
        <v>CON-DDT-002</v>
      </c>
      <c r="C3" s="1" t="str">
        <v>2030-04-15</v>
      </c>
      <c r="D3" s="1" t="str">
        <v>CREATED</v>
      </c>
      <c r="E3" s="1" t="str">
        <v>CREATED</v>
      </c>
      <c r="F3" s="1" t="str">
        <v>PASS</v>
      </c>
      <c r="G3" s="1" t="str">
        <v>AMC Contract saved successfully</v>
      </c>
      <c r="H3" s="1" t="str">
        <v/>
      </c>
      <c r="I3" s="1" t="str">
        <v/>
      </c>
      <c r="J3" s="1" t="str">
        <v/>
      </c>
      <c r="K3" s="1" t="str">
        <v/>
      </c>
      <c r="L3" s="1" t="str">
        <v>No</v>
      </c>
      <c r="M3" s="1" t="str">
        <v/>
      </c>
    </row>
    <row r="4">
      <c r="A4" s="1">
        <v>3</v>
      </c>
      <c r="B4" s="1" t="str">
        <v>CON-DDT-003</v>
      </c>
      <c r="C4" s="1" t="str">
        <v>2030-05-01</v>
      </c>
      <c r="D4" s="1" t="str">
        <v>CREATED</v>
      </c>
      <c r="E4" s="1" t="str">
        <v>CREATED</v>
      </c>
      <c r="F4" s="1" t="str">
        <v>PASS</v>
      </c>
      <c r="G4" s="1" t="str">
        <v>AMC Contract saved successfully</v>
      </c>
      <c r="H4" s="1" t="str">
        <v/>
      </c>
      <c r="I4" s="1" t="str">
        <v/>
      </c>
      <c r="J4" s="1" t="str">
        <v/>
      </c>
      <c r="K4" s="1" t="str">
        <v/>
      </c>
      <c r="L4" s="1" t="str">
        <v>No</v>
      </c>
      <c r="M4" s="1" t="str">
        <v/>
      </c>
    </row>
    <row r="5">
      <c r="A5" s="1">
        <v>4</v>
      </c>
      <c r="B5" s="1" t="str">
        <v>CON-DDT-004</v>
      </c>
      <c r="C5" s="1" t="str">
        <v>Saffron Air Systems Pvt Ltd</v>
      </c>
      <c r="D5" s="1" t="str">
        <v>CREATED</v>
      </c>
      <c r="E5" s="1" t="str">
        <v>CREATED</v>
      </c>
      <c r="F5" s="1" t="str">
        <v>PASS</v>
      </c>
      <c r="G5" s="1" t="str">
        <v>AMC Contract saved successfully with status Active using available linked records</v>
      </c>
      <c r="H5" s="1" t="str">
        <v>Saffron Air Systems Pvt Ltd</v>
      </c>
      <c r="I5" s="1" t="str">
        <v>Mumbai Suburban</v>
      </c>
      <c r="J5" s="1" t="str">
        <v>Abdul Samad</v>
      </c>
      <c r="K5" s="1" t="str">
        <v>Active</v>
      </c>
      <c r="L5" s="1" t="str">
        <v>Yes</v>
      </c>
      <c r="M5" s="1" t="str">
        <v/>
      </c>
    </row>
    <row r="6">
      <c r="A6" s="1">
        <v>5</v>
      </c>
      <c r="B6" s="1" t="str">
        <v>CON-DDT-005</v>
      </c>
      <c r="C6" s="1" t="str">
        <v>Delta AMC Care</v>
      </c>
      <c r="D6" s="1" t="str">
        <v>CREATED</v>
      </c>
      <c r="E6" s="1" t="str">
        <v>CREATED</v>
      </c>
      <c r="F6" s="1" t="str">
        <v>PASS</v>
      </c>
      <c r="G6" s="1" t="str">
        <v>AMC Contract saved successfully with status Inactive using available linked records</v>
      </c>
      <c r="H6" s="1" t="str">
        <v>Delta AMC Care</v>
      </c>
      <c r="I6" s="1" t="str">
        <v>Cochin Branch</v>
      </c>
      <c r="J6" s="1" t="str">
        <v>Abdul Samad</v>
      </c>
      <c r="K6" s="1" t="str">
        <v>Inactive</v>
      </c>
      <c r="L6" s="1" t="str">
        <v>Yes</v>
      </c>
      <c r="M6" s="1" t="str">
        <v/>
      </c>
    </row>
    <row r="7">
      <c r="A7" s="1">
        <v>6</v>
      </c>
      <c r="B7" s="1" t="str">
        <v>CON-DDT-006</v>
      </c>
      <c r="C7" s="1" t="str">
        <v>Orbit Climate Works</v>
      </c>
      <c r="D7" s="1" t="str">
        <v>CREATED</v>
      </c>
      <c r="E7" s="1" t="str">
        <v>CREATED</v>
      </c>
      <c r="F7" s="1" t="str">
        <v>PASS</v>
      </c>
      <c r="G7" s="1" t="str">
        <v>AMC Contract saved successfully using available linked records</v>
      </c>
      <c r="H7" s="1" t="str">
        <v>Pricewaterhouse Coopers Private Limited</v>
      </c>
      <c r="I7" s="1" t="str">
        <v>Mumbai Suburban</v>
      </c>
      <c r="J7" s="1" t="str">
        <v>Abdul Samad</v>
      </c>
      <c r="K7" s="1" t="str">
        <v/>
      </c>
      <c r="L7" s="1" t="str">
        <v>Yes</v>
      </c>
      <c r="M7" s="1" t="str">
        <v/>
      </c>
    </row>
    <row r="8">
      <c r="A8" s="1">
        <v>7</v>
      </c>
      <c r="B8" s="1" t="str">
        <v>CON-DDT-007</v>
      </c>
      <c r="C8" s="1" t="str">
        <v>(contract row)</v>
      </c>
      <c r="D8" s="1" t="str">
        <v>REJECTED</v>
      </c>
      <c r="E8" s="1" t="str">
        <v>REJECTED</v>
      </c>
      <c r="F8" s="1" t="str">
        <v>PASS</v>
      </c>
      <c r="G8" s="1" t="str">
        <v>Mandatory fields required in AMC ContractStart DateMandatory fields required in table Service Schedule, Row 1DateMandatory fields required in table Service Schedule, Row 2DateMandatory fields required in table Service Schedule, Row 3DateMandatory fields required in table Service Schedule, Row 4Date</v>
      </c>
      <c r="H8" s="1" t="str">
        <v/>
      </c>
      <c r="I8" s="1" t="str">
        <v/>
      </c>
      <c r="J8" s="1" t="str">
        <v/>
      </c>
      <c r="K8" s="1" t="str">
        <v/>
      </c>
      <c r="L8" s="1" t="str">
        <v>No</v>
      </c>
      <c r="M8" s="1" t="str">
        <v>Mandatory fields required in AMC ContractStart DateMandatory fields required in table Service Schedule, Row 1DateMandatory fields required in table Service Schedule, Row 2DateMandatory fields required in table Service Schedule, Row 3DateMandatory fields required in table Service Schedule, Row 4Date</v>
      </c>
    </row>
    <row r="9">
      <c r="A9" s="1">
        <v>8</v>
      </c>
      <c r="B9" s="1" t="str">
        <v>CON-DDT-008</v>
      </c>
      <c r="C9" s="1" t="str">
        <v>2030-09-01</v>
      </c>
      <c r="D9" s="1" t="str">
        <v>REJECTED</v>
      </c>
      <c r="E9" s="1" t="str">
        <v>REJECTED</v>
      </c>
      <c r="F9" s="1" t="str">
        <v>PASS</v>
      </c>
      <c r="G9" s="1" t="str">
        <v>Mandatory fields required in AMC ContractEnd DateMandatory fields required in table Service Schedule, Row 1DateMandatory fields required in table Service Schedule, Row 2DateMandatory fields required in table Service Schedule, Row 3DateMandatory fields required in table Service Schedule, Row 4Date</v>
      </c>
      <c r="H9" s="1" t="str">
        <v/>
      </c>
      <c r="I9" s="1" t="str">
        <v/>
      </c>
      <c r="J9" s="1" t="str">
        <v/>
      </c>
      <c r="K9" s="1" t="str">
        <v/>
      </c>
      <c r="L9" s="1" t="str">
        <v>No</v>
      </c>
      <c r="M9" s="1" t="str">
        <v>Mandatory fields required in AMC ContractEnd DateMandatory fields required in table Service Schedule, Row 1DateMandatory fields required in table Service Schedule, Row 2DateMandatory fields required in table Service Schedule, Row 3DateMandatory fields required in table Service Schedule, Row 4Date</v>
      </c>
    </row>
    <row r="10">
      <c r="A10" s="1">
        <v>9</v>
      </c>
      <c r="B10" s="1" t="str">
        <v>CON-DDT-009</v>
      </c>
      <c r="C10" s="1" t="str">
        <v>2030-10-01</v>
      </c>
      <c r="D10" s="1" t="str">
        <v>REJECTED</v>
      </c>
      <c r="E10" s="1" t="str">
        <v>REJECTED</v>
      </c>
      <c r="F10" s="1" t="str">
        <v>PASS</v>
      </c>
      <c r="G10" s="1" t="str">
        <v>Mandatory fields required in table Service Schedule, Row 1Date</v>
      </c>
      <c r="H10" s="1" t="str">
        <v/>
      </c>
      <c r="I10" s="1" t="str">
        <v/>
      </c>
      <c r="J10" s="1" t="str">
        <v/>
      </c>
      <c r="K10" s="1" t="str">
        <v/>
      </c>
      <c r="L10" s="1" t="str">
        <v>No</v>
      </c>
      <c r="M10" s="1" t="str">
        <v>Mandatory fields required in table Service Schedule, Row 1Date</v>
      </c>
    </row>
    <row r="11">
      <c r="A11" s="1">
        <v>10</v>
      </c>
      <c r="B11" s="1" t="str">
        <v>CON-DDT-010</v>
      </c>
      <c r="C11" s="1" t="str">
        <v>2031-01-01</v>
      </c>
      <c r="D11" s="1" t="str">
        <v>REJECTED</v>
      </c>
      <c r="E11" s="1" t="str">
        <v>REJECTED</v>
      </c>
      <c r="F11" s="1" t="str">
        <v>PASS</v>
      </c>
      <c r="G11" s="1" t="str">
        <v>Mandatory fields required in table Service Schedule, Row 1DateMandatory fields required in table Service Schedule, Row 2DateMandatory fields required in table Service Schedule, Row 3DateMandatory fields required in table Service Schedule, Row 4Date</v>
      </c>
      <c r="H11" s="1" t="str">
        <v/>
      </c>
      <c r="I11" s="1" t="str">
        <v/>
      </c>
      <c r="J11" s="1" t="str">
        <v/>
      </c>
      <c r="K11" s="1" t="str">
        <v/>
      </c>
      <c r="L11" s="1" t="str">
        <v>No</v>
      </c>
      <c r="M11" s="1" t="str">
        <v>Mandatory fields required in table Service Schedule, Row 1DateMandatory fields required in table Service Schedule, Row 2DateMandatory fields required in table Service Schedule, Row 3DateMandatory fields required in table Service Schedule, Row 4Date</v>
      </c>
    </row>
    <row r="12">
      <c r="A12" s="1">
        <v>11</v>
      </c>
      <c r="B12" s="1" t="str">
        <v>CON-DDT-011</v>
      </c>
      <c r="C12" s="1" t="str">
        <v>Saffron Air Systems Pvt Ltd</v>
      </c>
      <c r="D12" s="1" t="str">
        <v>REJECTED</v>
      </c>
      <c r="E12" s="1" t="str">
        <v>REJECTED</v>
      </c>
      <c r="F12" s="1" t="str">
        <v>PASS</v>
      </c>
      <c r="G12" s="1" t="str">
        <v>Mandatory fields required in AMC ContractStart DateMandatory fields required in table Service Schedule, Row 1DateMandatory fields required in table Service Schedule, Row 2Date</v>
      </c>
      <c r="H12" s="1" t="str">
        <v/>
      </c>
      <c r="I12" s="1" t="str">
        <v/>
      </c>
      <c r="J12" s="1" t="str">
        <v/>
      </c>
      <c r="K12" s="1" t="str">
        <v>Active</v>
      </c>
      <c r="L12" s="1" t="str">
        <v>No</v>
      </c>
      <c r="M12" s="1" t="str">
        <v>Mandatory fields required in AMC ContractStart DateMandatory fields required in table Service Schedule, Row 1DateMandatory fields required in table Service Schedule, Row 2Date</v>
      </c>
    </row>
    <row r="13">
      <c r="A13" s="1">
        <v>12</v>
      </c>
      <c r="B13" s="1" t="str">
        <v>CON-DDT-012</v>
      </c>
      <c r="C13" s="1" t="str">
        <v>Delta AMC Care</v>
      </c>
      <c r="D13" s="1" t="str">
        <v>REJECTED</v>
      </c>
      <c r="E13" s="1" t="str">
        <v>REJECTED</v>
      </c>
      <c r="F13" s="1" t="str">
        <v>PASS</v>
      </c>
      <c r="G13" s="1" t="str">
        <v>Mandatory fields required in AMC ContractEnd DateMandatory fields required in table Service Schedule, Row 1DateMandatory fields required in table Service Schedule, Row 2DateMandatory fields required in table Service Schedule, Row 3Date</v>
      </c>
      <c r="H13" s="1" t="str">
        <v/>
      </c>
      <c r="I13" s="1" t="str">
        <v/>
      </c>
      <c r="J13" s="1" t="str">
        <v/>
      </c>
      <c r="K13" s="1" t="str">
        <v>Inactive</v>
      </c>
      <c r="L13" s="1" t="str">
        <v>No</v>
      </c>
      <c r="M13" s="1" t="str">
        <v>Mandatory fields required in AMC ContractEnd DateMandatory fields required in table Service Schedule, Row 1DateMandatory fields required in table Service Schedule, Row 2DateMandatory fields required in table Service Schedule, Row 3Date</v>
      </c>
    </row>
  </sheetData>
  <ignoredErrors>
    <ignoredError numberStoredAsText="1" sqref="A1:M13"/>
  </ignoredErrors>
</worksheet>
</file>

<file path=docProps/app.xml><?xml version="1.0" encoding="utf-8"?>
<Properties xmlns="http://schemas.openxmlformats.org/officeDocument/2006/extended-properties" xmlns:vt="http://schemas.openxmlformats.org/officeDocument/2006/docPropsVTypes">
  <Application>SheetJS</Application>
  <AppVersion>15.0000</AppVersion>
  <HyperlinksChanged>false</HyperlinksChanged>
  <SharedDoc>false</SharedDoc>
  <LinksUpToDate>false</LinksUpToDate>
  <ScaleCrop>false</ScaleCrop>
  <HeadingPairs>
    <vt:vector size="2" baseType="variant">
      <vt:variant>
        <vt:lpstr>Worksheets</vt:lpstr>
      </vt:variant>
      <vt:variant>
        <vt:i4>11</vt:i4>
      </vt:variant>
    </vt:vector>
  </HeadingPairs>
  <TitlesOfParts>
    <vt:vector size="11" baseType="lpstr">
      <vt:lpstr>Test Case Register</vt:lpstr>
      <vt:lpstr>Run Tracker</vt:lpstr>
      <vt:lpstr>Run Summary</vt:lpstr>
      <vt:lpstr>Priority Analysis</vt:lpstr>
      <vt:lpstr>Business Rules</vt:lpstr>
      <vt:lpstr>Data-Driven Results</vt:lpstr>
      <vt:lpstr>DDT Attendance</vt:lpstr>
      <vt:lpstr>DDT Leave Application</vt:lpstr>
      <vt:lpstr>DDT Vendor</vt:lpstr>
      <vt:lpstr>DDT Service Call</vt:lpstr>
      <vt:lpstr>DDT AMC Contract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2026-02-27T09:18:37Z</dcterms:created>
  <dcterms:modified xsi:type="dcterms:W3CDTF">2026-02-27T09:18:40Z</dcterms:modified>
  <cp:revision>0</cp:revision>
  <dc:creator>openpyxl</dc:creator>
  <dc:language>en-US</dc:language>
</cp:coreProperties>
</file>